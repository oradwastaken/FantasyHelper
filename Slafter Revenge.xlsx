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 Comparison" sheetId="1" r:id="rId5"/>
    <sheet state="visible" name="Player Values - Cats" sheetId="2" r:id="rId6"/>
    <sheet state="visible" name="Projections" sheetId="3" r:id="rId7"/>
    <sheet state="visible" name="Stats (Season)" sheetId="4" r:id="rId8"/>
    <sheet state="visible" name="Stats (Last 2 weeks)" sheetId="5" r:id="rId9"/>
    <sheet state="visible" name="Teams" sheetId="6" r:id="rId10"/>
    <sheet state="visible" name="Available - Cats" sheetId="7" r:id="rId11"/>
    <sheet state="visible" name="Simulated Rankings" sheetId="8" r:id="rId12"/>
    <sheet state="visible" name="todo" sheetId="9" r:id="rId13"/>
  </sheets>
  <definedNames>
    <definedName name="RecCats">'Player Values - Cats'!$A$2:$I$782</definedName>
    <definedName name="RosterS">#REF!</definedName>
    <definedName name="AllGProj">#REF!</definedName>
    <definedName name="DynCVorpF2">#REF!</definedName>
    <definedName name="CheatD">#REF!</definedName>
    <definedName name="ADPFHFH">#REF!</definedName>
    <definedName name="AllGProjNames">#REF!</definedName>
    <definedName name="ADPFantrax">#REF!</definedName>
    <definedName name="ProjAGB">#REF!</definedName>
    <definedName name="PtsVorpAll">#REF!</definedName>
    <definedName name="ProjCull">#REF!</definedName>
    <definedName name="CatsPtsUsed">#REF!</definedName>
    <definedName name="ProjCullNames">#REF!</definedName>
    <definedName name="CatsUsed">#REF!</definedName>
    <definedName name="SubtitlePts">#REF!</definedName>
    <definedName name="RanksAll">#REF!</definedName>
    <definedName name="CleanCatG">#REF!</definedName>
    <definedName name="RanksAllCat">#REF!</definedName>
    <definedName name="UsedSRCsABV">#REF!</definedName>
    <definedName name="PtsVorpG">#REF!</definedName>
    <definedName name="FanPtsAll">#REF!</definedName>
    <definedName name="ProjYFCats">#REF!</definedName>
    <definedName name="GNames">#REF!</definedName>
    <definedName name="UsedSRCsWTs">#REF!</definedName>
    <definedName name="CleanPtsG">#REF!</definedName>
    <definedName name="ProjLXCats">#REF!</definedName>
    <definedName name="DNames">#REF!</definedName>
    <definedName name="ProjAGN">#REF!</definedName>
    <definedName name="TitlePts">#REF!</definedName>
    <definedName name="AllProj">#REF!</definedName>
    <definedName name="AllProjCats">#REF!</definedName>
    <definedName name="CleanPtsD">#REF!</definedName>
    <definedName name="ProjDtZCats">#REF!</definedName>
    <definedName name="ProjSLCats">#REF!</definedName>
    <definedName name="SubtitleCats">#REF!</definedName>
    <definedName name="ValsAll">'Player Values - Cats'!$E$2:$H$782</definedName>
    <definedName name="ProjSL">#REF!</definedName>
    <definedName name="ProjDFONames">#REF!</definedName>
    <definedName name="ProjCullCats">#REF!</definedName>
    <definedName name="Proji2Names">#REF!</definedName>
    <definedName name="ProjESPNCats">#REF!</definedName>
    <definedName name="ProjDtZ">#REF!</definedName>
    <definedName name="UsedSRCs">#REF!</definedName>
    <definedName name="SNames">#REF!</definedName>
    <definedName name="NamesMasterList">#REF!</definedName>
    <definedName name="fixnames">#REF!</definedName>
    <definedName name="ProjAGNNames">#REF!</definedName>
    <definedName name="ProjKUBNames">#REF!</definedName>
    <definedName name="RecPoints">#REF!</definedName>
    <definedName name="TeamPOS">#REF!</definedName>
    <definedName name="CleanCatHeaderG">#REF!</definedName>
    <definedName name="FNames">#REF!</definedName>
    <definedName name="AllProjStdev">#REF!</definedName>
    <definedName name="CleanPtsHeaderG">#REF!</definedName>
    <definedName name="CleanPtsHeaderF">#REF!</definedName>
    <definedName name="RanksAllNames">#REF!</definedName>
    <definedName name="ProjESPN">#REF!</definedName>
    <definedName name="ProjAGBNames">#REF!</definedName>
    <definedName name="VorpG">#REF!</definedName>
    <definedName name="RosterT">#REF!</definedName>
    <definedName name="OffNights">#REF!</definedName>
    <definedName name="PtsVorpD">#REF!</definedName>
    <definedName name="CatsAll">#REF!</definedName>
    <definedName name="CleanPtsF">#REF!</definedName>
    <definedName name="VorpF">#REF!</definedName>
    <definedName name="ADPYahoo">#REF!</definedName>
    <definedName name="CheatS">#REF!</definedName>
    <definedName name="AllProjAverage">#REF!</definedName>
    <definedName name="AllGProjStdev">#REF!</definedName>
    <definedName name="VorpAll">#REF!</definedName>
    <definedName name="ProjYFNames">#REF!</definedName>
    <definedName name="ProjDFO">#REF!</definedName>
    <definedName name="ProjLXNames">#REF!</definedName>
    <definedName name="CleanPtsHeaderD">#REF!</definedName>
    <definedName name="Fleaflicker">#REF!</definedName>
    <definedName name="AllGProjAverage">#REF!</definedName>
    <definedName name="ProjDtZNames">#REF!</definedName>
    <definedName name="ProjAGBCats">#REF!</definedName>
    <definedName name="ProjBFHNames">#REF!</definedName>
    <definedName name="ProjKUB">#REF!</definedName>
    <definedName name="ProjYF">#REF!</definedName>
    <definedName name="ProjSLNames">#REF!</definedName>
    <definedName name="TitleCats">#REF!</definedName>
    <definedName name="ProjKUBCats">#REF!</definedName>
    <definedName name="CleanCatF">#REF!</definedName>
    <definedName name="GAP">#REF!</definedName>
    <definedName name="AllProjNames">#REF!</definedName>
    <definedName name="CheatG">#REF!</definedName>
    <definedName name="CheatT">#REF!</definedName>
    <definedName name="RosterG">#REF!</definedName>
    <definedName name="RosterF">#REF!</definedName>
    <definedName name="ProjESPNNames">#REF!</definedName>
    <definedName name="VorpD">#REF!</definedName>
    <definedName name="CheatF">#REF!</definedName>
    <definedName name="CleanCatD">#REF!</definedName>
    <definedName name="Proji1">#REF!</definedName>
    <definedName name="Proji2Cats">#REF!</definedName>
    <definedName name="Proji2">#REF!</definedName>
    <definedName name="CleanCatHeaderD">#REF!</definedName>
    <definedName name="CatWeights">#REF!</definedName>
    <definedName name="ProjDFOCats">#REF!</definedName>
    <definedName name="PlayoffGames">#REF!</definedName>
    <definedName name="CleanCatHeaderF">#REF!</definedName>
    <definedName name="ProjBFH">#REF!</definedName>
    <definedName name="Proji1Names">#REF!</definedName>
    <definedName name="DynCVorpF1">#REF!</definedName>
    <definedName name="AllGProjCats">#REF!</definedName>
    <definedName name="TEAMS">#REF!</definedName>
    <definedName name="ProjAGNCats">#REF!</definedName>
    <definedName name="PtsVorpF">#REF!</definedName>
    <definedName name="RosterD">#REF!</definedName>
    <definedName name="Proji1Cats">#REF!</definedName>
    <definedName name="ProjBFHCats">#REF!</definedName>
    <definedName name="ProjLX">#REF!</definedName>
    <definedName hidden="1" localSheetId="1" name="_xlnm._FilterDatabase">'Player Values - Cats'!$A$2:$AQ$782</definedName>
    <definedName hidden="1" localSheetId="2" name="_xlnm._FilterDatabase">Projections!$A$2:$R$782</definedName>
    <definedName hidden="1" localSheetId="3" name="_xlnm._FilterDatabase">'Stats (Season)'!$A$2:$R$782</definedName>
    <definedName hidden="1" localSheetId="4" name="_xlnm._FilterDatabase">'Stats (Last 2 weeks)'!$A$2:$R$782</definedName>
    <definedName name="CONTAINS">LAMBDA(cell, range, NOT(ISERROR(MATCH(cell,range,0))))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Category Value Z-Score Sum</t>
      </text>
    </comment>
    <comment authorId="0" ref="I2">
      <text>
        <t xml:space="preserve">Value over Replacement Player - based on position</t>
      </text>
    </comment>
    <comment authorId="0" ref="J2">
      <text>
        <t xml:space="preserve">Position Rank</t>
      </text>
    </comment>
    <comment authorId="0" ref="M2">
      <text>
        <t xml:space="preserve">Off-Night Games
defined as less than 8 games in a night</t>
      </text>
    </comment>
    <comment authorId="0" ref="N2">
      <text>
        <t xml:space="preserve">Playoff Games</t>
      </text>
    </comment>
    <comment authorId="0" ref="A2">
      <text>
        <t xml:space="preserve">Double-Click to change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Off-Night Games
defined as less than 8 games in a night</t>
      </text>
    </comment>
    <comment authorId="0" ref="D2">
      <text>
        <t xml:space="preserve">Playoff Games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Off-Night Games
defined as less than 8 games in a night</t>
      </text>
    </comment>
    <comment authorId="0" ref="D2">
      <text>
        <t xml:space="preserve">Playoff Games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Off-Night Games
defined as less than 8 games in a night</t>
      </text>
    </comment>
    <comment authorId="0" ref="D2">
      <text>
        <t xml:space="preserve">Playoff Games</t>
      </text>
    </comment>
  </commentList>
</comments>
</file>

<file path=xl/sharedStrings.xml><?xml version="1.0" encoding="utf-8"?>
<sst xmlns="http://schemas.openxmlformats.org/spreadsheetml/2006/main" count="16474" uniqueCount="2452">
  <si>
    <t>Top skaters:</t>
  </si>
  <si>
    <t>Projections:</t>
  </si>
  <si>
    <t>Top goalies:</t>
  </si>
  <si>
    <t>Stats (Season):</t>
  </si>
  <si>
    <t>Stats (Last 2 weeks):</t>
  </si>
  <si>
    <t>Teams</t>
  </si>
  <si>
    <t>G</t>
  </si>
  <si>
    <t>A</t>
  </si>
  <si>
    <t>+/-</t>
  </si>
  <si>
    <t>PIM</t>
  </si>
  <si>
    <t>PPP</t>
  </si>
  <si>
    <t>SHP</t>
  </si>
  <si>
    <t>SOG</t>
  </si>
  <si>
    <t>FOW</t>
  </si>
  <si>
    <t>HIT</t>
  </si>
  <si>
    <t>BLK</t>
  </si>
  <si>
    <t>W</t>
  </si>
  <si>
    <t>GAA</t>
  </si>
  <si>
    <t>NHL_PLAYER_ID</t>
  </si>
  <si>
    <t>SV%</t>
  </si>
  <si>
    <t>GP</t>
  </si>
  <si>
    <t>SO</t>
  </si>
  <si>
    <t>Rob/Orad</t>
  </si>
  <si>
    <t>OFF</t>
  </si>
  <si>
    <t>POG</t>
  </si>
  <si>
    <t>8477492</t>
  </si>
  <si>
    <t>8478402</t>
  </si>
  <si>
    <t>8476453</t>
  </si>
  <si>
    <t>8477934</t>
  </si>
  <si>
    <t>8480801</t>
  </si>
  <si>
    <t>8478403</t>
  </si>
  <si>
    <t>New ranking</t>
  </si>
  <si>
    <t>8480069</t>
  </si>
  <si>
    <t>8484801</t>
  </si>
  <si>
    <t>8479318</t>
  </si>
  <si>
    <t>8479542</t>
  </si>
  <si>
    <t>8480313</t>
  </si>
  <si>
    <t>8480803</t>
  </si>
  <si>
    <t>8480018</t>
  </si>
  <si>
    <t>8478427</t>
  </si>
  <si>
    <t>8476883</t>
  </si>
  <si>
    <t>⭐</t>
  </si>
  <si>
    <t>8476880</t>
  </si>
  <si>
    <t>8477956</t>
  </si>
  <si>
    <t>8481557</t>
  </si>
  <si>
    <t>8477493</t>
  </si>
  <si>
    <t>8478864</t>
  </si>
  <si>
    <t>8476945</t>
  </si>
  <si>
    <t>TAKEN</t>
  </si>
  <si>
    <t>8480027</t>
  </si>
  <si>
    <t>8475809</t>
  </si>
  <si>
    <t>FTeam</t>
  </si>
  <si>
    <t>8478048</t>
  </si>
  <si>
    <t>8480039</t>
  </si>
  <si>
    <t>8478420</t>
  </si>
  <si>
    <t>PLAYER</t>
  </si>
  <si>
    <t>8481542</t>
  </si>
  <si>
    <t>8480839</t>
  </si>
  <si>
    <t>8479314</t>
  </si>
  <si>
    <t>TEAM</t>
  </si>
  <si>
    <t>8482740</t>
  </si>
  <si>
    <t>POS</t>
  </si>
  <si>
    <t>8478460</t>
  </si>
  <si>
    <t>8480002</t>
  </si>
  <si>
    <t>VAL</t>
  </si>
  <si>
    <t>8477404</t>
  </si>
  <si>
    <t>8477933</t>
  </si>
  <si>
    <t>VORP</t>
  </si>
  <si>
    <t>8477949</t>
  </si>
  <si>
    <t/>
  </si>
  <si>
    <t>8478009</t>
  </si>
  <si>
    <t>PRNK</t>
  </si>
  <si>
    <t>8480280</t>
  </si>
  <si>
    <t>8481559</t>
  </si>
  <si>
    <t>Age</t>
  </si>
  <si>
    <t>8480800</t>
  </si>
  <si>
    <t>8482116</t>
  </si>
  <si>
    <t>8477946</t>
  </si>
  <si>
    <t>8478493</t>
  </si>
  <si>
    <t>8477960</t>
  </si>
  <si>
    <t>8482982</t>
  </si>
  <si>
    <t>8476468</t>
  </si>
  <si>
    <t>8480830</t>
  </si>
  <si>
    <t>8471675</t>
  </si>
  <si>
    <t>8477500</t>
  </si>
  <si>
    <t>8479979</t>
  </si>
  <si>
    <t>8476389</t>
  </si>
  <si>
    <t>8479420</t>
  </si>
  <si>
    <t>8476460</t>
  </si>
  <si>
    <t>8480981</t>
  </si>
  <si>
    <t>8482661</t>
  </si>
  <si>
    <t>8476887</t>
  </si>
  <si>
    <t>8478483</t>
  </si>
  <si>
    <t>8481528</t>
  </si>
  <si>
    <t>8483515</t>
  </si>
  <si>
    <t>8475311</t>
  </si>
  <si>
    <t>8478449</t>
  </si>
  <si>
    <t>8477935</t>
  </si>
  <si>
    <t>8478406</t>
  </si>
  <si>
    <t>8481540</t>
  </si>
  <si>
    <t>8478519</t>
  </si>
  <si>
    <t>8476459</t>
  </si>
  <si>
    <t>8475754</t>
  </si>
  <si>
    <t>8475786</t>
  </si>
  <si>
    <t>8480023</t>
  </si>
  <si>
    <t>8479345</t>
  </si>
  <si>
    <t>8483445</t>
  </si>
  <si>
    <t>8479325</t>
  </si>
  <si>
    <t>8482077</t>
  </si>
  <si>
    <t>8484153</t>
  </si>
  <si>
    <t>8475913</t>
  </si>
  <si>
    <t>8478872</t>
  </si>
  <si>
    <t>8478398</t>
  </si>
  <si>
    <t>8478435</t>
  </si>
  <si>
    <t>8479193</t>
  </si>
  <si>
    <t>8483457</t>
  </si>
  <si>
    <t>8484166</t>
  </si>
  <si>
    <t>8485406</t>
  </si>
  <si>
    <t>8477507</t>
  </si>
  <si>
    <t>8478178</t>
  </si>
  <si>
    <t>8478439</t>
  </si>
  <si>
    <t>8485366</t>
  </si>
  <si>
    <t>8482699</t>
  </si>
  <si>
    <t>8482105</t>
  </si>
  <si>
    <t>8479671</t>
  </si>
  <si>
    <t>8479343</t>
  </si>
  <si>
    <t>8481611</t>
  </si>
  <si>
    <t>8482730</t>
  </si>
  <si>
    <t>8482124</t>
  </si>
  <si>
    <t>8478916</t>
  </si>
  <si>
    <t>8479337</t>
  </si>
  <si>
    <t>8480893</t>
  </si>
  <si>
    <t>8476932</t>
  </si>
  <si>
    <t>8476399</t>
  </si>
  <si>
    <t>8476434</t>
  </si>
  <si>
    <t>8483431</t>
  </si>
  <si>
    <t>8482157</t>
  </si>
  <si>
    <t>8479323</t>
  </si>
  <si>
    <t>8476999</t>
  </si>
  <si>
    <t>8477939</t>
  </si>
  <si>
    <t>8476881</t>
  </si>
  <si>
    <t>8480036</t>
  </si>
  <si>
    <t>8475166</t>
  </si>
  <si>
    <t>8479407</t>
  </si>
  <si>
    <t>8483548</t>
  </si>
  <si>
    <t>8478550</t>
  </si>
  <si>
    <t>8477346</t>
  </si>
  <si>
    <t>8481596</t>
  </si>
  <si>
    <t>8478414</t>
  </si>
  <si>
    <t>8480748</t>
  </si>
  <si>
    <t>8476312</t>
  </si>
  <si>
    <t>8479410</t>
  </si>
  <si>
    <t>8474590</t>
  </si>
  <si>
    <t>8477498</t>
  </si>
  <si>
    <t>8477940</t>
  </si>
  <si>
    <t>8479406</t>
  </si>
  <si>
    <t>8480208</t>
  </si>
  <si>
    <t>8474596</t>
  </si>
  <si>
    <t>8482487</t>
  </si>
  <si>
    <t>8478440</t>
  </si>
  <si>
    <t>8480045</t>
  </si>
  <si>
    <t>8480336</t>
  </si>
  <si>
    <t>8477504</t>
  </si>
  <si>
    <t>8476341</t>
  </si>
  <si>
    <t>8476455</t>
  </si>
  <si>
    <t>8476462</t>
  </si>
  <si>
    <t>8480855</t>
  </si>
  <si>
    <t>8482113</t>
  </si>
  <si>
    <t>8482155</t>
  </si>
  <si>
    <t>8471215</t>
  </si>
  <si>
    <t>8478445</t>
  </si>
  <si>
    <t>8475810</t>
  </si>
  <si>
    <t>8477451</t>
  </si>
  <si>
    <t>8475158</t>
  </si>
  <si>
    <t>8475172</t>
  </si>
  <si>
    <t>8478010</t>
  </si>
  <si>
    <t>8474564</t>
  </si>
  <si>
    <t>8474600</t>
  </si>
  <si>
    <t>8484762</t>
  </si>
  <si>
    <t>8473533</t>
  </si>
  <si>
    <t>8477942</t>
  </si>
  <si>
    <t>8481604</t>
  </si>
  <si>
    <t>8475218</t>
  </si>
  <si>
    <t>8482093</t>
  </si>
  <si>
    <t>8471214</t>
  </si>
  <si>
    <t>8482122</t>
  </si>
  <si>
    <t>8481519</t>
  </si>
  <si>
    <t>8477951</t>
  </si>
  <si>
    <t>8481692</t>
  </si>
  <si>
    <t>8481605</t>
  </si>
  <si>
    <t>8479312</t>
  </si>
  <si>
    <t>8478468</t>
  </si>
  <si>
    <t>8480426</t>
  </si>
  <si>
    <t>8479394</t>
  </si>
  <si>
    <t>8482720</t>
  </si>
  <si>
    <t>8481617</t>
  </si>
  <si>
    <t>8480865</t>
  </si>
  <si>
    <t>8480015</t>
  </si>
  <si>
    <t>8479400</t>
  </si>
  <si>
    <t>8476483</t>
  </si>
  <si>
    <t>8482078</t>
  </si>
  <si>
    <t>8480022</t>
  </si>
  <si>
    <t>8484186</t>
  </si>
  <si>
    <t>8473419</t>
  </si>
  <si>
    <t>8476906</t>
  </si>
  <si>
    <t>8476885</t>
  </si>
  <si>
    <t>8484145</t>
  </si>
  <si>
    <t>8475167</t>
  </si>
  <si>
    <t>8481581</t>
  </si>
  <si>
    <t>8482100</t>
  </si>
  <si>
    <t>8482192</t>
  </si>
  <si>
    <t>8479987</t>
  </si>
  <si>
    <t>8480817</t>
  </si>
  <si>
    <t>8478038</t>
  </si>
  <si>
    <t>8478474</t>
  </si>
  <si>
    <t>8477447</t>
  </si>
  <si>
    <t>8482092</t>
  </si>
  <si>
    <t>8478397</t>
  </si>
  <si>
    <t>8478469</t>
  </si>
  <si>
    <t>8475188</t>
  </si>
  <si>
    <t>8481656</t>
  </si>
  <si>
    <t>8476931</t>
  </si>
  <si>
    <t>8482762</t>
  </si>
  <si>
    <t>8476454</t>
  </si>
  <si>
    <t>8478975</t>
  </si>
  <si>
    <t>8475462</t>
  </si>
  <si>
    <t>8477967</t>
  </si>
  <si>
    <t>8478421</t>
  </si>
  <si>
    <t>8477476</t>
  </si>
  <si>
    <t>8483516</t>
  </si>
  <si>
    <t>8484170</t>
  </si>
  <si>
    <t>8482655</t>
  </si>
  <si>
    <t>8475683</t>
  </si>
  <si>
    <t>8475745</t>
  </si>
  <si>
    <t>8482445</t>
  </si>
  <si>
    <t>8477964</t>
  </si>
  <si>
    <t>8479385</t>
  </si>
  <si>
    <t>8474578</t>
  </si>
  <si>
    <t>8481033</t>
  </si>
  <si>
    <t>8482159</t>
  </si>
  <si>
    <t>8480843</t>
  </si>
  <si>
    <t>8482809</t>
  </si>
  <si>
    <t>8484984</t>
  </si>
  <si>
    <t>8481524</t>
  </si>
  <si>
    <t>8479496</t>
  </si>
  <si>
    <t>8481533</t>
  </si>
  <si>
    <t>8481020</t>
  </si>
  <si>
    <t>8484144</t>
  </si>
  <si>
    <t>8482745</t>
  </si>
  <si>
    <t>8474593</t>
  </si>
  <si>
    <t>8477501</t>
  </si>
  <si>
    <t>8484387</t>
  </si>
  <si>
    <t>8470613</t>
  </si>
  <si>
    <t>8479361</t>
  </si>
  <si>
    <t>Phil</t>
  </si>
  <si>
    <t>8477932</t>
  </si>
  <si>
    <t>8477496</t>
  </si>
  <si>
    <t>8476902</t>
  </si>
  <si>
    <t>8476432</t>
  </si>
  <si>
    <t>8473575</t>
  </si>
  <si>
    <t>8478967</t>
  </si>
  <si>
    <t>8482076</t>
  </si>
  <si>
    <t>8483710</t>
  </si>
  <si>
    <t>8482702</t>
  </si>
  <si>
    <t>8482245</t>
  </si>
  <si>
    <t>8477409</t>
  </si>
  <si>
    <t>8480064</t>
  </si>
  <si>
    <t>8475831</t>
  </si>
  <si>
    <t>8478055</t>
  </si>
  <si>
    <t>8480145</t>
  </si>
  <si>
    <t>8478508</t>
  </si>
  <si>
    <t>8482109</t>
  </si>
  <si>
    <t>8477495</t>
  </si>
  <si>
    <t>8484258</t>
  </si>
  <si>
    <t>8480012</t>
  </si>
  <si>
    <t>8475314</t>
  </si>
  <si>
    <t>Nathan MacKinnon</t>
  </si>
  <si>
    <t>8477948</t>
  </si>
  <si>
    <t>8479973</t>
  </si>
  <si>
    <t>COL</t>
  </si>
  <si>
    <t>8480014</t>
  </si>
  <si>
    <t>8482659</t>
  </si>
  <si>
    <t>8477446</t>
  </si>
  <si>
    <t>8475170</t>
  </si>
  <si>
    <t>C</t>
  </si>
  <si>
    <t>8476448</t>
  </si>
  <si>
    <t>8480355</t>
  </si>
  <si>
    <t>8482259</t>
  </si>
  <si>
    <t>8482657</t>
  </si>
  <si>
    <t>8480802</t>
  </si>
  <si>
    <t xml:space="preserve">C1 </t>
  </si>
  <si>
    <t>8475455</t>
  </si>
  <si>
    <t>8477424</t>
  </si>
  <si>
    <t>8480807</t>
  </si>
  <si>
    <t>8477955</t>
  </si>
  <si>
    <t>8476875</t>
  </si>
  <si>
    <t>8477497</t>
  </si>
  <si>
    <t>8475798</t>
  </si>
  <si>
    <t>8478042</t>
  </si>
  <si>
    <t>8482221</t>
  </si>
  <si>
    <t>8478401</t>
  </si>
  <si>
    <t>8479981</t>
  </si>
  <si>
    <t>8482087</t>
  </si>
  <si>
    <t>8485391</t>
  </si>
  <si>
    <t>8478416</t>
  </si>
  <si>
    <t>8480796</t>
  </si>
  <si>
    <t>8475184</t>
  </si>
  <si>
    <t>8475220</t>
  </si>
  <si>
    <t>8483609</t>
  </si>
  <si>
    <t>8475287</t>
  </si>
  <si>
    <t>8484390</t>
  </si>
  <si>
    <t>8475883</t>
  </si>
  <si>
    <t>8476419</t>
  </si>
  <si>
    <t>8473994</t>
  </si>
  <si>
    <t>8482929</t>
  </si>
  <si>
    <t>8482667</t>
  </si>
  <si>
    <t>8486067</t>
  </si>
  <si>
    <t>8480220</t>
  </si>
  <si>
    <t>8473512</t>
  </si>
  <si>
    <t>8476826</t>
  </si>
  <si>
    <t>8476872</t>
  </si>
  <si>
    <t>8476392</t>
  </si>
  <si>
    <t>8480448</t>
  </si>
  <si>
    <t>8484873</t>
  </si>
  <si>
    <t>8481580</t>
  </si>
  <si>
    <t>8479353</t>
  </si>
  <si>
    <t>8478859</t>
  </si>
  <si>
    <t>8481563</t>
  </si>
  <si>
    <t>8474150</t>
  </si>
  <si>
    <t>8475692</t>
  </si>
  <si>
    <t>8481716</t>
  </si>
  <si>
    <t>8484227</t>
  </si>
  <si>
    <t>8478396</t>
  </si>
  <si>
    <t>8476958</t>
  </si>
  <si>
    <t>8477511</t>
  </si>
  <si>
    <t>8475151</t>
  </si>
  <si>
    <t>8478911</t>
  </si>
  <si>
    <t>8482089</t>
  </si>
  <si>
    <t>8475168</t>
  </si>
  <si>
    <t>8484231</t>
  </si>
  <si>
    <t>8482737</t>
  </si>
  <si>
    <t>8476473</t>
  </si>
  <si>
    <t>8477365</t>
  </si>
  <si>
    <t>8480009</t>
  </si>
  <si>
    <t>8482665</t>
  </si>
  <si>
    <t>8482149</t>
  </si>
  <si>
    <t>8482634</t>
  </si>
  <si>
    <t>8482146</t>
  </si>
  <si>
    <t>8474563</t>
  </si>
  <si>
    <t>8485414</t>
  </si>
  <si>
    <t>8477989</t>
  </si>
  <si>
    <t>8479525</t>
  </si>
  <si>
    <t>8475722</t>
  </si>
  <si>
    <t>8477986</t>
  </si>
  <si>
    <t>8476892</t>
  </si>
  <si>
    <t>8484759</t>
  </si>
  <si>
    <t>8482175</t>
  </si>
  <si>
    <t>8478407</t>
  </si>
  <si>
    <t>8475794</t>
  </si>
  <si>
    <t>8483489</t>
  </si>
  <si>
    <t>8475791</t>
  </si>
  <si>
    <t>8479292</t>
  </si>
  <si>
    <t>8476923</t>
  </si>
  <si>
    <t>8476372</t>
  </si>
  <si>
    <t>8479425</t>
  </si>
  <si>
    <t>8483464</t>
  </si>
  <si>
    <t>8478500</t>
  </si>
  <si>
    <t>8476412</t>
  </si>
  <si>
    <t>8476981</t>
  </si>
  <si>
    <t>8482476</t>
  </si>
  <si>
    <t>8475171</t>
  </si>
  <si>
    <t>8481522</t>
  </si>
  <si>
    <t>8483493</t>
  </si>
  <si>
    <t>8479639</t>
  </si>
  <si>
    <t>8471724</t>
  </si>
  <si>
    <t>8479661</t>
  </si>
  <si>
    <t>8476331</t>
  </si>
  <si>
    <t>8478499</t>
  </si>
  <si>
    <t>8483425</t>
  </si>
  <si>
    <t>8480192</t>
  </si>
  <si>
    <t>8482742</t>
  </si>
  <si>
    <t>8480185</t>
  </si>
  <si>
    <t>8478366</t>
  </si>
  <si>
    <t>8482684</t>
  </si>
  <si>
    <t>8479675</t>
  </si>
  <si>
    <t>8475343</t>
  </si>
  <si>
    <t>8477402</t>
  </si>
  <si>
    <t>8477499</t>
  </si>
  <si>
    <t>8475753</t>
  </si>
  <si>
    <t>8476461</t>
  </si>
  <si>
    <t>8480068</t>
  </si>
  <si>
    <t>8476914</t>
  </si>
  <si>
    <t>8478057</t>
  </si>
  <si>
    <t>8482713</t>
  </si>
  <si>
    <t>8476921</t>
  </si>
  <si>
    <t>8484829</t>
  </si>
  <si>
    <t>8478136</t>
  </si>
  <si>
    <t>8482877</t>
  </si>
  <si>
    <t>8474151</t>
  </si>
  <si>
    <t>8477903</t>
  </si>
  <si>
    <t>8480434</t>
  </si>
  <si>
    <t>8480188</t>
  </si>
  <si>
    <t>8478434</t>
  </si>
  <si>
    <t>8482132</t>
  </si>
  <si>
    <t>8481546</t>
  </si>
  <si>
    <t>8477480</t>
  </si>
  <si>
    <t>8476456</t>
  </si>
  <si>
    <t>8484152</t>
  </si>
  <si>
    <t>8479705</t>
  </si>
  <si>
    <t>8480849</t>
  </si>
  <si>
    <t>8479998</t>
  </si>
  <si>
    <t>8476457</t>
  </si>
  <si>
    <t>8474013</t>
  </si>
  <si>
    <t>8474141</t>
  </si>
  <si>
    <t>8477968</t>
  </si>
  <si>
    <t>8482110</t>
  </si>
  <si>
    <t>8475200</t>
  </si>
  <si>
    <t>8474586</t>
  </si>
  <si>
    <t>8475279</t>
  </si>
  <si>
    <t>8477429</t>
  </si>
  <si>
    <t>8485402</t>
  </si>
  <si>
    <t>8481606</t>
  </si>
  <si>
    <t>8481598</t>
  </si>
  <si>
    <t>8476854</t>
  </si>
  <si>
    <t>8477465</t>
  </si>
  <si>
    <t>8477479</t>
  </si>
  <si>
    <t>8479520</t>
  </si>
  <si>
    <t>8482097</t>
  </si>
  <si>
    <t>8481601</t>
  </si>
  <si>
    <t>8482094</t>
  </si>
  <si>
    <t>8480028</t>
  </si>
  <si>
    <t>8482201</t>
  </si>
  <si>
    <t>8481789</t>
  </si>
  <si>
    <t>8478013</t>
  </si>
  <si>
    <t>8478542</t>
  </si>
  <si>
    <t>8483468</t>
  </si>
  <si>
    <t>8478498</t>
  </si>
  <si>
    <t>8482475</t>
  </si>
  <si>
    <t>8473986</t>
  </si>
  <si>
    <t>8477993</t>
  </si>
  <si>
    <t>8481028</t>
  </si>
  <si>
    <t>8482079</t>
  </si>
  <si>
    <t>8478133</t>
  </si>
  <si>
    <t>8478882</t>
  </si>
  <si>
    <t>8480193</t>
  </si>
  <si>
    <t>8486189</t>
  </si>
  <si>
    <t>8483512</t>
  </si>
  <si>
    <t>8481551</t>
  </si>
  <si>
    <t>8476917</t>
  </si>
  <si>
    <t>8478873</t>
  </si>
  <si>
    <t>8476479</t>
  </si>
  <si>
    <t>8476853</t>
  </si>
  <si>
    <t>8482705</t>
  </si>
  <si>
    <t>8476393</t>
  </si>
  <si>
    <t>8477505</t>
  </si>
  <si>
    <t>8475717</t>
  </si>
  <si>
    <t>8482679</t>
  </si>
  <si>
    <t>8483703</t>
  </si>
  <si>
    <t>8486103</t>
  </si>
  <si>
    <t>8482733</t>
  </si>
  <si>
    <t>8484158</t>
  </si>
  <si>
    <t>8478024</t>
  </si>
  <si>
    <t>8481523</t>
  </si>
  <si>
    <t>8481668</t>
  </si>
  <si>
    <t>8470621</t>
  </si>
  <si>
    <t>8482073</t>
  </si>
  <si>
    <t>8483490</t>
  </si>
  <si>
    <t>8482703</t>
  </si>
  <si>
    <t>8474574</t>
  </si>
  <si>
    <t>8484994</t>
  </si>
  <si>
    <t>8474716</t>
  </si>
  <si>
    <t>8480891</t>
  </si>
  <si>
    <t>8484421</t>
  </si>
  <si>
    <t>8482145</t>
  </si>
  <si>
    <t>8478020</t>
  </si>
  <si>
    <t>8482671</t>
  </si>
  <si>
    <t>8486025</t>
  </si>
  <si>
    <t>8478399</t>
  </si>
  <si>
    <t>8483495</t>
  </si>
  <si>
    <t>8473422</t>
  </si>
  <si>
    <t>8476869</t>
  </si>
  <si>
    <t>8480797</t>
  </si>
  <si>
    <t>8476905</t>
  </si>
  <si>
    <t>8484999</t>
  </si>
  <si>
    <t>8481721</t>
  </si>
  <si>
    <t>8481553</t>
  </si>
  <si>
    <t>8476463</t>
  </si>
  <si>
    <t>8478970</t>
  </si>
  <si>
    <t>8476441</t>
  </si>
  <si>
    <t>8480326</t>
  </si>
  <si>
    <t>8477426</t>
  </si>
  <si>
    <t>8482803</t>
  </si>
  <si>
    <t>8482095</t>
  </si>
  <si>
    <t>8480980</t>
  </si>
  <si>
    <t>8484797</t>
  </si>
  <si>
    <t>8479983</t>
  </si>
  <si>
    <t>8485388</t>
  </si>
  <si>
    <t>8476927</t>
  </si>
  <si>
    <t>8478856</t>
  </si>
  <si>
    <t>8482088</t>
  </si>
  <si>
    <t>8483472</t>
  </si>
  <si>
    <t>8475690</t>
  </si>
  <si>
    <t>Ilan</t>
  </si>
  <si>
    <t>8485251</t>
  </si>
  <si>
    <t>8480835</t>
  </si>
  <si>
    <t>8480113</t>
  </si>
  <si>
    <t>8483690</t>
  </si>
  <si>
    <t>8484233</t>
  </si>
  <si>
    <t>8476867</t>
  </si>
  <si>
    <t>8481618</t>
  </si>
  <si>
    <t>8481006</t>
  </si>
  <si>
    <t>8480049</t>
  </si>
  <si>
    <t>8477992</t>
  </si>
  <si>
    <t>8484911</t>
  </si>
  <si>
    <t>8477220</t>
  </si>
  <si>
    <t>8482964</t>
  </si>
  <si>
    <t>8481592</t>
  </si>
  <si>
    <t>8477450</t>
  </si>
  <si>
    <t>8476878</t>
  </si>
  <si>
    <t>8481517</t>
  </si>
  <si>
    <t>8479359</t>
  </si>
  <si>
    <t>8478851</t>
  </si>
  <si>
    <t>8480887</t>
  </si>
  <si>
    <t>8477998</t>
  </si>
  <si>
    <t>8482142</t>
  </si>
  <si>
    <t>8476539</t>
  </si>
  <si>
    <t>8482922</t>
  </si>
  <si>
    <t>8479591</t>
  </si>
  <si>
    <t>8485400</t>
  </si>
  <si>
    <t>8478444</t>
  </si>
  <si>
    <t>8485395</t>
  </si>
  <si>
    <t>8482137</t>
  </si>
  <si>
    <t>8483485</t>
  </si>
  <si>
    <t>8483756</t>
  </si>
  <si>
    <t>8483525</t>
  </si>
  <si>
    <t>8478462</t>
  </si>
  <si>
    <t>8477573</t>
  </si>
  <si>
    <t>8477969</t>
  </si>
  <si>
    <t>8476469</t>
  </si>
  <si>
    <t>8478450</t>
  </si>
  <si>
    <t>8481014</t>
  </si>
  <si>
    <t>8483524</t>
  </si>
  <si>
    <t>8482775</t>
  </si>
  <si>
    <t>8478470</t>
  </si>
  <si>
    <t>8481186</t>
  </si>
  <si>
    <t>8480727</t>
  </si>
  <si>
    <t>8477503</t>
  </si>
  <si>
    <t>8475726</t>
  </si>
  <si>
    <t>8480289</t>
  </si>
  <si>
    <t>8477015</t>
  </si>
  <si>
    <t>8477416</t>
  </si>
  <si>
    <t>8480947</t>
  </si>
  <si>
    <t>8484210</t>
  </si>
  <si>
    <t>8483570</t>
  </si>
  <si>
    <t>8483491</t>
  </si>
  <si>
    <t>8478443</t>
  </si>
  <si>
    <t>8478463</t>
  </si>
  <si>
    <t>8478007</t>
  </si>
  <si>
    <t>8475768</t>
  </si>
  <si>
    <t>8485702</t>
  </si>
  <si>
    <t>8483752</t>
  </si>
  <si>
    <t>8478109</t>
  </si>
  <si>
    <t>8477950</t>
  </si>
  <si>
    <t>8484203</t>
  </si>
  <si>
    <t>8479369</t>
  </si>
  <si>
    <t>8475231</t>
  </si>
  <si>
    <t>8478507</t>
  </si>
  <si>
    <t>8479365</t>
  </si>
  <si>
    <t>8484471</t>
  </si>
  <si>
    <t>8481754</t>
  </si>
  <si>
    <t>8483424</t>
  </si>
  <si>
    <t>8479996</t>
  </si>
  <si>
    <t>8476480</t>
  </si>
  <si>
    <t>8483482</t>
  </si>
  <si>
    <t>8479619</t>
  </si>
  <si>
    <t>8484164</t>
  </si>
  <si>
    <t>8484803</t>
  </si>
  <si>
    <t>8478840</t>
  </si>
  <si>
    <t>8479351</t>
  </si>
  <si>
    <t>8475799</t>
  </si>
  <si>
    <t>8484196</t>
  </si>
  <si>
    <t>8479398</t>
  </si>
  <si>
    <t>8481806</t>
  </si>
  <si>
    <t>8475179</t>
  </si>
  <si>
    <t>8480459</t>
  </si>
  <si>
    <t>8484860</t>
  </si>
  <si>
    <t>8478438</t>
  </si>
  <si>
    <t>8483506</t>
  </si>
  <si>
    <t>8480848</t>
  </si>
  <si>
    <t>8484806</t>
  </si>
  <si>
    <t>8478831</t>
  </si>
  <si>
    <t>8477506</t>
  </si>
  <si>
    <t>8483447</t>
  </si>
  <si>
    <t>8479638</t>
  </si>
  <si>
    <t>8475755</t>
  </si>
  <si>
    <t>8481527</t>
  </si>
  <si>
    <t>8477488</t>
  </si>
  <si>
    <t>8485512</t>
  </si>
  <si>
    <t>8480860</t>
  </si>
  <si>
    <t>8483553</t>
  </si>
  <si>
    <t>8482062</t>
  </si>
  <si>
    <t>8484221</t>
  </si>
  <si>
    <t>8474568</t>
  </si>
  <si>
    <t>8484241</t>
  </si>
  <si>
    <t>8478569</t>
  </si>
  <si>
    <t>8477970</t>
  </si>
  <si>
    <t>8475760</t>
  </si>
  <si>
    <t>8481219</t>
  </si>
  <si>
    <t>8484142</t>
  </si>
  <si>
    <t>8476967</t>
  </si>
  <si>
    <t>8481582</t>
  </si>
  <si>
    <t>8481477</t>
  </si>
  <si>
    <t>8481624</t>
  </si>
  <si>
    <t>8484150</t>
  </si>
  <si>
    <t>8476474</t>
  </si>
  <si>
    <t>8481024</t>
  </si>
  <si>
    <t>8483731</t>
  </si>
  <si>
    <t>8476925</t>
  </si>
  <si>
    <t>8476374</t>
  </si>
  <si>
    <t>8479324</t>
  </si>
  <si>
    <t>8477021</t>
  </si>
  <si>
    <t>8484807</t>
  </si>
  <si>
    <t>8477425</t>
  </si>
  <si>
    <t>8482055</t>
  </si>
  <si>
    <t>8483573</t>
  </si>
  <si>
    <t>8481554</t>
  </si>
  <si>
    <t>8483500</t>
  </si>
  <si>
    <t>8478413</t>
  </si>
  <si>
    <t>8484388</t>
  </si>
  <si>
    <t>8480078</t>
  </si>
  <si>
    <t>8484938</t>
  </si>
  <si>
    <t>8482731</t>
  </si>
  <si>
    <t>8476429</t>
  </si>
  <si>
    <t>8482118</t>
  </si>
  <si>
    <t>8477070</t>
  </si>
  <si>
    <t>8483808</t>
  </si>
  <si>
    <t>8484783</t>
  </si>
  <si>
    <t>8477478</t>
  </si>
  <si>
    <t>8480873</t>
  </si>
  <si>
    <t>8482660</t>
  </si>
  <si>
    <t>8475842</t>
  </si>
  <si>
    <t>8480995</t>
  </si>
  <si>
    <t>8481481</t>
  </si>
  <si>
    <t>8484143</t>
  </si>
  <si>
    <t>8481043</t>
  </si>
  <si>
    <t>8478458</t>
  </si>
  <si>
    <t>8480074</t>
  </si>
  <si>
    <t>8482165</t>
  </si>
  <si>
    <t>8486056</t>
  </si>
  <si>
    <t>8480762</t>
  </si>
  <si>
    <t>8483890</t>
  </si>
  <si>
    <t>8479999</t>
  </si>
  <si>
    <t>8477456</t>
  </si>
  <si>
    <t>8484386</t>
  </si>
  <si>
    <t>8476458</t>
  </si>
  <si>
    <t>8482511</t>
  </si>
  <si>
    <t>8484304</t>
  </si>
  <si>
    <t>8475848</t>
  </si>
  <si>
    <t>8476889</t>
  </si>
  <si>
    <t>8481525</t>
  </si>
  <si>
    <t>8480950</t>
  </si>
  <si>
    <t>8477987</t>
  </si>
  <si>
    <t>8479371</t>
  </si>
  <si>
    <t>8481719</t>
  </si>
  <si>
    <t>8483676</t>
  </si>
  <si>
    <t>8480878</t>
  </si>
  <si>
    <t>8484768</t>
  </si>
  <si>
    <t>8483455</t>
  </si>
  <si>
    <t>8476467</t>
  </si>
  <si>
    <t>8477149</t>
  </si>
  <si>
    <t>8478904</t>
  </si>
  <si>
    <t>8480281</t>
  </si>
  <si>
    <t>8479576</t>
  </si>
  <si>
    <t>8477953</t>
  </si>
  <si>
    <t>8474189</t>
  </si>
  <si>
    <t>8479941</t>
  </si>
  <si>
    <t>8478472</t>
  </si>
  <si>
    <t>8476873</t>
  </si>
  <si>
    <t>8480853</t>
  </si>
  <si>
    <t>8479980</t>
  </si>
  <si>
    <t>8480043</t>
  </si>
  <si>
    <t>8482074</t>
  </si>
  <si>
    <t>8479982</t>
  </si>
  <si>
    <t>8483398</t>
  </si>
  <si>
    <t>8479772</t>
  </si>
  <si>
    <t>8478046</t>
  </si>
  <si>
    <t>8476994</t>
  </si>
  <si>
    <t>8481725</t>
  </si>
  <si>
    <t>8476292</t>
  </si>
  <si>
    <t>8483471</t>
  </si>
  <si>
    <t>8483695</t>
  </si>
  <si>
    <t>8476882</t>
  </si>
  <si>
    <t>8484180</t>
  </si>
  <si>
    <t>8483450</t>
  </si>
  <si>
    <t>8476879</t>
  </si>
  <si>
    <t>8479992</t>
  </si>
  <si>
    <t>8483452</t>
  </si>
  <si>
    <t>8482126</t>
  </si>
  <si>
    <t>8482408</t>
  </si>
  <si>
    <t>8475790</t>
  </si>
  <si>
    <t>8482103</t>
  </si>
  <si>
    <t>8481068</t>
  </si>
  <si>
    <t>8478854</t>
  </si>
  <si>
    <t>8481035</t>
  </si>
  <si>
    <t>8483513</t>
  </si>
  <si>
    <t>8480829</t>
  </si>
  <si>
    <t>8481641</t>
  </si>
  <si>
    <t>8482859</t>
  </si>
  <si>
    <t>8484242</t>
  </si>
  <si>
    <t>8482125</t>
  </si>
  <si>
    <t>8483510</t>
  </si>
  <si>
    <t>8484238</t>
  </si>
  <si>
    <t>8477527</t>
  </si>
  <si>
    <t>8484185</t>
  </si>
  <si>
    <t>8479550</t>
  </si>
  <si>
    <t>8484509</t>
  </si>
  <si>
    <t>8482765</t>
  </si>
  <si>
    <t>8475764</t>
  </si>
  <si>
    <t>8484798</t>
  </si>
  <si>
    <t>8482726</t>
  </si>
  <si>
    <t>8481032</t>
  </si>
  <si>
    <t>8481122</t>
  </si>
  <si>
    <t>8479977</t>
  </si>
  <si>
    <t>8482858</t>
  </si>
  <si>
    <t>8482715</t>
  </si>
  <si>
    <t>8475324</t>
  </si>
  <si>
    <t>8482178</t>
  </si>
  <si>
    <t>8476979</t>
  </si>
  <si>
    <t>8475208</t>
  </si>
  <si>
    <t>8484149</t>
  </si>
  <si>
    <t>8481711</t>
  </si>
  <si>
    <t>8478891</t>
  </si>
  <si>
    <t>8476624</t>
  </si>
  <si>
    <t>8480834</t>
  </si>
  <si>
    <t>8482070</t>
  </si>
  <si>
    <t>8484160</t>
  </si>
  <si>
    <t>8482166</t>
  </si>
  <si>
    <t>8479293</t>
  </si>
  <si>
    <t>8480003</t>
  </si>
  <si>
    <t>8482177</t>
  </si>
  <si>
    <t>8481535</t>
  </si>
  <si>
    <t>8480813</t>
  </si>
  <si>
    <t>8479985</t>
  </si>
  <si>
    <t>8483476</t>
  </si>
  <si>
    <t>8475235</t>
  </si>
  <si>
    <t>8481593</t>
  </si>
  <si>
    <t>8484800</t>
  </si>
  <si>
    <t>8482821</t>
  </si>
  <si>
    <t>8482751</t>
  </si>
  <si>
    <t>8477919</t>
  </si>
  <si>
    <t>8484223</t>
  </si>
  <si>
    <t>8481532</t>
  </si>
  <si>
    <t>8477845</t>
  </si>
  <si>
    <t>8481167</t>
  </si>
  <si>
    <t>8479066</t>
  </si>
  <si>
    <t>8482768</t>
  </si>
  <si>
    <t>8483733</t>
  </si>
  <si>
    <t>8479336</t>
  </si>
  <si>
    <t>8481030</t>
  </si>
  <si>
    <t>8483499</t>
  </si>
  <si>
    <t>8478874</t>
  </si>
  <si>
    <t>8484240</t>
  </si>
  <si>
    <t>8484197</t>
  </si>
  <si>
    <t>8478454</t>
  </si>
  <si>
    <t>8484177</t>
  </si>
  <si>
    <t>8482090</t>
  </si>
  <si>
    <t>8482482</t>
  </si>
  <si>
    <t>8477839</t>
  </si>
  <si>
    <t>8481013</t>
  </si>
  <si>
    <t>8478233</t>
  </si>
  <si>
    <t>8482758</t>
  </si>
  <si>
    <t>8480246</t>
  </si>
  <si>
    <t>8482896</t>
  </si>
  <si>
    <t>Lev</t>
  </si>
  <si>
    <t>8483432</t>
  </si>
  <si>
    <t>8476278</t>
  </si>
  <si>
    <t>8480035</t>
  </si>
  <si>
    <t>8483460</t>
  </si>
  <si>
    <t>8481655</t>
  </si>
  <si>
    <t>8482148</t>
  </si>
  <si>
    <t>8476874</t>
  </si>
  <si>
    <t>8477444</t>
  </si>
  <si>
    <t>8482460</t>
  </si>
  <si>
    <t>8481607</t>
  </si>
  <si>
    <t>8482802</t>
  </si>
  <si>
    <t>8481568</t>
  </si>
  <si>
    <t>8479390</t>
  </si>
  <si>
    <t>8483771</t>
  </si>
  <si>
    <t>8482172</t>
  </si>
  <si>
    <t>8484958</t>
  </si>
  <si>
    <t>8481133</t>
  </si>
  <si>
    <t>8482176</t>
  </si>
  <si>
    <t>8482107</t>
  </si>
  <si>
    <t>8481556</t>
  </si>
  <si>
    <t>8480879</t>
  </si>
  <si>
    <t>8474567</t>
  </si>
  <si>
    <t>8476897</t>
  </si>
  <si>
    <t>8480870</t>
  </si>
  <si>
    <t>8479442</t>
  </si>
  <si>
    <t>8477407</t>
  </si>
  <si>
    <t>8478841</t>
  </si>
  <si>
    <t>8482911</t>
  </si>
  <si>
    <t>8481726</t>
  </si>
  <si>
    <t>8484321</t>
  </si>
  <si>
    <t>8484136</t>
  </si>
  <si>
    <t>8477073</t>
  </si>
  <si>
    <t>8482111</t>
  </si>
  <si>
    <t>8482117</t>
  </si>
  <si>
    <t>8483686</t>
  </si>
  <si>
    <t>8482700</t>
  </si>
  <si>
    <t>8483466</t>
  </si>
  <si>
    <t>8482861</t>
  </si>
  <si>
    <t>8480084</t>
  </si>
  <si>
    <t>8481056</t>
  </si>
  <si>
    <t>8481161</t>
  </si>
  <si>
    <t>8479026</t>
  </si>
  <si>
    <t>8477938</t>
  </si>
  <si>
    <t>8480001</t>
  </si>
  <si>
    <t>8480990</t>
  </si>
  <si>
    <t>8479393</t>
  </si>
  <si>
    <t>8477406</t>
  </si>
  <si>
    <t>8483768</t>
  </si>
  <si>
    <t>8478476</t>
  </si>
  <si>
    <t>8480196</t>
  </si>
  <si>
    <t>Henry</t>
  </si>
  <si>
    <t>Jeremy</t>
  </si>
  <si>
    <t>Ryan</t>
  </si>
  <si>
    <t>Harley</t>
  </si>
  <si>
    <t>Avg</t>
  </si>
  <si>
    <t>C,RW</t>
  </si>
  <si>
    <t>C,LW</t>
  </si>
  <si>
    <t>C,LW,RW</t>
  </si>
  <si>
    <t>RW</t>
  </si>
  <si>
    <t>Head-to-head</t>
  </si>
  <si>
    <t>Need</t>
  </si>
  <si>
    <t>LW</t>
  </si>
  <si>
    <t>LW,RW</t>
  </si>
  <si>
    <t>D</t>
  </si>
  <si>
    <t>SUM</t>
  </si>
  <si>
    <t>Total C</t>
  </si>
  <si>
    <t>Total RW</t>
  </si>
  <si>
    <t>Total LW</t>
  </si>
  <si>
    <t>Total D</t>
  </si>
  <si>
    <t>Total G</t>
  </si>
  <si>
    <t>CENTER</t>
  </si>
  <si>
    <t>RIGHT WING</t>
  </si>
  <si>
    <t>LEFT WING</t>
  </si>
  <si>
    <t>MULTI POSITIONAL</t>
  </si>
  <si>
    <t>Connor McDavid</t>
  </si>
  <si>
    <t>EDM</t>
  </si>
  <si>
    <t xml:space="preserve">C2 </t>
  </si>
  <si>
    <t>DEFENSE</t>
  </si>
  <si>
    <t>GOALIES</t>
  </si>
  <si>
    <t>Nikita Kucherov</t>
  </si>
  <si>
    <t>TBL</t>
  </si>
  <si>
    <t>R1</t>
  </si>
  <si>
    <t>Leon Draisaitl</t>
  </si>
  <si>
    <t xml:space="preserve">C3 L1 </t>
  </si>
  <si>
    <t>Player</t>
  </si>
  <si>
    <t>Average rank if added</t>
  </si>
  <si>
    <t>Status</t>
  </si>
  <si>
    <t>Progress</t>
  </si>
  <si>
    <t>Stop script!</t>
  </si>
  <si>
    <t>Mathieu Olivier</t>
  </si>
  <si>
    <t>Complete</t>
  </si>
  <si>
    <t>524 of 524 complete</t>
  </si>
  <si>
    <t>A.J. Greer</t>
  </si>
  <si>
    <t>Sean Monahan</t>
  </si>
  <si>
    <t>Charle-Edouard D'Astous</t>
  </si>
  <si>
    <t>Charlie Coyle</t>
  </si>
  <si>
    <t>Jordan Martinook</t>
  </si>
  <si>
    <t>Cole Perfetti</t>
  </si>
  <si>
    <t>Mason McTavish</t>
  </si>
  <si>
    <t>Frank Nazar</t>
  </si>
  <si>
    <t>Jonah Gadjovich</t>
  </si>
  <si>
    <t>Dmitry Orlov</t>
  </si>
  <si>
    <t>Jack Quinn</t>
  </si>
  <si>
    <t>Shane Pinto</t>
  </si>
  <si>
    <t>Tyson Foerster</t>
  </si>
  <si>
    <t>Charlie Stramel</t>
  </si>
  <si>
    <t>Jakob Pelletier</t>
  </si>
  <si>
    <t>Jared Wright</t>
  </si>
  <si>
    <t>Gustav Forsling</t>
  </si>
  <si>
    <t>Matt Roy</t>
  </si>
  <si>
    <t>Brayden McNabb</t>
  </si>
  <si>
    <t>Artem Zub</t>
  </si>
  <si>
    <t>Mikey Anderson</t>
  </si>
  <si>
    <t>Trevor Moore</t>
  </si>
  <si>
    <t>Kyle Palmieri</t>
  </si>
  <si>
    <t>Marco Rossi</t>
  </si>
  <si>
    <t>Ridly Greig</t>
  </si>
  <si>
    <t>Parker Kelly</t>
  </si>
  <si>
    <t>Colton Parayko</t>
  </si>
  <si>
    <t>Roger McQueen</t>
  </si>
  <si>
    <t>Erik Haula</t>
  </si>
  <si>
    <t>Pavel Mintyukov</t>
  </si>
  <si>
    <t>Mark Kastelic</t>
  </si>
  <si>
    <t>Maxim Strbak</t>
  </si>
  <si>
    <t>Jaccob Slavin</t>
  </si>
  <si>
    <t>Jason Zucker</t>
  </si>
  <si>
    <t>Josh Norris</t>
  </si>
  <si>
    <t>Roman Kantserov</t>
  </si>
  <si>
    <t>Pavel Buchnevich</t>
  </si>
  <si>
    <t>Ben Kindel</t>
  </si>
  <si>
    <t>Jonathan Huberdeau</t>
  </si>
  <si>
    <t>Taylor Hall</t>
  </si>
  <si>
    <t>Alex Killorn</t>
  </si>
  <si>
    <t>Connor McMichael</t>
  </si>
  <si>
    <t>Mackie Samoskevich</t>
  </si>
  <si>
    <t>Collin Graf</t>
  </si>
  <si>
    <t>Jake Neighbours</t>
  </si>
  <si>
    <t>Brock Boeser</t>
  </si>
  <si>
    <t>Jordan Spence</t>
  </si>
  <si>
    <t>Justin Sourdif</t>
  </si>
  <si>
    <t>Oliver Bjorkstrand</t>
  </si>
  <si>
    <t>Sheldon Dries</t>
  </si>
  <si>
    <t>Scott Laughton</t>
  </si>
  <si>
    <t>Stefan Noesen</t>
  </si>
  <si>
    <t>Dalibor Dvorsky</t>
  </si>
  <si>
    <t>Kirill Kirsanov</t>
  </si>
  <si>
    <t>Adam Larsson</t>
  </si>
  <si>
    <t>Joey Daccord</t>
  </si>
  <si>
    <t>Cole Eiserman</t>
  </si>
  <si>
    <t>Noah Cates</t>
  </si>
  <si>
    <t>Isaak Phillips</t>
  </si>
  <si>
    <t>Drew Doughty</t>
  </si>
  <si>
    <t>Drew Helleson</t>
  </si>
  <si>
    <t>Dylan Coghlan</t>
  </si>
  <si>
    <t>Brady Tkachuk</t>
  </si>
  <si>
    <t>Aaron Ekblad</t>
  </si>
  <si>
    <t>FLA</t>
  </si>
  <si>
    <t>Daemon Hunt</t>
  </si>
  <si>
    <t>Anders Lee</t>
  </si>
  <si>
    <t>Brett Leason</t>
  </si>
  <si>
    <t>Brett Berard</t>
  </si>
  <si>
    <t xml:space="preserve">C4 L2 </t>
  </si>
  <si>
    <t>Justin Kirkland</t>
  </si>
  <si>
    <t>Carter Yakemchuk</t>
  </si>
  <si>
    <t>Jared Spurgeon</t>
  </si>
  <si>
    <t>Ben Meyers</t>
  </si>
  <si>
    <t>Neal Pionk</t>
  </si>
  <si>
    <t>Rasmus Ristolainen</t>
  </si>
  <si>
    <t>Brady Skjei</t>
  </si>
  <si>
    <t>Owen Beck</t>
  </si>
  <si>
    <t>Jordan Harris</t>
  </si>
  <si>
    <t>Niko Mikkola</t>
  </si>
  <si>
    <t>Dylan DeMelo</t>
  </si>
  <si>
    <t>Jaroslav Chmelar</t>
  </si>
  <si>
    <t>Eric Pohlkamp</t>
  </si>
  <si>
    <t>Kaiden Guhle</t>
  </si>
  <si>
    <t>Brendan Gaunce</t>
  </si>
  <si>
    <t>Nikita Nesterenko</t>
  </si>
  <si>
    <t>Martin Fehérváry</t>
  </si>
  <si>
    <t>Erik Cernak</t>
  </si>
  <si>
    <t>Joel Edmundson</t>
  </si>
  <si>
    <t>Ian Cole</t>
  </si>
  <si>
    <t>Jonas Siegenthaler</t>
  </si>
  <si>
    <t>Nick Seeler</t>
  </si>
  <si>
    <t>Eeli Tolvanen</t>
  </si>
  <si>
    <t>Fabian Zetterlund</t>
  </si>
  <si>
    <t>Brett Howden</t>
  </si>
  <si>
    <t>Warren Foegele</t>
  </si>
  <si>
    <t>Zachary Bolduc</t>
  </si>
  <si>
    <t>Vitali Pinchuk</t>
  </si>
  <si>
    <t>Dmitri Voronkov</t>
  </si>
  <si>
    <t>Jake DeBrusk</t>
  </si>
  <si>
    <t>Egor Chinakhov</t>
  </si>
  <si>
    <t>Victor Eklund</t>
  </si>
  <si>
    <t>Matt Savoie</t>
  </si>
  <si>
    <t>Phillip Danault</t>
  </si>
  <si>
    <t>Lane Pederson</t>
  </si>
  <si>
    <t>Eetu Luostarinen</t>
  </si>
  <si>
    <t>Michael Amadio</t>
  </si>
  <si>
    <t>Jamie Benn</t>
  </si>
  <si>
    <t>Alex Iafallo</t>
  </si>
  <si>
    <t>Noah Hanifin</t>
  </si>
  <si>
    <t>Yanni Gourde</t>
  </si>
  <si>
    <t>Evan Rodrigues</t>
  </si>
  <si>
    <t>Ivan Provorov</t>
  </si>
  <si>
    <t>Trevor Connelly</t>
  </si>
  <si>
    <t>Maxim Shabanov</t>
  </si>
  <si>
    <t>Ryan McLeod</t>
  </si>
  <si>
    <t>Kris Letang</t>
  </si>
  <si>
    <t>Adam Pelech</t>
  </si>
  <si>
    <t>Sam Steel</t>
  </si>
  <si>
    <t>Viggo Björck</t>
  </si>
  <si>
    <t>Bradly Nadeau</t>
  </si>
  <si>
    <t>Nate Schmidt</t>
  </si>
  <si>
    <t>Dylan Samberg</t>
  </si>
  <si>
    <t>Logan O'Connor</t>
  </si>
  <si>
    <t>Nico Sturm</t>
  </si>
  <si>
    <t>Ivan Miroshnichenko</t>
  </si>
  <si>
    <t>Liam Foudy</t>
  </si>
  <si>
    <t>Ryan McDonagh</t>
  </si>
  <si>
    <t>Braden Schneider</t>
  </si>
  <si>
    <t>Ryan Pulock</t>
  </si>
  <si>
    <t>Connor Murphy</t>
  </si>
  <si>
    <t>Hunter Brzustewicz</t>
  </si>
  <si>
    <t>Eric Robinson</t>
  </si>
  <si>
    <t>Chris Tanev</t>
  </si>
  <si>
    <t>Marcus Pettersson</t>
  </si>
  <si>
    <t>Andrew Peeke</t>
  </si>
  <si>
    <t>Arttu Hyry</t>
  </si>
  <si>
    <t>Brandon Carlo</t>
  </si>
  <si>
    <t>Viktor Arvidsson</t>
  </si>
  <si>
    <t>Morgan Frost</t>
  </si>
  <si>
    <t>Boone Jenner</t>
  </si>
  <si>
    <t>Alex Newhook</t>
  </si>
  <si>
    <t>Dawson Mercer</t>
  </si>
  <si>
    <t>Ilya Protas</t>
  </si>
  <si>
    <t>Jonathan Marchessault</t>
  </si>
  <si>
    <t>Bobby Brink</t>
  </si>
  <si>
    <t>Simon Holmstrom</t>
  </si>
  <si>
    <t>Joel Farabee</t>
  </si>
  <si>
    <t>Shane Wright</t>
  </si>
  <si>
    <t>Anthony Stolarz</t>
  </si>
  <si>
    <t>Corey Perry</t>
  </si>
  <si>
    <t>Yegor Chinakhov</t>
  </si>
  <si>
    <t>Matthew Wood</t>
  </si>
  <si>
    <t>Oliver Ekman-Larsson</t>
  </si>
  <si>
    <t>Jack Drury</t>
  </si>
  <si>
    <t>Sean Couturier</t>
  </si>
  <si>
    <t>Morgan Barron</t>
  </si>
  <si>
    <t>Connor Dewar</t>
  </si>
  <si>
    <t>Cole Sillinger</t>
  </si>
  <si>
    <t>Damon Severson</t>
  </si>
  <si>
    <t>Joel Armia</t>
  </si>
  <si>
    <t>Ryan Poehling</t>
  </si>
  <si>
    <t>Anthony Beauvillier</t>
  </si>
  <si>
    <t>Konsta Helenius</t>
  </si>
  <si>
    <t>Dominic James</t>
  </si>
  <si>
    <t>Marco Kasper</t>
  </si>
  <si>
    <t>Nino Niederreiter</t>
  </si>
  <si>
    <t>Kirby Dach</t>
  </si>
  <si>
    <t>Ross Colton</t>
  </si>
  <si>
    <t>Michael Carcone</t>
  </si>
  <si>
    <t>James Hagens</t>
  </si>
  <si>
    <t>Adam Lowry</t>
  </si>
  <si>
    <t>Jake Evans</t>
  </si>
  <si>
    <t>Jean-Gabriel Pageau</t>
  </si>
  <si>
    <t>Sean Durzi</t>
  </si>
  <si>
    <t>Jack Eichel</t>
  </si>
  <si>
    <t>Brent Burns</t>
  </si>
  <si>
    <t>VGK</t>
  </si>
  <si>
    <t>Gage Goncalves</t>
  </si>
  <si>
    <t>Frank Vatrano</t>
  </si>
  <si>
    <t>Jamie Drysdale</t>
  </si>
  <si>
    <t>Jake Walman</t>
  </si>
  <si>
    <t xml:space="preserve">C5 </t>
  </si>
  <si>
    <t>Victor Olofsson</t>
  </si>
  <si>
    <t>Connor Brown</t>
  </si>
  <si>
    <t>Easton Cowan</t>
  </si>
  <si>
    <t>Ilya Mikheyev</t>
  </si>
  <si>
    <t>Emmitt Finnie</t>
  </si>
  <si>
    <t>Drew O'Connor</t>
  </si>
  <si>
    <t>Conor Garland</t>
  </si>
  <si>
    <t>Jalen Chatfield</t>
  </si>
  <si>
    <t>Michael McCarron</t>
  </si>
  <si>
    <t>Alexander Kerfoot</t>
  </si>
  <si>
    <t>Nick Foligno</t>
  </si>
  <si>
    <t>Teddy Blueger</t>
  </si>
  <si>
    <t>Kaedan Korczak</t>
  </si>
  <si>
    <t>Radek Faksa</t>
  </si>
  <si>
    <t>Kai Uchacz</t>
  </si>
  <si>
    <t>Alexandre Carrier</t>
  </si>
  <si>
    <t>Colby Barlow</t>
  </si>
  <si>
    <t>Artyom Levshunov</t>
  </si>
  <si>
    <t>Steven Lorentz</t>
  </si>
  <si>
    <t>Jake Middleton</t>
  </si>
  <si>
    <t>Jonas Brodin</t>
  </si>
  <si>
    <t>Josh Anderson</t>
  </si>
  <si>
    <t>Cole Koepke</t>
  </si>
  <si>
    <t>Casey Cizikas</t>
  </si>
  <si>
    <t>Matty Beniers</t>
  </si>
  <si>
    <t>Jiri Kulich</t>
  </si>
  <si>
    <t>Pius Suter</t>
  </si>
  <si>
    <t>Oliver Kapanen</t>
  </si>
  <si>
    <t>Arseny Gritsyuk</t>
  </si>
  <si>
    <t>Alex Bump</t>
  </si>
  <si>
    <t>Matvei Gridin</t>
  </si>
  <si>
    <t>Nick Robertson</t>
  </si>
  <si>
    <t>Andrei Kuzmenko</t>
  </si>
  <si>
    <t>Justin Brazeau</t>
  </si>
  <si>
    <t>Michael Eyssimont</t>
  </si>
  <si>
    <t>Gavin Brindley</t>
  </si>
  <si>
    <t>Logan Mailloux</t>
  </si>
  <si>
    <t>Brendan Gallagher</t>
  </si>
  <si>
    <t>Kaapo Kakko</t>
  </si>
  <si>
    <t>Kevin Stenlund</t>
  </si>
  <si>
    <t>Jeffrey Viel</t>
  </si>
  <si>
    <t>Hunter Haight</t>
  </si>
  <si>
    <t>Cody Glass</t>
  </si>
  <si>
    <t>Thatcher Demko</t>
  </si>
  <si>
    <t>Akira Schmid</t>
  </si>
  <si>
    <t>Arber Xhekaj</t>
  </si>
  <si>
    <t>David Rittich</t>
  </si>
  <si>
    <t>Connor Clifton</t>
  </si>
  <si>
    <t>Jack McBain</t>
  </si>
  <si>
    <t>Radko Gudas</t>
  </si>
  <si>
    <t>Brenden Dillon</t>
  </si>
  <si>
    <t>Justin Faulk</t>
  </si>
  <si>
    <t>Johnathan Kovacevic</t>
  </si>
  <si>
    <t>Garnet Hathaway</t>
  </si>
  <si>
    <t>Tyson Hinds</t>
  </si>
  <si>
    <t>Marcus Foligno</t>
  </si>
  <si>
    <t>Justin Hryckowian</t>
  </si>
  <si>
    <t>Alex Steeves</t>
  </si>
  <si>
    <t>Ethen Frank</t>
  </si>
  <si>
    <t>Dakota Joshua</t>
  </si>
  <si>
    <t>Cam York</t>
  </si>
  <si>
    <t>Tye Kartye</t>
  </si>
  <si>
    <t>Keegan Kolesar</t>
  </si>
  <si>
    <t>Vladislav Namestnikov</t>
  </si>
  <si>
    <t>Zachary L'Heureux</t>
  </si>
  <si>
    <t>Nicolas Roy</t>
  </si>
  <si>
    <t>Alexander Holtz</t>
  </si>
  <si>
    <t>Emil Lilleberg</t>
  </si>
  <si>
    <t>Tanner Jeannot</t>
  </si>
  <si>
    <t>Rasmus Sandin</t>
  </si>
  <si>
    <t>Nic Dowd</t>
  </si>
  <si>
    <t>Josh Samanski</t>
  </si>
  <si>
    <t>Brayden Yager</t>
  </si>
  <si>
    <t>Tyler Kleven</t>
  </si>
  <si>
    <t>Beck Malenstyn</t>
  </si>
  <si>
    <t>Dmitry Kulikov</t>
  </si>
  <si>
    <t>Joel Kiviranta</t>
  </si>
  <si>
    <t>Tyler Myers</t>
  </si>
  <si>
    <t>Tanner Molendyk</t>
  </si>
  <si>
    <t>Vinnie Hinostroza</t>
  </si>
  <si>
    <t>Anton Wahlberg</t>
  </si>
  <si>
    <t>Amadeus Lombardi</t>
  </si>
  <si>
    <t>Lian Bichsel</t>
  </si>
  <si>
    <t>Nathan Walker</t>
  </si>
  <si>
    <t>Mario Ferraro</t>
  </si>
  <si>
    <t>Zach Whitecloud</t>
  </si>
  <si>
    <t>Alexander Romanov</t>
  </si>
  <si>
    <t>Louis Crevier</t>
  </si>
  <si>
    <t>Will Borgen</t>
  </si>
  <si>
    <t>Ryan Lindgren</t>
  </si>
  <si>
    <t>Tanner Laczynski</t>
  </si>
  <si>
    <t>Scott Mayfield</t>
  </si>
  <si>
    <t>Erik Gudbranson</t>
  </si>
  <si>
    <t>Christian Dvorak</t>
  </si>
  <si>
    <t>Emil Heineman</t>
  </si>
  <si>
    <t>Brayden Schenn</t>
  </si>
  <si>
    <t>Linus Karlsson</t>
  </si>
  <si>
    <t>Nick Lardis</t>
  </si>
  <si>
    <t>Tommy Novak</t>
  </si>
  <si>
    <t>Jaden Schwartz</t>
  </si>
  <si>
    <t>Owen Power</t>
  </si>
  <si>
    <t>Tristan Luneau</t>
  </si>
  <si>
    <t>Michael Kesselring</t>
  </si>
  <si>
    <t>Yegor Sharangovich</t>
  </si>
  <si>
    <t>Alexander Wennberg</t>
  </si>
  <si>
    <t>Pontus Holmberg</t>
  </si>
  <si>
    <t>Blake Lizotte</t>
  </si>
  <si>
    <t>Danton Heinen</t>
  </si>
  <si>
    <t>Kasperi Kapanen</t>
  </si>
  <si>
    <t>Samuel Honzek</t>
  </si>
  <si>
    <t>Noah Laba</t>
  </si>
  <si>
    <t>Martin Pospisil</t>
  </si>
  <si>
    <t>Sam Rinzel</t>
  </si>
  <si>
    <t>Denver Barkey</t>
  </si>
  <si>
    <t>Peyton Krebs</t>
  </si>
  <si>
    <t>Jesperi Kotkaniemi</t>
  </si>
  <si>
    <t>Kailer Yamamoto</t>
  </si>
  <si>
    <t>Simon Nemec</t>
  </si>
  <si>
    <t>Cale Makar</t>
  </si>
  <si>
    <t>Brad Lambert</t>
  </si>
  <si>
    <t>Sam Colangelo</t>
  </si>
  <si>
    <t>Jonathan Lekkerimäki</t>
  </si>
  <si>
    <t>Teuvo Teravainen</t>
  </si>
  <si>
    <t>D1</t>
  </si>
  <si>
    <t>Brandon Duhaime</t>
  </si>
  <si>
    <t>Emil Andrae</t>
  </si>
  <si>
    <t>John Marino</t>
  </si>
  <si>
    <t>Mathieu Joseph</t>
  </si>
  <si>
    <t>Samuel Girard</t>
  </si>
  <si>
    <t>Ty Dellandrea</t>
  </si>
  <si>
    <t>Justin Danforth</t>
  </si>
  <si>
    <t>Ben Chiarot</t>
  </si>
  <si>
    <t>Yan Kuznetsov</t>
  </si>
  <si>
    <t>Lars Eller</t>
  </si>
  <si>
    <t>Nick Cousins</t>
  </si>
  <si>
    <t>Miles Wood</t>
  </si>
  <si>
    <t>Mason Appleton</t>
  </si>
  <si>
    <t>Zemgus Girgensons</t>
  </si>
  <si>
    <t>Alexander Petrovic</t>
  </si>
  <si>
    <t>Dmitri Simashev</t>
  </si>
  <si>
    <t>Max Crozier</t>
  </si>
  <si>
    <t>Jason Dickinson</t>
  </si>
  <si>
    <t>Nick Bjugstad</t>
  </si>
  <si>
    <t>Cole Schwindt</t>
  </si>
  <si>
    <t>Jack St. Ivany</t>
  </si>
  <si>
    <t>Sean Kuraly</t>
  </si>
  <si>
    <t>Tim Washe</t>
  </si>
  <si>
    <t>Mark Jankowski</t>
  </si>
  <si>
    <t>Ryan Winterton</t>
  </si>
  <si>
    <t>Noel Acciari</t>
  </si>
  <si>
    <t>Jonathan Aspirot</t>
  </si>
  <si>
    <t>Tyler Tucker</t>
  </si>
  <si>
    <t>Colton Sissons</t>
  </si>
  <si>
    <t>William Carrier</t>
  </si>
  <si>
    <t>Brett Pesce</t>
  </si>
  <si>
    <t>Cody Ceci</t>
  </si>
  <si>
    <t>Sandis Vilmanis</t>
  </si>
  <si>
    <t>Dante Fabbro</t>
  </si>
  <si>
    <t>Conor Timmins</t>
  </si>
  <si>
    <t>Jesper Boqvist</t>
  </si>
  <si>
    <t>Cole Smith</t>
  </si>
  <si>
    <t>Landon Slaggert</t>
  </si>
  <si>
    <t>Declan Carlile</t>
  </si>
  <si>
    <t>Zach Bogosian</t>
  </si>
  <si>
    <t>Colin Blackwell</t>
  </si>
  <si>
    <t>Ty Emberson</t>
  </si>
  <si>
    <t>Tyson Kozak</t>
  </si>
  <si>
    <t>Sam Carrick</t>
  </si>
  <si>
    <t>Bo Groulx</t>
  </si>
  <si>
    <t>Zack Ostapchuk</t>
  </si>
  <si>
    <t>Ilya Lyubushkin</t>
  </si>
  <si>
    <t>Calum Ritchie</t>
  </si>
  <si>
    <t>Ryan Donato</t>
  </si>
  <si>
    <t>Connor Zary</t>
  </si>
  <si>
    <t>Danila Yurov</t>
  </si>
  <si>
    <t>Alexandre Texier</t>
  </si>
  <si>
    <t>Stephen Halliday</t>
  </si>
  <si>
    <t>Olen Zellweger</t>
  </si>
  <si>
    <t>Daniil But</t>
  </si>
  <si>
    <t>Barrett Hayton</t>
  </si>
  <si>
    <t>Lukas Dostal</t>
  </si>
  <si>
    <t>Conor Geekie</t>
  </si>
  <si>
    <t>Hampus Lindholm</t>
  </si>
  <si>
    <t>Ryan Greene</t>
  </si>
  <si>
    <t>Liam Ohgren</t>
  </si>
  <si>
    <t>Tony DeAngelo</t>
  </si>
  <si>
    <t>Alex Turcotte</t>
  </si>
  <si>
    <t>Fedor Svechkov</t>
  </si>
  <si>
    <t>Kent Johnson</t>
  </si>
  <si>
    <t>Nate Danielson</t>
  </si>
  <si>
    <t>Isak Rosen</t>
  </si>
  <si>
    <t>Maveric Lamoureux</t>
  </si>
  <si>
    <t>Sam Dickinson</t>
  </si>
  <si>
    <t>Nils Lundkvist</t>
  </si>
  <si>
    <t>Ondrej Palat</t>
  </si>
  <si>
    <t>Erik Gustafsson</t>
  </si>
  <si>
    <t>Nikita Grebenkin</t>
  </si>
  <si>
    <t>Nils Hoglander</t>
  </si>
  <si>
    <t>Elmer Soderblom</t>
  </si>
  <si>
    <t>Marat Khusnutdinov</t>
  </si>
  <si>
    <t>Taylor Raddysh</t>
  </si>
  <si>
    <t>Maxim Tsyplakov</t>
  </si>
  <si>
    <t>Matias Maccelli</t>
  </si>
  <si>
    <t>Jonatan Berggren</t>
  </si>
  <si>
    <t>Marc Gatcomb</t>
  </si>
  <si>
    <t>Nick Jensen</t>
  </si>
  <si>
    <t>Colton White</t>
  </si>
  <si>
    <t>Brian Dumoulin</t>
  </si>
  <si>
    <t>Ryker Evans</t>
  </si>
  <si>
    <t>Elias Salomonsson</t>
  </si>
  <si>
    <t>Shakir Mukhamadullin</t>
  </si>
  <si>
    <t>Trent Frederic</t>
  </si>
  <si>
    <t>Andrew Mangiapane</t>
  </si>
  <si>
    <t>Zack MacEwen</t>
  </si>
  <si>
    <t>Matthew Robertson</t>
  </si>
  <si>
    <t>Scott Sabourin</t>
  </si>
  <si>
    <t>Samuel Helenius</t>
  </si>
  <si>
    <t>Jack Finley</t>
  </si>
  <si>
    <t>Brayden Pachal</t>
  </si>
  <si>
    <t>Noah Juulsen</t>
  </si>
  <si>
    <t>Cale Fleury</t>
  </si>
  <si>
    <t>Jeff Malott</t>
  </si>
  <si>
    <t>Jayden Struble</t>
  </si>
  <si>
    <t>Ozzy Wiesblatt</t>
  </si>
  <si>
    <t>Carl Grundstrom</t>
  </si>
  <si>
    <t>Cole Reinhardt</t>
  </si>
  <si>
    <t>Vincent Desharnais</t>
  </si>
  <si>
    <t>Brandon Tanev</t>
  </si>
  <si>
    <t>Jacob Bernard-Docker</t>
  </si>
  <si>
    <t>Haydn Fleury</t>
  </si>
  <si>
    <t>Ross Johnston</t>
  </si>
  <si>
    <t>Jack Roslovic</t>
  </si>
  <si>
    <t>Braeden Bowman</t>
  </si>
  <si>
    <t>Max Domi</t>
  </si>
  <si>
    <t>Hendrix Lapierre</t>
  </si>
  <si>
    <t>Isaac Howard</t>
  </si>
  <si>
    <t>Casey DeSmith</t>
  </si>
  <si>
    <t>Henri Jokiharju</t>
  </si>
  <si>
    <t>Ian Moore</t>
  </si>
  <si>
    <t>Adam Gaudette</t>
  </si>
  <si>
    <t>Nikolas Matinpalo</t>
  </si>
  <si>
    <t>Matt Rempe</t>
  </si>
  <si>
    <t>Liam O'Brien</t>
  </si>
  <si>
    <t>Noah Gregor</t>
  </si>
  <si>
    <t>Ryan Lomberg</t>
  </si>
  <si>
    <t>Jake Christiansen</t>
  </si>
  <si>
    <t>Dustin Wolf</t>
  </si>
  <si>
    <t>Kurtis MacDermid</t>
  </si>
  <si>
    <t>Macklin Celebrini</t>
  </si>
  <si>
    <t>Adam Edstrom</t>
  </si>
  <si>
    <t>SJS</t>
  </si>
  <si>
    <t>Nicolas Deslauriers</t>
  </si>
  <si>
    <t>Philippe Myers</t>
  </si>
  <si>
    <t>Parker Wotherspoon</t>
  </si>
  <si>
    <t>Kevin Bahl</t>
  </si>
  <si>
    <t xml:space="preserve">C6 </t>
  </si>
  <si>
    <t>Timothy Liljegren</t>
  </si>
  <si>
    <t>Luke Schenn</t>
  </si>
  <si>
    <t>Adam Klapka</t>
  </si>
  <si>
    <t>Denton Mateychuk</t>
  </si>
  <si>
    <t>Colton Dach</t>
  </si>
  <si>
    <t>Jordan Greenway</t>
  </si>
  <si>
    <t>Michael Rasmussen</t>
  </si>
  <si>
    <t>Brett Kulak</t>
  </si>
  <si>
    <t>Oskar Sundqvist</t>
  </si>
  <si>
    <t>Mason Lohrei</t>
  </si>
  <si>
    <t>Noah Ostlund</t>
  </si>
  <si>
    <t>Uvis Balinskis</t>
  </si>
  <si>
    <t>Paul Cotter</t>
  </si>
  <si>
    <t>Nicolas Hague</t>
  </si>
  <si>
    <t>Alexey Toropchenko</t>
  </si>
  <si>
    <t>John Beecher</t>
  </si>
  <si>
    <t>Trevor van Riemsdyk</t>
  </si>
  <si>
    <t>Barclay Goodrow</t>
  </si>
  <si>
    <t>Joe Veleno</t>
  </si>
  <si>
    <t>Jamie Oleksiak</t>
  </si>
  <si>
    <t>Albert Johansson</t>
  </si>
  <si>
    <t>Filip Chytil</t>
  </si>
  <si>
    <t>Casey Mittelstadt</t>
  </si>
  <si>
    <t>Ryan Shea</t>
  </si>
  <si>
    <t>Ryan Ufko</t>
  </si>
  <si>
    <t>Mitchell Chaffee</t>
  </si>
  <si>
    <t>Frederick Gaudreau</t>
  </si>
  <si>
    <t>Andre Burakovsky</t>
  </si>
  <si>
    <t>Tyson Gross</t>
  </si>
  <si>
    <t>J.T. Compher</t>
  </si>
  <si>
    <t>Conor Sheary</t>
  </si>
  <si>
    <t>Axel Sandin-Pellikka</t>
  </si>
  <si>
    <t>Ville Koivunen</t>
  </si>
  <si>
    <t>Nolan Allan</t>
  </si>
  <si>
    <t>Wyatt Kaiser</t>
  </si>
  <si>
    <t>Joel Nystrom</t>
  </si>
  <si>
    <t>Alex Vlasic</t>
  </si>
  <si>
    <t>Reid Schaefer</t>
  </si>
  <si>
    <t>Simon Benoit</t>
  </si>
  <si>
    <t>Olli Maatta</t>
  </si>
  <si>
    <t>Carter Mazur</t>
  </si>
  <si>
    <t>Nick DeSimone</t>
  </si>
  <si>
    <t>Mattias Janmark</t>
  </si>
  <si>
    <t>Lenni Hameenaho</t>
  </si>
  <si>
    <t>Alex Lyon</t>
  </si>
  <si>
    <t>Luca Del Bel Belluz</t>
  </si>
  <si>
    <t>Oliver Moore</t>
  </si>
  <si>
    <t>Tom Willander</t>
  </si>
  <si>
    <t>Berkly Catton</t>
  </si>
  <si>
    <t>Mike Benning</t>
  </si>
  <si>
    <t>Adam Wilsby</t>
  </si>
  <si>
    <t>David Jiricek</t>
  </si>
  <si>
    <t>Kevin Korchinski</t>
  </si>
  <si>
    <t>Max Sasson</t>
  </si>
  <si>
    <t>Adam Engstrom</t>
  </si>
  <si>
    <t>Justin Barron</t>
  </si>
  <si>
    <t>Victor Mancini</t>
  </si>
  <si>
    <t>Urho Vaakanainen</t>
  </si>
  <si>
    <t>Declan Chisholm</t>
  </si>
  <si>
    <t>Jacob Bryson</t>
  </si>
  <si>
    <t>Spencer Stastney</t>
  </si>
  <si>
    <t>Joseph Woll</t>
  </si>
  <si>
    <t>Kyle Capobianco</t>
  </si>
  <si>
    <t>Cam Fowler</t>
  </si>
  <si>
    <t>Nick Perbix</t>
  </si>
  <si>
    <t>Ryan Strome</t>
  </si>
  <si>
    <t>Anthony Duclair</t>
  </si>
  <si>
    <t>Lukas Reichel</t>
  </si>
  <si>
    <t>Vincent Iorio</t>
  </si>
  <si>
    <t>Troy Stecher</t>
  </si>
  <si>
    <t>Nico Daws</t>
  </si>
  <si>
    <t>Alex Nedeljkovic</t>
  </si>
  <si>
    <t>Adin Hill</t>
  </si>
  <si>
    <t>Sebastian Cossa</t>
  </si>
  <si>
    <t>Arturs Silovs</t>
  </si>
  <si>
    <t>Sergei Murashov</t>
  </si>
  <si>
    <t>Samuel Montembeault</t>
  </si>
  <si>
    <t>Michael DiPietro</t>
  </si>
  <si>
    <t>Philipp Grubauer</t>
  </si>
  <si>
    <t>Kevin Lankinen</t>
  </si>
  <si>
    <t>Dennis Hildeby</t>
  </si>
  <si>
    <t>Devin Cooley</t>
  </si>
  <si>
    <t>Joonas Korpisalo</t>
  </si>
  <si>
    <t>Elvis Merzlikins</t>
  </si>
  <si>
    <t>Justus Annunen</t>
  </si>
  <si>
    <t>Daniil Tarasov</t>
  </si>
  <si>
    <t>Ville Husso</t>
  </si>
  <si>
    <t>Eric Comrie</t>
  </si>
  <si>
    <t>Semyon Varlamov</t>
  </si>
  <si>
    <t>Calvin Pickard</t>
  </si>
  <si>
    <t>Colten Ellis</t>
  </si>
  <si>
    <t>Jonas Johansson</t>
  </si>
  <si>
    <t>Samuel Ersson</t>
  </si>
  <si>
    <t>Vitek Vanecek</t>
  </si>
  <si>
    <t>Arvid Soderblom</t>
  </si>
  <si>
    <t>Auston Matthews</t>
  </si>
  <si>
    <t>TOR</t>
  </si>
  <si>
    <t xml:space="preserve">C7 </t>
  </si>
  <si>
    <t>Brandon Hagel</t>
  </si>
  <si>
    <t>L3 R2</t>
  </si>
  <si>
    <t>To do</t>
  </si>
  <si>
    <t>Auto import nhl stats</t>
  </si>
  <si>
    <t>Head to head matchups</t>
  </si>
  <si>
    <t>Lev comparison</t>
  </si>
  <si>
    <t xml:space="preserve">Playoff schedule and stats maximize </t>
  </si>
  <si>
    <t>Logan Thompson</t>
  </si>
  <si>
    <t>WSH</t>
  </si>
  <si>
    <t>G1</t>
  </si>
  <si>
    <t>Evan Bouchard</t>
  </si>
  <si>
    <t>D2</t>
  </si>
  <si>
    <t>Nick Suzuki</t>
  </si>
  <si>
    <t>MTL</t>
  </si>
  <si>
    <t xml:space="preserve">C8 </t>
  </si>
  <si>
    <t>Sebastian Aho</t>
  </si>
  <si>
    <t>CAR</t>
  </si>
  <si>
    <t xml:space="preserve">C9 </t>
  </si>
  <si>
    <t>Andrei Vasilevskiy</t>
  </si>
  <si>
    <t>G2</t>
  </si>
  <si>
    <t>Tom Wilson</t>
  </si>
  <si>
    <t>R3</t>
  </si>
  <si>
    <t>David Pastrnak</t>
  </si>
  <si>
    <t>BOS</t>
  </si>
  <si>
    <t>R4</t>
  </si>
  <si>
    <t>Matt Boldy</t>
  </si>
  <si>
    <t>MIN</t>
  </si>
  <si>
    <t>L4 R5</t>
  </si>
  <si>
    <t>Aleksander Barkov</t>
  </si>
  <si>
    <t xml:space="preserve">C10 </t>
  </si>
  <si>
    <t>Kirill Kaprizov</t>
  </si>
  <si>
    <t xml:space="preserve">L5 </t>
  </si>
  <si>
    <t>Connor Hellebuyck</t>
  </si>
  <si>
    <t>WPG</t>
  </si>
  <si>
    <t>G3</t>
  </si>
  <si>
    <t>Jason Robertson</t>
  </si>
  <si>
    <t>DAL</t>
  </si>
  <si>
    <t>L6 R6</t>
  </si>
  <si>
    <t>Scott Wedgewood</t>
  </si>
  <si>
    <t>G4</t>
  </si>
  <si>
    <t>Igor Shesterkin</t>
  </si>
  <si>
    <t>NYR</t>
  </si>
  <si>
    <t>G5</t>
  </si>
  <si>
    <t>Martin Necas</t>
  </si>
  <si>
    <t>R7</t>
  </si>
  <si>
    <t>Mikko Rantanen</t>
  </si>
  <si>
    <t>L7 R8</t>
  </si>
  <si>
    <t>Moritz Seider</t>
  </si>
  <si>
    <t>DET</t>
  </si>
  <si>
    <t>D3</t>
  </si>
  <si>
    <t>Rasmus Dahlin</t>
  </si>
  <si>
    <t>BUF</t>
  </si>
  <si>
    <t>D4</t>
  </si>
  <si>
    <t>Matthew Tkachuk</t>
  </si>
  <si>
    <t>L8 R9</t>
  </si>
  <si>
    <t>Wyatt Johnston</t>
  </si>
  <si>
    <t>C11 R10</t>
  </si>
  <si>
    <t>Zach Werenski</t>
  </si>
  <si>
    <t>CBJ</t>
  </si>
  <si>
    <t>D5</t>
  </si>
  <si>
    <t>Nico Hischier</t>
  </si>
  <si>
    <t>NJD</t>
  </si>
  <si>
    <t xml:space="preserve">C12 </t>
  </si>
  <si>
    <t>Jake Guentzel</t>
  </si>
  <si>
    <t xml:space="preserve">L9 </t>
  </si>
  <si>
    <t>Sam Reinhart</t>
  </si>
  <si>
    <t>C13 R11</t>
  </si>
  <si>
    <t>Alex Tuch</t>
  </si>
  <si>
    <t>R12</t>
  </si>
  <si>
    <t>Ilya Sorokin</t>
  </si>
  <si>
    <t>NYI</t>
  </si>
  <si>
    <t>G6</t>
  </si>
  <si>
    <t>Jeremy Swayman</t>
  </si>
  <si>
    <t>G7</t>
  </si>
  <si>
    <t>Jack Hughes</t>
  </si>
  <si>
    <t xml:space="preserve">C14 L10 </t>
  </si>
  <si>
    <t>Quinn Hughes</t>
  </si>
  <si>
    <t>D6</t>
  </si>
  <si>
    <t>Tim Stützle</t>
  </si>
  <si>
    <t>OTT</t>
  </si>
  <si>
    <t xml:space="preserve">C15 L11 </t>
  </si>
  <si>
    <t>Dylan Larkin</t>
  </si>
  <si>
    <t xml:space="preserve">C16 </t>
  </si>
  <si>
    <t>Joel Eriksson Ek</t>
  </si>
  <si>
    <t xml:space="preserve">C17 </t>
  </si>
  <si>
    <t>Adrian Kempe</t>
  </si>
  <si>
    <t>LAK</t>
  </si>
  <si>
    <t>R13</t>
  </si>
  <si>
    <t>Jet Greaves</t>
  </si>
  <si>
    <t>G8</t>
  </si>
  <si>
    <t>J.T. Miller</t>
  </si>
  <si>
    <t>C18 R14</t>
  </si>
  <si>
    <t>Andrei Svechnikov</t>
  </si>
  <si>
    <t>L12 R15</t>
  </si>
  <si>
    <t>Sidney Crosby</t>
  </si>
  <si>
    <t>PIT</t>
  </si>
  <si>
    <t xml:space="preserve">C19 </t>
  </si>
  <si>
    <t>Bo Horvat</t>
  </si>
  <si>
    <t xml:space="preserve">C20 </t>
  </si>
  <si>
    <t>Jake Oettinger</t>
  </si>
  <si>
    <t>G9</t>
  </si>
  <si>
    <t>Vincent Trocheck</t>
  </si>
  <si>
    <t>UTA</t>
  </si>
  <si>
    <t xml:space="preserve">C21 </t>
  </si>
  <si>
    <t>Tage Thompson</t>
  </si>
  <si>
    <t>C22 R16</t>
  </si>
  <si>
    <t>Mark Scheifele</t>
  </si>
  <si>
    <t xml:space="preserve">C23 </t>
  </si>
  <si>
    <t>Joel Hofer</t>
  </si>
  <si>
    <t>STL</t>
  </si>
  <si>
    <t>G10</t>
  </si>
  <si>
    <t>Jesper Wallstedt</t>
  </si>
  <si>
    <t>G11</t>
  </si>
  <si>
    <t>Filip Forsberg</t>
  </si>
  <si>
    <t>NSH</t>
  </si>
  <si>
    <t xml:space="preserve">L13 </t>
  </si>
  <si>
    <t>Mitch Marner</t>
  </si>
  <si>
    <t>R17</t>
  </si>
  <si>
    <t>Dylan Cozens</t>
  </si>
  <si>
    <t xml:space="preserve">C24 </t>
  </si>
  <si>
    <t>Juraj Slafkovský</t>
  </si>
  <si>
    <t>L14 R18</t>
  </si>
  <si>
    <t>Darcy Kuemper</t>
  </si>
  <si>
    <t>G12</t>
  </si>
  <si>
    <t>Roope Hintz</t>
  </si>
  <si>
    <t xml:space="preserve">C25 </t>
  </si>
  <si>
    <t>Sam Bennett</t>
  </si>
  <si>
    <t xml:space="preserve">C26 </t>
  </si>
  <si>
    <t>Mackenzie Blackwood</t>
  </si>
  <si>
    <t>G13</t>
  </si>
  <si>
    <t>Cole Caufield</t>
  </si>
  <si>
    <t>L15 R19</t>
  </si>
  <si>
    <t>Anthony Cirelli</t>
  </si>
  <si>
    <t xml:space="preserve">C27 </t>
  </si>
  <si>
    <t>Mika Zibanejad</t>
  </si>
  <si>
    <t>C28 R20</t>
  </si>
  <si>
    <t>Brock Nelson</t>
  </si>
  <si>
    <t xml:space="preserve">C29 </t>
  </si>
  <si>
    <t>Zach Hyman</t>
  </si>
  <si>
    <t>L16 R21</t>
  </si>
  <si>
    <t>Robert Thomas</t>
  </si>
  <si>
    <t xml:space="preserve">C30 </t>
  </si>
  <si>
    <t>Jakob Chychrun</t>
  </si>
  <si>
    <t>D7</t>
  </si>
  <si>
    <t>Cutter Gauthier</t>
  </si>
  <si>
    <t>ANA</t>
  </si>
  <si>
    <t xml:space="preserve">L17 </t>
  </si>
  <si>
    <t>Charlie McAvoy</t>
  </si>
  <si>
    <t>D8</t>
  </si>
  <si>
    <t>Dylan Holloway</t>
  </si>
  <si>
    <t xml:space="preserve">C31 L18 </t>
  </si>
  <si>
    <t>Leo Carlsson</t>
  </si>
  <si>
    <t xml:space="preserve">C32 </t>
  </si>
  <si>
    <t>Mark Stone</t>
  </si>
  <si>
    <t>R22</t>
  </si>
  <si>
    <t>Karel Vejmelka</t>
  </si>
  <si>
    <t>G14</t>
  </si>
  <si>
    <t>Kyle Connor</t>
  </si>
  <si>
    <t xml:space="preserve">L19 </t>
  </si>
  <si>
    <t>Dan Vladar</t>
  </si>
  <si>
    <t>PHI</t>
  </si>
  <si>
    <t>G15</t>
  </si>
  <si>
    <t>Undrafted</t>
  </si>
  <si>
    <t>G16</t>
  </si>
  <si>
    <t>Lane Hutson</t>
  </si>
  <si>
    <t>D9</t>
  </si>
  <si>
    <t>Adam Fantilli</t>
  </si>
  <si>
    <t xml:space="preserve">C33 </t>
  </si>
  <si>
    <t>Porter Martone</t>
  </si>
  <si>
    <t>R23</t>
  </si>
  <si>
    <t>Nikita Zadorov</t>
  </si>
  <si>
    <t>D10</t>
  </si>
  <si>
    <t>Darren Raddysh</t>
  </si>
  <si>
    <t>D11</t>
  </si>
  <si>
    <t>Travis Konecny</t>
  </si>
  <si>
    <t>L20 R24</t>
  </si>
  <si>
    <t>Matthew Schaefer</t>
  </si>
  <si>
    <t>D12</t>
  </si>
  <si>
    <t>Dylan Guenther</t>
  </si>
  <si>
    <t>R25</t>
  </si>
  <si>
    <t>Jake Sanderson</t>
  </si>
  <si>
    <t>D13</t>
  </si>
  <si>
    <t>R26</t>
  </si>
  <si>
    <t>Clayton Keller</t>
  </si>
  <si>
    <t>L21 R27</t>
  </si>
  <si>
    <t>Pyotr Kochetkov</t>
  </si>
  <si>
    <t>G17</t>
  </si>
  <si>
    <t>Brandt Clarke</t>
  </si>
  <si>
    <t>D14</t>
  </si>
  <si>
    <t>Quinton Byfield</t>
  </si>
  <si>
    <t xml:space="preserve">C34 L22 </t>
  </si>
  <si>
    <t>SEA</t>
  </si>
  <si>
    <t>G18</t>
  </si>
  <si>
    <t>Alex DeBrincat</t>
  </si>
  <si>
    <t>L23 R28</t>
  </si>
  <si>
    <t>Kirill Marchenko</t>
  </si>
  <si>
    <t>R29</t>
  </si>
  <si>
    <t>G19</t>
  </si>
  <si>
    <t>Blake Coleman</t>
  </si>
  <si>
    <t>C35 L24 R30</t>
  </si>
  <si>
    <t>John Gibson</t>
  </si>
  <si>
    <t>G20</t>
  </si>
  <si>
    <t>Logan Cooley</t>
  </si>
  <si>
    <t xml:space="preserve">C36 </t>
  </si>
  <si>
    <t>Will Cuylle</t>
  </si>
  <si>
    <t>L25 R31</t>
  </si>
  <si>
    <t>Adam Fox</t>
  </si>
  <si>
    <t>D15</t>
  </si>
  <si>
    <t>Linus Ullmark</t>
  </si>
  <si>
    <t>G21</t>
  </si>
  <si>
    <t>William Nylander</t>
  </si>
  <si>
    <t>C37 R32</t>
  </si>
  <si>
    <t>Tomas Hertl</t>
  </si>
  <si>
    <t xml:space="preserve">C38 L26 </t>
  </si>
  <si>
    <t>Miro Heiskanen</t>
  </si>
  <si>
    <t>D16</t>
  </si>
  <si>
    <t>John Tavares</t>
  </si>
  <si>
    <t xml:space="preserve">C39 </t>
  </si>
  <si>
    <t>Jesper Bratt</t>
  </si>
  <si>
    <t>L27 R33</t>
  </si>
  <si>
    <t>Brandon Bussi</t>
  </si>
  <si>
    <t>G22</t>
  </si>
  <si>
    <t>Artemi Panarin</t>
  </si>
  <si>
    <t xml:space="preserve">L28 </t>
  </si>
  <si>
    <t>MacKenzie Weegar</t>
  </si>
  <si>
    <t>D17</t>
  </si>
  <si>
    <t xml:space="preserve">C40 </t>
  </si>
  <si>
    <t>Timo Meier</t>
  </si>
  <si>
    <t>L29 R34</t>
  </si>
  <si>
    <t>Kiefer Sherwood</t>
  </si>
  <si>
    <t>R35</t>
  </si>
  <si>
    <t>Josh Manson</t>
  </si>
  <si>
    <t>D18</t>
  </si>
  <si>
    <t>Mikhail Sergachev</t>
  </si>
  <si>
    <t>D19</t>
  </si>
  <si>
    <t>John Carlson</t>
  </si>
  <si>
    <t>D20</t>
  </si>
  <si>
    <t>Darnell Nurse</t>
  </si>
  <si>
    <t>D21</t>
  </si>
  <si>
    <t>Nikolaj Ehlers</t>
  </si>
  <si>
    <t>L30 R36</t>
  </si>
  <si>
    <t>Filip Gustavsson</t>
  </si>
  <si>
    <t>G23</t>
  </si>
  <si>
    <t>Drake Batherson</t>
  </si>
  <si>
    <t>L31 R37</t>
  </si>
  <si>
    <t>Jake Allen</t>
  </si>
  <si>
    <t>G24</t>
  </si>
  <si>
    <t>Jakub Dobes</t>
  </si>
  <si>
    <t>G25</t>
  </si>
  <si>
    <t>Dylan Strome</t>
  </si>
  <si>
    <t xml:space="preserve">C41 </t>
  </si>
  <si>
    <t>Ukko-Pekka Luukkonen</t>
  </si>
  <si>
    <t>G26</t>
  </si>
  <si>
    <t>Sean Walker</t>
  </si>
  <si>
    <t>D22</t>
  </si>
  <si>
    <t>Josh Morrissey</t>
  </si>
  <si>
    <t>D23</t>
  </si>
  <si>
    <t>Anton Forsberg</t>
  </si>
  <si>
    <t>G27</t>
  </si>
  <si>
    <t>Gabriel Landeskog</t>
  </si>
  <si>
    <t xml:space="preserve">L32 </t>
  </si>
  <si>
    <t>Dougie Hamilton</t>
  </si>
  <si>
    <t>D24</t>
  </si>
  <si>
    <t xml:space="preserve">C42 L33 </t>
  </si>
  <si>
    <t>Anton Lundell</t>
  </si>
  <si>
    <t xml:space="preserve">C43 </t>
  </si>
  <si>
    <t>Alex Laferriere</t>
  </si>
  <si>
    <t>R38</t>
  </si>
  <si>
    <t>Evgeni Malkin</t>
  </si>
  <si>
    <t xml:space="preserve">C44 L34 </t>
  </si>
  <si>
    <t>Mathew Barzal</t>
  </si>
  <si>
    <t>C45 R39</t>
  </si>
  <si>
    <t>Bryan Rust</t>
  </si>
  <si>
    <t>R40</t>
  </si>
  <si>
    <t>Ryan Hartman</t>
  </si>
  <si>
    <t>C46 R41</t>
  </si>
  <si>
    <t>Ryan O'Reilly</t>
  </si>
  <si>
    <t xml:space="preserve">C47 </t>
  </si>
  <si>
    <t>Nazem Kadri</t>
  </si>
  <si>
    <t xml:space="preserve">C48 </t>
  </si>
  <si>
    <t>Brayden Point</t>
  </si>
  <si>
    <t xml:space="preserve">C49 </t>
  </si>
  <si>
    <t>Steven Stamkos</t>
  </si>
  <si>
    <t>C50 L35 R42</t>
  </si>
  <si>
    <t>Roman Josi</t>
  </si>
  <si>
    <t>D25</t>
  </si>
  <si>
    <t>Beckett Sennecke</t>
  </si>
  <si>
    <t>R43</t>
  </si>
  <si>
    <t>Jordan Staal</t>
  </si>
  <si>
    <t xml:space="preserve">C51 </t>
  </si>
  <si>
    <t>Kevin Fiala</t>
  </si>
  <si>
    <t xml:space="preserve">L36 </t>
  </si>
  <si>
    <t>Pavel Dorofeyev</t>
  </si>
  <si>
    <t>L37 R44</t>
  </si>
  <si>
    <t>Mattias Ekholm</t>
  </si>
  <si>
    <t>D26</t>
  </si>
  <si>
    <t>Seth Jarvis</t>
  </si>
  <si>
    <t>C52 L38 R45</t>
  </si>
  <si>
    <t>Alex Ovechkin</t>
  </si>
  <si>
    <t>L39 R46</t>
  </si>
  <si>
    <t>Brock Faber</t>
  </si>
  <si>
    <t>D27</t>
  </si>
  <si>
    <t>Spencer Knight</t>
  </si>
  <si>
    <t>CHI</t>
  </si>
  <si>
    <t>G28</t>
  </si>
  <si>
    <t>Nick Schmaltz</t>
  </si>
  <si>
    <t>C53 R47</t>
  </si>
  <si>
    <t>CGY</t>
  </si>
  <si>
    <t>G29</t>
  </si>
  <si>
    <t>Jackson LaCombe</t>
  </si>
  <si>
    <t>D28</t>
  </si>
  <si>
    <t>G30</t>
  </si>
  <si>
    <t>Jeremy Lauzon</t>
  </si>
  <si>
    <t>D29</t>
  </si>
  <si>
    <t>D30</t>
  </si>
  <si>
    <t>Carter Hart</t>
  </si>
  <si>
    <t>G31</t>
  </si>
  <si>
    <t>Matthew Knies</t>
  </si>
  <si>
    <t xml:space="preserve">L40 </t>
  </si>
  <si>
    <t>Vasily Podkolzin</t>
  </si>
  <si>
    <t>L41 R48</t>
  </si>
  <si>
    <t>Noah Dobson</t>
  </si>
  <si>
    <t>D31</t>
  </si>
  <si>
    <t>Owen Tippett</t>
  </si>
  <si>
    <t>L42 R49</t>
  </si>
  <si>
    <t>Pierre-Luc Dubois</t>
  </si>
  <si>
    <t xml:space="preserve">C54 L43 </t>
  </si>
  <si>
    <t>Rickard Rakell</t>
  </si>
  <si>
    <t>C55 L44 R50</t>
  </si>
  <si>
    <t>Lucas Raymond</t>
  </si>
  <si>
    <t>R51</t>
  </si>
  <si>
    <t>G32</t>
  </si>
  <si>
    <t>Ryan Leonard</t>
  </si>
  <si>
    <t>R52</t>
  </si>
  <si>
    <t>Brad Marchand</t>
  </si>
  <si>
    <t xml:space="preserve">L45 </t>
  </si>
  <si>
    <t>Shayne Gostisbehere</t>
  </si>
  <si>
    <t>D32</t>
  </si>
  <si>
    <t>Jacob Trouba</t>
  </si>
  <si>
    <t>D33</t>
  </si>
  <si>
    <t>Zach Benson</t>
  </si>
  <si>
    <t xml:space="preserve">L46 </t>
  </si>
  <si>
    <t>Victor Hedman</t>
  </si>
  <si>
    <t>D34</t>
  </si>
  <si>
    <t>Thomas Harley</t>
  </si>
  <si>
    <t>D35</t>
  </si>
  <si>
    <t>Alexander Nikishin</t>
  </si>
  <si>
    <t>D36</t>
  </si>
  <si>
    <t>D37</t>
  </si>
  <si>
    <t>Morgan Geekie</t>
  </si>
  <si>
    <t>C56 L47 R53</t>
  </si>
  <si>
    <t>K'Andre Miller</t>
  </si>
  <si>
    <t>D38</t>
  </si>
  <si>
    <t>Devon Toews</t>
  </si>
  <si>
    <t>D39</t>
  </si>
  <si>
    <t>Lawson Crouse</t>
  </si>
  <si>
    <t>L48 R54</t>
  </si>
  <si>
    <t>Shea Theodore</t>
  </si>
  <si>
    <t>D40</t>
  </si>
  <si>
    <t>C57 R55</t>
  </si>
  <si>
    <t>Rasmus Andersson</t>
  </si>
  <si>
    <t>D41</t>
  </si>
  <si>
    <t>Thomas Chabot</t>
  </si>
  <si>
    <t>D42</t>
  </si>
  <si>
    <t>D43</t>
  </si>
  <si>
    <t>Aliaksei Protas</t>
  </si>
  <si>
    <t>L49 R56</t>
  </si>
  <si>
    <t>Jake McCabe</t>
  </si>
  <si>
    <t>D44</t>
  </si>
  <si>
    <t>Simon Edvinsson</t>
  </si>
  <si>
    <t>D45</t>
  </si>
  <si>
    <t>Ryan Nugent-Hopkins</t>
  </si>
  <si>
    <t xml:space="preserve">C58 L50 </t>
  </si>
  <si>
    <t>Mason Marchment</t>
  </si>
  <si>
    <t xml:space="preserve">L51 </t>
  </si>
  <si>
    <t>D46</t>
  </si>
  <si>
    <t>VAN</t>
  </si>
  <si>
    <t>G33</t>
  </si>
  <si>
    <t xml:space="preserve">L52 </t>
  </si>
  <si>
    <t>Artturi Lehkonen</t>
  </si>
  <si>
    <t>L53 R57</t>
  </si>
  <si>
    <t>Jimmy Snuggerud</t>
  </si>
  <si>
    <t>R58</t>
  </si>
  <si>
    <t>Jacob Fowler</t>
  </si>
  <si>
    <t>G34</t>
  </si>
  <si>
    <t>J.J. Moser</t>
  </si>
  <si>
    <t>D47</t>
  </si>
  <si>
    <t>Sergei Bobrovsky</t>
  </si>
  <si>
    <t>G35</t>
  </si>
  <si>
    <t>C59 R59</t>
  </si>
  <si>
    <t>G36</t>
  </si>
  <si>
    <t>Ivan Barbashev</t>
  </si>
  <si>
    <t xml:space="preserve">L54 </t>
  </si>
  <si>
    <t>Jordan Kyrou</t>
  </si>
  <si>
    <t>R60</t>
  </si>
  <si>
    <t>Erik Karlsson</t>
  </si>
  <si>
    <t>D48</t>
  </si>
  <si>
    <t>G37</t>
  </si>
  <si>
    <t>L55 R61</t>
  </si>
  <si>
    <t>G38</t>
  </si>
  <si>
    <t>Jackson Blake</t>
  </si>
  <si>
    <t>R62</t>
  </si>
  <si>
    <t>Ivan Demidov</t>
  </si>
  <si>
    <t>R63</t>
  </si>
  <si>
    <t>Bowen Byram</t>
  </si>
  <si>
    <t>D49</t>
  </si>
  <si>
    <t>G39</t>
  </si>
  <si>
    <t>Trevor Zegras</t>
  </si>
  <si>
    <t xml:space="preserve">C60 </t>
  </si>
  <si>
    <t>G40</t>
  </si>
  <si>
    <t>Connor Bedard</t>
  </si>
  <si>
    <t>C61 R64</t>
  </si>
  <si>
    <t xml:space="preserve">C62 </t>
  </si>
  <si>
    <t>Jacob Markstrom</t>
  </si>
  <si>
    <t>G41</t>
  </si>
  <si>
    <t>Valeri Nichushkin</t>
  </si>
  <si>
    <t>L56 R65</t>
  </si>
  <si>
    <t>Matvei Michkov</t>
  </si>
  <si>
    <t>R66</t>
  </si>
  <si>
    <t>D50</t>
  </si>
  <si>
    <t>G42</t>
  </si>
  <si>
    <t>D51</t>
  </si>
  <si>
    <t>Elias Lindholm</t>
  </si>
  <si>
    <t xml:space="preserve">C63 </t>
  </si>
  <si>
    <t>Esa Lindell</t>
  </si>
  <si>
    <t>D52</t>
  </si>
  <si>
    <t xml:space="preserve">C64 L57 </t>
  </si>
  <si>
    <t>G43</t>
  </si>
  <si>
    <t xml:space="preserve">C65 </t>
  </si>
  <si>
    <t>G44</t>
  </si>
  <si>
    <t>G45</t>
  </si>
  <si>
    <t>Logan Stankoven</t>
  </si>
  <si>
    <t>C66 R67</t>
  </si>
  <si>
    <t>D53</t>
  </si>
  <si>
    <t>Carter Verhaeghe</t>
  </si>
  <si>
    <t xml:space="preserve">L58 </t>
  </si>
  <si>
    <t xml:space="preserve">C67 </t>
  </si>
  <si>
    <t>G46</t>
  </si>
  <si>
    <t>D54</t>
  </si>
  <si>
    <t>D55</t>
  </si>
  <si>
    <t>Yakov Trenin</t>
  </si>
  <si>
    <t xml:space="preserve">C68 </t>
  </si>
  <si>
    <t>Alexis Lafrenière</t>
  </si>
  <si>
    <t>L59 R68</t>
  </si>
  <si>
    <t>Seth Jones</t>
  </si>
  <si>
    <t>D56</t>
  </si>
  <si>
    <t>Sam Malinski</t>
  </si>
  <si>
    <t>D57</t>
  </si>
  <si>
    <t>Elias Pettersson</t>
  </si>
  <si>
    <t xml:space="preserve">C69 L60 </t>
  </si>
  <si>
    <t xml:space="preserve">L61 </t>
  </si>
  <si>
    <t>Travis Sanheim</t>
  </si>
  <si>
    <t>D58</t>
  </si>
  <si>
    <t>Stuart Skinner</t>
  </si>
  <si>
    <t>G47</t>
  </si>
  <si>
    <t>Gabriel Vilardi</t>
  </si>
  <si>
    <t>C70 R69</t>
  </si>
  <si>
    <t>Josh Doan</t>
  </si>
  <si>
    <t>R70</t>
  </si>
  <si>
    <t xml:space="preserve">C71 </t>
  </si>
  <si>
    <t xml:space="preserve">C72 </t>
  </si>
  <si>
    <t>William Karlsson</t>
  </si>
  <si>
    <t xml:space="preserve">C73 </t>
  </si>
  <si>
    <t>C74 R71</t>
  </si>
  <si>
    <t>Bobby McMann</t>
  </si>
  <si>
    <t xml:space="preserve">L62 </t>
  </si>
  <si>
    <t>G48</t>
  </si>
  <si>
    <t xml:space="preserve">C75 </t>
  </si>
  <si>
    <t>D59</t>
  </si>
  <si>
    <t>Juuse Saros</t>
  </si>
  <si>
    <t>G49</t>
  </si>
  <si>
    <t>Mattias Samuelsson</t>
  </si>
  <si>
    <t>D60</t>
  </si>
  <si>
    <t>Jared McCann</t>
  </si>
  <si>
    <t xml:space="preserve">C76 L63 </t>
  </si>
  <si>
    <t>Mike Matheson</t>
  </si>
  <si>
    <t>D61</t>
  </si>
  <si>
    <t xml:space="preserve">C77 </t>
  </si>
  <si>
    <t>Mikael Granlund</t>
  </si>
  <si>
    <t>C78 L64 R72</t>
  </si>
  <si>
    <t>L65 R73</t>
  </si>
  <si>
    <t>Devon Levi</t>
  </si>
  <si>
    <t>G50</t>
  </si>
  <si>
    <t>Pavel Zacha</t>
  </si>
  <si>
    <t xml:space="preserve">C79 L66 </t>
  </si>
  <si>
    <t xml:space="preserve">L67 </t>
  </si>
  <si>
    <t>D62</t>
  </si>
  <si>
    <t>Anton Frondell</t>
  </si>
  <si>
    <t xml:space="preserve">C80 </t>
  </si>
  <si>
    <t>D63</t>
  </si>
  <si>
    <t>D64</t>
  </si>
  <si>
    <t>Chris Kreider</t>
  </si>
  <si>
    <t xml:space="preserve">L68 </t>
  </si>
  <si>
    <t xml:space="preserve">L69 </t>
  </si>
  <si>
    <t>R74</t>
  </si>
  <si>
    <t xml:space="preserve">C81 L70 </t>
  </si>
  <si>
    <t>R75</t>
  </si>
  <si>
    <t>Frederik Andersen</t>
  </si>
  <si>
    <t>G51</t>
  </si>
  <si>
    <t>C82 R76</t>
  </si>
  <si>
    <t xml:space="preserve">C83 L71 </t>
  </si>
  <si>
    <t>D65</t>
  </si>
  <si>
    <t>William Eklund</t>
  </si>
  <si>
    <t xml:space="preserve">L72 </t>
  </si>
  <si>
    <t>Gavin McKenna</t>
  </si>
  <si>
    <t xml:space="preserve">L73 </t>
  </si>
  <si>
    <t xml:space="preserve">C84 </t>
  </si>
  <si>
    <t>Claude Giroux</t>
  </si>
  <si>
    <t>L74 R77</t>
  </si>
  <si>
    <t xml:space="preserve">C85 </t>
  </si>
  <si>
    <t xml:space="preserve">C86 L75 </t>
  </si>
  <si>
    <t xml:space="preserve">C87 </t>
  </si>
  <si>
    <t xml:space="preserve">C88 L76 </t>
  </si>
  <si>
    <t>Cole Hutson</t>
  </si>
  <si>
    <t>D66</t>
  </si>
  <si>
    <t xml:space="preserve">L77 </t>
  </si>
  <si>
    <t xml:space="preserve">C89 L78 </t>
  </si>
  <si>
    <t>D67</t>
  </si>
  <si>
    <t>D68</t>
  </si>
  <si>
    <t>Mikael Backlund</t>
  </si>
  <si>
    <t xml:space="preserve">C90 </t>
  </si>
  <si>
    <t>Mats Zuccarello</t>
  </si>
  <si>
    <t>R78</t>
  </si>
  <si>
    <t xml:space="preserve">L79 </t>
  </si>
  <si>
    <t>Will Smith</t>
  </si>
  <si>
    <t>C91 R79</t>
  </si>
  <si>
    <t>D69</t>
  </si>
  <si>
    <t>D70</t>
  </si>
  <si>
    <t>Anthony Mantha</t>
  </si>
  <si>
    <t>R80</t>
  </si>
  <si>
    <t>R81</t>
  </si>
  <si>
    <t>D71</t>
  </si>
  <si>
    <t>L80 R82</t>
  </si>
  <si>
    <t>Matt Duchene</t>
  </si>
  <si>
    <t>C92 R83</t>
  </si>
  <si>
    <t xml:space="preserve">C93 </t>
  </si>
  <si>
    <t>R84</t>
  </si>
  <si>
    <t>D72</t>
  </si>
  <si>
    <t>D73</t>
  </si>
  <si>
    <t>L81 R85</t>
  </si>
  <si>
    <t xml:space="preserve">C94 </t>
  </si>
  <si>
    <t>C95 L82 R86</t>
  </si>
  <si>
    <t xml:space="preserve">C96 </t>
  </si>
  <si>
    <t>Luke Evangelista</t>
  </si>
  <si>
    <t>R87</t>
  </si>
  <si>
    <t>D74</t>
  </si>
  <si>
    <t xml:space="preserve">C97 </t>
  </si>
  <si>
    <t xml:space="preserve">C98 </t>
  </si>
  <si>
    <t xml:space="preserve">C99 L83 </t>
  </si>
  <si>
    <t xml:space="preserve">L84 </t>
  </si>
  <si>
    <t>Brandon Montour</t>
  </si>
  <si>
    <t>D75</t>
  </si>
  <si>
    <t>D76</t>
  </si>
  <si>
    <t>D77</t>
  </si>
  <si>
    <t>JJ Peterka</t>
  </si>
  <si>
    <t>L85 R88</t>
  </si>
  <si>
    <t>Vince Dunn</t>
  </si>
  <si>
    <t>D78</t>
  </si>
  <si>
    <t>Tyler Seguin</t>
  </si>
  <si>
    <t>C100 R89</t>
  </si>
  <si>
    <t>Fraser Minten</t>
  </si>
  <si>
    <t xml:space="preserve">C101 </t>
  </si>
  <si>
    <t xml:space="preserve">L86 </t>
  </si>
  <si>
    <t>Charlie Lindgren</t>
  </si>
  <si>
    <t>G52</t>
  </si>
  <si>
    <t>D79</t>
  </si>
  <si>
    <t>D80</t>
  </si>
  <si>
    <t>Filip Hronek</t>
  </si>
  <si>
    <t>D81</t>
  </si>
  <si>
    <t xml:space="preserve">C102 L87 </t>
  </si>
  <si>
    <t>D82</t>
  </si>
  <si>
    <t>Jordan Binnington</t>
  </si>
  <si>
    <t>G53</t>
  </si>
  <si>
    <t>R90</t>
  </si>
  <si>
    <t xml:space="preserve">L88 </t>
  </si>
  <si>
    <t>D83</t>
  </si>
  <si>
    <t xml:space="preserve">C103 </t>
  </si>
  <si>
    <t xml:space="preserve">C104 </t>
  </si>
  <si>
    <t>D84</t>
  </si>
  <si>
    <t>D85</t>
  </si>
  <si>
    <t>L89 R91</t>
  </si>
  <si>
    <t>D86</t>
  </si>
  <si>
    <t>G54</t>
  </si>
  <si>
    <t>D87</t>
  </si>
  <si>
    <t>D88</t>
  </si>
  <si>
    <t xml:space="preserve">L90 </t>
  </si>
  <si>
    <t xml:space="preserve">L91 </t>
  </si>
  <si>
    <t xml:space="preserve">C105 L92 </t>
  </si>
  <si>
    <t>Luke Hughes</t>
  </si>
  <si>
    <t>D89</t>
  </si>
  <si>
    <t>L93 R92</t>
  </si>
  <si>
    <t xml:space="preserve">C106 </t>
  </si>
  <si>
    <t>C107 L94 R93</t>
  </si>
  <si>
    <t>D90</t>
  </si>
  <si>
    <t>D91</t>
  </si>
  <si>
    <t xml:space="preserve">C108 </t>
  </si>
  <si>
    <t xml:space="preserve">C109 </t>
  </si>
  <si>
    <t>G55</t>
  </si>
  <si>
    <t xml:space="preserve">C110 L95 </t>
  </si>
  <si>
    <t>R94</t>
  </si>
  <si>
    <t xml:space="preserve">L96 </t>
  </si>
  <si>
    <t xml:space="preserve">C111 </t>
  </si>
  <si>
    <t>D92</t>
  </si>
  <si>
    <t>R95</t>
  </si>
  <si>
    <t>D93</t>
  </si>
  <si>
    <t>R96</t>
  </si>
  <si>
    <t>D94</t>
  </si>
  <si>
    <t>L97 R97</t>
  </si>
  <si>
    <t>R98</t>
  </si>
  <si>
    <t xml:space="preserve">L98 </t>
  </si>
  <si>
    <t>D95</t>
  </si>
  <si>
    <t>G56</t>
  </si>
  <si>
    <t xml:space="preserve">C112 L99 </t>
  </si>
  <si>
    <t>Luca Cagnoni</t>
  </si>
  <si>
    <t>D96</t>
  </si>
  <si>
    <t xml:space="preserve">L100 </t>
  </si>
  <si>
    <t xml:space="preserve">C113 </t>
  </si>
  <si>
    <t>D97</t>
  </si>
  <si>
    <t>D98</t>
  </si>
  <si>
    <t>D99</t>
  </si>
  <si>
    <t>Patrick Kane</t>
  </si>
  <si>
    <t>R99</t>
  </si>
  <si>
    <t>G57</t>
  </si>
  <si>
    <t>C114 R100</t>
  </si>
  <si>
    <t>D100</t>
  </si>
  <si>
    <t>Jordan Eberle</t>
  </si>
  <si>
    <t>R101</t>
  </si>
  <si>
    <t>D101</t>
  </si>
  <si>
    <t>Andrew Copp</t>
  </si>
  <si>
    <t xml:space="preserve">C115 L101 </t>
  </si>
  <si>
    <t>Michael Misa</t>
  </si>
  <si>
    <t xml:space="preserve">C116 </t>
  </si>
  <si>
    <t>D102</t>
  </si>
  <si>
    <t>Philip Broberg</t>
  </si>
  <si>
    <t>D103</t>
  </si>
  <si>
    <t>D104</t>
  </si>
  <si>
    <t>Tristan Jarry</t>
  </si>
  <si>
    <t>G58</t>
  </si>
  <si>
    <t>Tyler Bertuzzi</t>
  </si>
  <si>
    <t>L102 R102</t>
  </si>
  <si>
    <t>R103</t>
  </si>
  <si>
    <t>R104</t>
  </si>
  <si>
    <t>R105</t>
  </si>
  <si>
    <t>D105</t>
  </si>
  <si>
    <t xml:space="preserve">C117 </t>
  </si>
  <si>
    <t xml:space="preserve">C118 </t>
  </si>
  <si>
    <t xml:space="preserve">L103 </t>
  </si>
  <si>
    <t>D106</t>
  </si>
  <si>
    <t>C119 L104 R106</t>
  </si>
  <si>
    <t xml:space="preserve">C120 </t>
  </si>
  <si>
    <t>L105 R107</t>
  </si>
  <si>
    <t>R108</t>
  </si>
  <si>
    <t>C121 L106 R109</t>
  </si>
  <si>
    <t xml:space="preserve">C122 </t>
  </si>
  <si>
    <t>C123 R110</t>
  </si>
  <si>
    <t xml:space="preserve">C124 </t>
  </si>
  <si>
    <t xml:space="preserve">C125 </t>
  </si>
  <si>
    <t>Vladislav Gavrikov</t>
  </si>
  <si>
    <t>D107</t>
  </si>
  <si>
    <t>G59</t>
  </si>
  <si>
    <t xml:space="preserve">C126 </t>
  </si>
  <si>
    <t>C127 R111</t>
  </si>
  <si>
    <t>G60</t>
  </si>
  <si>
    <t>D108</t>
  </si>
  <si>
    <t>Troy Terry</t>
  </si>
  <si>
    <t>R112</t>
  </si>
  <si>
    <t xml:space="preserve">C128 </t>
  </si>
  <si>
    <t>Morgan Rielly</t>
  </si>
  <si>
    <t>D109</t>
  </si>
  <si>
    <t>C129 R113</t>
  </si>
  <si>
    <t xml:space="preserve">L107 </t>
  </si>
  <si>
    <t xml:space="preserve">C130 </t>
  </si>
  <si>
    <t>G61</t>
  </si>
  <si>
    <t>Matt Coronato</t>
  </si>
  <si>
    <t>R114</t>
  </si>
  <si>
    <t>G62</t>
  </si>
  <si>
    <t>Ivar Stenberg</t>
  </si>
  <si>
    <t xml:space="preserve">L108 </t>
  </si>
  <si>
    <t>D110</t>
  </si>
  <si>
    <t>R115</t>
  </si>
  <si>
    <t>G63</t>
  </si>
  <si>
    <t>C131 R116</t>
  </si>
  <si>
    <t>G64</t>
  </si>
  <si>
    <t>R117</t>
  </si>
  <si>
    <t>D111</t>
  </si>
  <si>
    <t>D112</t>
  </si>
  <si>
    <t xml:space="preserve">C132 L109 </t>
  </si>
  <si>
    <t>D113</t>
  </si>
  <si>
    <t>Igor Chernyshov</t>
  </si>
  <si>
    <t xml:space="preserve">L110 </t>
  </si>
  <si>
    <t>D114</t>
  </si>
  <si>
    <t>D115</t>
  </si>
  <si>
    <t>D116</t>
  </si>
  <si>
    <t>Mavrik Bourque</t>
  </si>
  <si>
    <t>C133 R118</t>
  </si>
  <si>
    <t>R119</t>
  </si>
  <si>
    <t>D117</t>
  </si>
  <si>
    <t xml:space="preserve">C134 </t>
  </si>
  <si>
    <t>D118</t>
  </si>
  <si>
    <t>D119</t>
  </si>
  <si>
    <t xml:space="preserve">C135 L111 </t>
  </si>
  <si>
    <t>D120</t>
  </si>
  <si>
    <t>L112 R120</t>
  </si>
  <si>
    <t>Chandler Stephenson</t>
  </si>
  <si>
    <t xml:space="preserve">C136 </t>
  </si>
  <si>
    <t xml:space="preserve">L113 </t>
  </si>
  <si>
    <t>R121</t>
  </si>
  <si>
    <t>R122</t>
  </si>
  <si>
    <t>D121</t>
  </si>
  <si>
    <t>D122</t>
  </si>
  <si>
    <t>D123</t>
  </si>
  <si>
    <t xml:space="preserve">C137 </t>
  </si>
  <si>
    <t>Nick Paul</t>
  </si>
  <si>
    <t xml:space="preserve">C138 L114 </t>
  </si>
  <si>
    <t>D124</t>
  </si>
  <si>
    <t>D125</t>
  </si>
  <si>
    <t xml:space="preserve">C139 </t>
  </si>
  <si>
    <t xml:space="preserve">C140 </t>
  </si>
  <si>
    <t>D126</t>
  </si>
  <si>
    <t>R123</t>
  </si>
  <si>
    <t xml:space="preserve">C141 </t>
  </si>
  <si>
    <t>R124</t>
  </si>
  <si>
    <t>R125</t>
  </si>
  <si>
    <t>D127</t>
  </si>
  <si>
    <t>D128</t>
  </si>
  <si>
    <t xml:space="preserve">C142 </t>
  </si>
  <si>
    <t xml:space="preserve">C143 </t>
  </si>
  <si>
    <t>C144 L115 R126</t>
  </si>
  <si>
    <t xml:space="preserve">C145 </t>
  </si>
  <si>
    <t>D129</t>
  </si>
  <si>
    <t xml:space="preserve">C146 </t>
  </si>
  <si>
    <t xml:space="preserve">C147 </t>
  </si>
  <si>
    <t>D130</t>
  </si>
  <si>
    <t>D131</t>
  </si>
  <si>
    <t>G65</t>
  </si>
  <si>
    <t>R128</t>
  </si>
  <si>
    <t>D132</t>
  </si>
  <si>
    <t>D133</t>
  </si>
  <si>
    <t>L117 R129</t>
  </si>
  <si>
    <t xml:space="preserve">C148 </t>
  </si>
  <si>
    <t>L118 R130</t>
  </si>
  <si>
    <t>R131</t>
  </si>
  <si>
    <t xml:space="preserve">L119 </t>
  </si>
  <si>
    <t>D134</t>
  </si>
  <si>
    <t>D135</t>
  </si>
  <si>
    <t>L120 R132</t>
  </si>
  <si>
    <t>D136</t>
  </si>
  <si>
    <t>R133</t>
  </si>
  <si>
    <t>D137</t>
  </si>
  <si>
    <t xml:space="preserve">C149 L121 </t>
  </si>
  <si>
    <t xml:space="preserve">C150 </t>
  </si>
  <si>
    <t>R134</t>
  </si>
  <si>
    <t xml:space="preserve">C151 </t>
  </si>
  <si>
    <t>Yaroslav Askarov</t>
  </si>
  <si>
    <t>G66</t>
  </si>
  <si>
    <t>D138</t>
  </si>
  <si>
    <t>R135</t>
  </si>
  <si>
    <t>R136</t>
  </si>
  <si>
    <t>C152 R137</t>
  </si>
  <si>
    <t xml:space="preserve">L122 </t>
  </si>
  <si>
    <t>D139</t>
  </si>
  <si>
    <t>R138</t>
  </si>
  <si>
    <t>D140</t>
  </si>
  <si>
    <t>D141</t>
  </si>
  <si>
    <t xml:space="preserve">C153 </t>
  </si>
  <si>
    <t xml:space="preserve">C154 </t>
  </si>
  <si>
    <t>G67</t>
  </si>
  <si>
    <t>R139</t>
  </si>
  <si>
    <t>D142</t>
  </si>
  <si>
    <t xml:space="preserve">C155 L123 </t>
  </si>
  <si>
    <t>Tyler Toffoli</t>
  </si>
  <si>
    <t>L124 R140</t>
  </si>
  <si>
    <t xml:space="preserve">C156 </t>
  </si>
  <si>
    <t>R141</t>
  </si>
  <si>
    <t>R142</t>
  </si>
  <si>
    <t>G68</t>
  </si>
  <si>
    <t>Gabe Perreault</t>
  </si>
  <si>
    <t>R143</t>
  </si>
  <si>
    <t xml:space="preserve">C157 </t>
  </si>
  <si>
    <t xml:space="preserve">L125 </t>
  </si>
  <si>
    <t>D143</t>
  </si>
  <si>
    <t xml:space="preserve">L126 </t>
  </si>
  <si>
    <t>G69</t>
  </si>
  <si>
    <t xml:space="preserve">C158 L127 </t>
  </si>
  <si>
    <t>R144</t>
  </si>
  <si>
    <t xml:space="preserve">C159 </t>
  </si>
  <si>
    <t>L128 R145</t>
  </si>
  <si>
    <t>D144</t>
  </si>
  <si>
    <t xml:space="preserve">L129 </t>
  </si>
  <si>
    <t>D145</t>
  </si>
  <si>
    <t xml:space="preserve">C160 L130 </t>
  </si>
  <si>
    <t>D146</t>
  </si>
  <si>
    <t>C161 L131 R146</t>
  </si>
  <si>
    <t xml:space="preserve">C162 </t>
  </si>
  <si>
    <t xml:space="preserve">C163 </t>
  </si>
  <si>
    <t xml:space="preserve">C164 </t>
  </si>
  <si>
    <t>C165 R147</t>
  </si>
  <si>
    <t xml:space="preserve">C166 L132 </t>
  </si>
  <si>
    <t>D147</t>
  </si>
  <si>
    <t xml:space="preserve">L133 </t>
  </si>
  <si>
    <t>R148</t>
  </si>
  <si>
    <t xml:space="preserve">L134 </t>
  </si>
  <si>
    <t>D148</t>
  </si>
  <si>
    <t xml:space="preserve">C167 </t>
  </si>
  <si>
    <t>L135 R149</t>
  </si>
  <si>
    <t>D149</t>
  </si>
  <si>
    <t>D150</t>
  </si>
  <si>
    <t>D151</t>
  </si>
  <si>
    <t>D152</t>
  </si>
  <si>
    <t xml:space="preserve">C168 L136 </t>
  </si>
  <si>
    <t>R150</t>
  </si>
  <si>
    <t xml:space="preserve">C169 </t>
  </si>
  <si>
    <t>D153</t>
  </si>
  <si>
    <t xml:space="preserve">C170 </t>
  </si>
  <si>
    <t>D154</t>
  </si>
  <si>
    <t xml:space="preserve">C171 </t>
  </si>
  <si>
    <t>D155</t>
  </si>
  <si>
    <t xml:space="preserve">C172 </t>
  </si>
  <si>
    <t>R151</t>
  </si>
  <si>
    <t>D156</t>
  </si>
  <si>
    <t>D157</t>
  </si>
  <si>
    <t>D158</t>
  </si>
  <si>
    <t xml:space="preserve">C173 </t>
  </si>
  <si>
    <t>D159</t>
  </si>
  <si>
    <t>R152</t>
  </si>
  <si>
    <t xml:space="preserve">L137 </t>
  </si>
  <si>
    <t>C174 R153</t>
  </si>
  <si>
    <t>D160</t>
  </si>
  <si>
    <t>R154</t>
  </si>
  <si>
    <t>C175 R155</t>
  </si>
  <si>
    <t>G70</t>
  </si>
  <si>
    <t xml:space="preserve">C176 </t>
  </si>
  <si>
    <t>D161</t>
  </si>
  <si>
    <t xml:space="preserve">C177 </t>
  </si>
  <si>
    <t>D162</t>
  </si>
  <si>
    <t>R156</t>
  </si>
  <si>
    <t xml:space="preserve">C178 </t>
  </si>
  <si>
    <t>R157</t>
  </si>
  <si>
    <t>D163</t>
  </si>
  <si>
    <t>L138 R158</t>
  </si>
  <si>
    <t xml:space="preserve">C179 </t>
  </si>
  <si>
    <t xml:space="preserve">L139 </t>
  </si>
  <si>
    <t xml:space="preserve">C180 L140 </t>
  </si>
  <si>
    <t xml:space="preserve">C181 </t>
  </si>
  <si>
    <t>D164</t>
  </si>
  <si>
    <t>C182 L141 R159</t>
  </si>
  <si>
    <t xml:space="preserve">L142 </t>
  </si>
  <si>
    <t xml:space="preserve">L143 </t>
  </si>
  <si>
    <t xml:space="preserve">L144 </t>
  </si>
  <si>
    <t xml:space="preserve">C183 </t>
  </si>
  <si>
    <t>R160</t>
  </si>
  <si>
    <t xml:space="preserve">C184 </t>
  </si>
  <si>
    <t xml:space="preserve">L145 </t>
  </si>
  <si>
    <t xml:space="preserve">L146 </t>
  </si>
  <si>
    <t xml:space="preserve">C185 </t>
  </si>
  <si>
    <t>R161</t>
  </si>
  <si>
    <t>D165</t>
  </si>
  <si>
    <t>D166</t>
  </si>
  <si>
    <t>R162</t>
  </si>
  <si>
    <t>L147 R163</t>
  </si>
  <si>
    <t>L148 R164</t>
  </si>
  <si>
    <t>D167</t>
  </si>
  <si>
    <t xml:space="preserve">L149 </t>
  </si>
  <si>
    <t>D168</t>
  </si>
  <si>
    <t>C186 L150 R165</t>
  </si>
  <si>
    <t xml:space="preserve">C187 </t>
  </si>
  <si>
    <t>R166</t>
  </si>
  <si>
    <t xml:space="preserve">C188 </t>
  </si>
  <si>
    <t xml:space="preserve">L151 </t>
  </si>
  <si>
    <t xml:space="preserve">L152 </t>
  </si>
  <si>
    <t>C189 R167</t>
  </si>
  <si>
    <t>L153 R168</t>
  </si>
  <si>
    <t>D169</t>
  </si>
  <si>
    <t xml:space="preserve">C190 </t>
  </si>
  <si>
    <t xml:space="preserve">L154 </t>
  </si>
  <si>
    <t>R169</t>
  </si>
  <si>
    <t xml:space="preserve">C191 </t>
  </si>
  <si>
    <t xml:space="preserve">C192 </t>
  </si>
  <si>
    <t>D170</t>
  </si>
  <si>
    <t xml:space="preserve">C193 </t>
  </si>
  <si>
    <t>D171</t>
  </si>
  <si>
    <t>D172</t>
  </si>
  <si>
    <t>R170</t>
  </si>
  <si>
    <t xml:space="preserve">C194 </t>
  </si>
  <si>
    <t>D173</t>
  </si>
  <si>
    <t>D174</t>
  </si>
  <si>
    <t>C195 L155 R171</t>
  </si>
  <si>
    <t>D175</t>
  </si>
  <si>
    <t>D176</t>
  </si>
  <si>
    <t xml:space="preserve">C196 </t>
  </si>
  <si>
    <t>D177</t>
  </si>
  <si>
    <t>Zayne Parekh</t>
  </si>
  <si>
    <t>D178</t>
  </si>
  <si>
    <t xml:space="preserve">L156 </t>
  </si>
  <si>
    <t>D179</t>
  </si>
  <si>
    <t>R172</t>
  </si>
  <si>
    <t>L157 R173</t>
  </si>
  <si>
    <t>R174</t>
  </si>
  <si>
    <t>D180</t>
  </si>
  <si>
    <t>R175</t>
  </si>
  <si>
    <t xml:space="preserve">C197 </t>
  </si>
  <si>
    <t>R176</t>
  </si>
  <si>
    <t>R177</t>
  </si>
  <si>
    <t xml:space="preserve">C198 </t>
  </si>
  <si>
    <t xml:space="preserve">C199 </t>
  </si>
  <si>
    <t>D181</t>
  </si>
  <si>
    <t>D182</t>
  </si>
  <si>
    <t>C200 L158 R178</t>
  </si>
  <si>
    <t>D183</t>
  </si>
  <si>
    <t>D184</t>
  </si>
  <si>
    <t>R179</t>
  </si>
  <si>
    <t xml:space="preserve">L159 </t>
  </si>
  <si>
    <t xml:space="preserve">C201 </t>
  </si>
  <si>
    <t xml:space="preserve">L160 </t>
  </si>
  <si>
    <t xml:space="preserve">L161 </t>
  </si>
  <si>
    <t xml:space="preserve">C202 </t>
  </si>
  <si>
    <t xml:space="preserve">C203 </t>
  </si>
  <si>
    <t>L162 R180</t>
  </si>
  <si>
    <t xml:space="preserve">L163 </t>
  </si>
  <si>
    <t xml:space="preserve">C204 </t>
  </si>
  <si>
    <t>D185</t>
  </si>
  <si>
    <t xml:space="preserve">C205 L164 </t>
  </si>
  <si>
    <t xml:space="preserve">C206 </t>
  </si>
  <si>
    <t>D186</t>
  </si>
  <si>
    <t xml:space="preserve">L165 </t>
  </si>
  <si>
    <t>D187</t>
  </si>
  <si>
    <t>R181</t>
  </si>
  <si>
    <t>C207 L166 R182</t>
  </si>
  <si>
    <t>D188</t>
  </si>
  <si>
    <t>G71</t>
  </si>
  <si>
    <t xml:space="preserve">L167 </t>
  </si>
  <si>
    <t xml:space="preserve">C208 </t>
  </si>
  <si>
    <t xml:space="preserve">L168 </t>
  </si>
  <si>
    <t xml:space="preserve">C209 </t>
  </si>
  <si>
    <t xml:space="preserve">C210 </t>
  </si>
  <si>
    <t>R183</t>
  </si>
  <si>
    <t>D189</t>
  </si>
  <si>
    <t xml:space="preserve">C211 </t>
  </si>
  <si>
    <t xml:space="preserve">L169 </t>
  </si>
  <si>
    <t xml:space="preserve">L170 </t>
  </si>
  <si>
    <t xml:space="preserve">C212 </t>
  </si>
  <si>
    <t xml:space="preserve">C213 </t>
  </si>
  <si>
    <t>R184</t>
  </si>
  <si>
    <t>D190</t>
  </si>
  <si>
    <t>Zeev Buium</t>
  </si>
  <si>
    <t>D191</t>
  </si>
  <si>
    <t xml:space="preserve">C214 </t>
  </si>
  <si>
    <t xml:space="preserve">L171 </t>
  </si>
  <si>
    <t>D192</t>
  </si>
  <si>
    <t>R185</t>
  </si>
  <si>
    <t>D193</t>
  </si>
  <si>
    <t>D194</t>
  </si>
  <si>
    <t>D195</t>
  </si>
  <si>
    <t>D196</t>
  </si>
  <si>
    <t>D197</t>
  </si>
  <si>
    <t>D198</t>
  </si>
  <si>
    <t xml:space="preserve">C215 </t>
  </si>
  <si>
    <t xml:space="preserve">L172 </t>
  </si>
  <si>
    <t>C216 R186</t>
  </si>
  <si>
    <t xml:space="preserve">C217 </t>
  </si>
  <si>
    <t>D199</t>
  </si>
  <si>
    <t>R187</t>
  </si>
  <si>
    <t xml:space="preserve">C218 </t>
  </si>
  <si>
    <t>D200</t>
  </si>
  <si>
    <t>L173 R188</t>
  </si>
  <si>
    <t xml:space="preserve">C219 </t>
  </si>
  <si>
    <t xml:space="preserve">C220 </t>
  </si>
  <si>
    <t xml:space="preserve">L174 </t>
  </si>
  <si>
    <t xml:space="preserve">C221 </t>
  </si>
  <si>
    <t>D201</t>
  </si>
  <si>
    <t>R189</t>
  </si>
  <si>
    <t xml:space="preserve">L175 </t>
  </si>
  <si>
    <t>D202</t>
  </si>
  <si>
    <t xml:space="preserve">C222 </t>
  </si>
  <si>
    <t>G72</t>
  </si>
  <si>
    <t xml:space="preserve">C223 </t>
  </si>
  <si>
    <t xml:space="preserve">C224 </t>
  </si>
  <si>
    <t>D203</t>
  </si>
  <si>
    <t xml:space="preserve">C225 L176 </t>
  </si>
  <si>
    <t>D204</t>
  </si>
  <si>
    <t>D205</t>
  </si>
  <si>
    <t xml:space="preserve">L177 </t>
  </si>
  <si>
    <t xml:space="preserve">C226 </t>
  </si>
  <si>
    <t>R190</t>
  </si>
  <si>
    <t>R191</t>
  </si>
  <si>
    <t>D206</t>
  </si>
  <si>
    <t xml:space="preserve">L178 </t>
  </si>
  <si>
    <t>C227 R192</t>
  </si>
  <si>
    <t>D207</t>
  </si>
  <si>
    <t xml:space="preserve">C228 </t>
  </si>
  <si>
    <t>D208</t>
  </si>
  <si>
    <t>R193</t>
  </si>
  <si>
    <t xml:space="preserve">C229 </t>
  </si>
  <si>
    <t>D209</t>
  </si>
  <si>
    <t xml:space="preserve">L179 </t>
  </si>
  <si>
    <t>R194</t>
  </si>
  <si>
    <t>L180 R195</t>
  </si>
  <si>
    <t>R196</t>
  </si>
  <si>
    <t>D210</t>
  </si>
  <si>
    <t xml:space="preserve">C230 </t>
  </si>
  <si>
    <t xml:space="preserve">C231 </t>
  </si>
  <si>
    <t xml:space="preserve">C232 </t>
  </si>
  <si>
    <t>D211</t>
  </si>
  <si>
    <t>D212</t>
  </si>
  <si>
    <t>R197</t>
  </si>
  <si>
    <t xml:space="preserve">C233 </t>
  </si>
  <si>
    <t>D213</t>
  </si>
  <si>
    <t xml:space="preserve">L181 </t>
  </si>
  <si>
    <t>R198</t>
  </si>
  <si>
    <t>D214</t>
  </si>
  <si>
    <t xml:space="preserve">L182 </t>
  </si>
  <si>
    <t>D215</t>
  </si>
  <si>
    <t>R199</t>
  </si>
  <si>
    <t xml:space="preserve">L183 </t>
  </si>
  <si>
    <t xml:space="preserve">L184 </t>
  </si>
  <si>
    <t>L185 R200</t>
  </si>
  <si>
    <t xml:space="preserve">L186 </t>
  </si>
  <si>
    <t>D216</t>
  </si>
  <si>
    <t>D217</t>
  </si>
  <si>
    <t xml:space="preserve">C234 </t>
  </si>
  <si>
    <t>D218</t>
  </si>
  <si>
    <t>D219</t>
  </si>
  <si>
    <t xml:space="preserve">C235 </t>
  </si>
  <si>
    <t xml:space="preserve">C236 </t>
  </si>
  <si>
    <t>D220</t>
  </si>
  <si>
    <t xml:space="preserve">L187 </t>
  </si>
  <si>
    <t>D221</t>
  </si>
  <si>
    <t>D222</t>
  </si>
  <si>
    <t xml:space="preserve">C237 </t>
  </si>
  <si>
    <t>D223</t>
  </si>
  <si>
    <t xml:space="preserve">C238 </t>
  </si>
  <si>
    <t xml:space="preserve">L188 </t>
  </si>
  <si>
    <t>D224</t>
  </si>
  <si>
    <t xml:space="preserve">L189 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</si>
  <si>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</si>
  <si>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</si>
  <si>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</si>
  <si>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</si>
  <si>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</si>
  <si>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</si>
  <si>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</si>
  <si>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</si>
  <si>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</si>
  <si>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</si>
  <si>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</si>
  <si>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 xml:space="preserve">C239 </t>
  </si>
  <si>
    <t>D236</t>
  </si>
  <si>
    <t>D237</t>
  </si>
  <si>
    <t>D238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</si>
</sst>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/>
    <font>
      <b/>
      <sz val="11.0"/>
      <color theme="1"/>
      <name val="Arial"/>
      <scheme val="minor"/>
    </font>
    <font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readingOrder="0"/>
    </xf>
    <xf borderId="0" fillId="0" fontId="1" numFmtId="9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2" fillId="2" fontId="2" numFmtId="0" xfId="0" applyAlignment="1" applyBorder="1" applyFill="1" applyFont="1">
      <alignment readingOrder="0"/>
    </xf>
    <xf borderId="2" fillId="2" fontId="2" numFmtId="0" xfId="0" applyAlignment="1" applyBorder="1" applyFill="1" applyFont="1">
      <alignment horizontal="center" readingOrder="0"/>
    </xf>
    <xf borderId="1" fillId="0" fontId="3" numFmtId="1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readingOrder="0"/>
    </xf>
    <xf quotePrefix="1" borderId="2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/>
    </xf>
    <xf borderId="2" fillId="2" fontId="2" numFmtId="2" xfId="0" applyAlignment="1" applyBorder="1" applyFill="1" applyFont="1" applyNumberFormat="1">
      <alignment horizontal="center"/>
    </xf>
    <xf borderId="2" fillId="2" fontId="2" numFmtId="165" xfId="0" applyAlignment="1" applyBorder="1" applyFill="1" applyFont="1" applyNumberFormat="1">
      <alignment horizontal="center"/>
    </xf>
    <xf borderId="2" fillId="0" fontId="1" numFmtId="0" xfId="0" applyAlignment="1" applyBorder="1" applyFont="1">
      <alignment readingOrder="0"/>
    </xf>
    <xf borderId="2" fillId="3" fontId="4" numFmtId="164" xfId="0" applyAlignment="1" applyBorder="1" applyFill="1" applyFont="1" applyNumberFormat="1">
      <alignment horizontal="center" readingOrder="0"/>
    </xf>
    <xf borderId="2" fillId="3" fontId="4" numFmtId="1" xfId="0" applyAlignment="1" applyBorder="1" applyFill="1" applyFont="1" applyNumberFormat="1">
      <alignment horizontal="center" readingOrder="0"/>
    </xf>
    <xf borderId="2" fillId="0" fontId="1" numFmtId="164" xfId="0" applyAlignment="1" applyBorder="1" applyFont="1" applyNumberFormat="1">
      <alignment horizontal="center"/>
    </xf>
    <xf borderId="2" fillId="3" fontId="4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2" fillId="4" fontId="4" numFmtId="0" xfId="0" applyAlignment="1" applyBorder="1" applyFill="1" applyFont="1">
      <alignment horizontal="center"/>
    </xf>
    <xf borderId="2" fillId="4" fontId="4" numFmtId="2" xfId="0" applyAlignment="1" applyBorder="1" applyFill="1" applyFont="1" applyNumberFormat="1">
      <alignment horizontal="center"/>
    </xf>
    <xf borderId="2" fillId="4" fontId="4" numFmtId="165" xfId="0" applyAlignment="1" applyBorder="1" applyFill="1" applyFont="1" applyNumberFormat="1">
      <alignment horizontal="center"/>
    </xf>
    <xf quotePrefix="1" borderId="0" fillId="0" fontId="1" numFmtId="0" xfId="0" applyAlignment="1" applyFont="1">
      <alignment readingOrder="0"/>
    </xf>
    <xf borderId="2" fillId="3" fontId="4" numFmtId="0" xfId="0" applyAlignment="1" applyBorder="1" applyFill="1" applyFont="1">
      <alignment horizontal="center" readingOrder="0"/>
    </xf>
    <xf borderId="2" fillId="5" fontId="3" numFmtId="164" xfId="0" applyAlignment="1" applyBorder="1" applyFill="1" applyFont="1" applyNumberFormat="1">
      <alignment horizontal="center"/>
    </xf>
    <xf borderId="2" fillId="3" fontId="5" numFmtId="0" xfId="0" applyAlignment="1" applyBorder="1" applyFill="1" applyFont="1">
      <alignment horizontal="center" readingOrder="0"/>
    </xf>
    <xf borderId="2" fillId="5" fontId="3" numFmtId="1" xfId="0" applyAlignment="1" applyBorder="1" applyFill="1" applyFont="1" applyNumberFormat="1">
      <alignment horizontal="center"/>
    </xf>
    <xf borderId="2" fillId="5" fontId="3" numFmtId="2" xfId="0" applyAlignment="1" applyBorder="1" applyFill="1" applyFont="1" applyNumberFormat="1">
      <alignment horizontal="center"/>
    </xf>
    <xf borderId="2" fillId="3" fontId="4" numFmtId="0" xfId="0" applyAlignment="1" applyBorder="1" applyFill="1" applyFont="1">
      <alignment readingOrder="0"/>
    </xf>
    <xf borderId="2" fillId="0" fontId="3" numFmtId="2" xfId="0" applyAlignment="1" applyBorder="1" applyFont="1" applyNumberFormat="1">
      <alignment horizontal="center"/>
    </xf>
    <xf borderId="2" fillId="6" fontId="3" numFmtId="164" xfId="0" applyAlignment="1" applyBorder="1" applyFill="1" applyFont="1" applyNumberFormat="1">
      <alignment horizontal="center"/>
    </xf>
    <xf borderId="2" fillId="6" fontId="3" numFmtId="1" xfId="0" applyAlignment="1" applyBorder="1" applyFill="1" applyFont="1" applyNumberFormat="1">
      <alignment horizontal="center"/>
    </xf>
    <xf borderId="2" fillId="6" fontId="3" numFmtId="2" xfId="0" applyAlignment="1" applyBorder="1" applyFill="1" applyFont="1" applyNumberFormat="1">
      <alignment horizontal="center"/>
    </xf>
    <xf borderId="0" fillId="4" fontId="4" numFmtId="0" xfId="0" applyAlignment="1" applyFill="1" applyFont="1">
      <alignment horizontal="center"/>
    </xf>
    <xf borderId="0" fillId="4" fontId="4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/>
    </xf>
    <xf borderId="2" fillId="5" fontId="3" numFmtId="164" xfId="0" applyAlignment="1" applyBorder="1" applyFill="1" applyFont="1" applyNumberFormat="1">
      <alignment horizontal="center" readingOrder="0"/>
    </xf>
    <xf borderId="0" fillId="5" fontId="6" numFmtId="0" xfId="0" applyAlignment="1" applyFill="1" applyFont="1">
      <alignment horizontal="center" readingOrder="0" vertical="bottom"/>
    </xf>
    <xf borderId="0" fillId="5" fontId="6" numFmtId="0" xfId="0" applyAlignment="1" applyFill="1" applyFont="1">
      <alignment vertical="bottom"/>
    </xf>
    <xf borderId="2" fillId="5" fontId="3" numFmtId="164" xfId="0" applyBorder="1" applyFill="1" applyFont="1" applyNumberFormat="1"/>
    <xf borderId="2" fillId="5" fontId="3" numFmtId="0" xfId="0" applyAlignment="1" applyBorder="1" applyFill="1" applyFont="1">
      <alignment horizontal="center"/>
    </xf>
    <xf borderId="2" fillId="5" fontId="3" numFmtId="1" xfId="0" applyAlignment="1" applyBorder="1" applyFill="1" applyFont="1" applyNumberFormat="1">
      <alignment horizontal="center" readingOrder="0"/>
    </xf>
    <xf borderId="2" fillId="5" fontId="3" numFmtId="2" xfId="0" applyAlignment="1" applyBorder="1" applyFill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left"/>
    </xf>
    <xf borderId="2" fillId="0" fontId="3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6" fillId="0" fontId="3" numFmtId="164" xfId="0" applyAlignment="1" applyBorder="1" applyFont="1" applyNumberFormat="1">
      <alignment horizontal="center"/>
    </xf>
    <xf borderId="0" fillId="0" fontId="3" numFmtId="0" xfId="0" applyFont="1"/>
    <xf borderId="7" fillId="0" fontId="3" numFmtId="0" xfId="0" applyAlignment="1" applyBorder="1" applyFont="1">
      <alignment horizontal="center"/>
    </xf>
    <xf borderId="8" fillId="4" fontId="7" numFmtId="0" xfId="0" applyAlignment="1" applyBorder="1" applyFill="1" applyFont="1">
      <alignment horizontal="center" readingOrder="0"/>
    </xf>
    <xf borderId="9" fillId="0" fontId="8" numFmtId="0" xfId="0" applyBorder="1" applyFont="1"/>
    <xf borderId="10" fillId="0" fontId="8" numFmtId="0" xfId="0" applyBorder="1" applyFont="1"/>
    <xf borderId="3" fillId="0" fontId="4" numFmtId="0" xfId="0" applyBorder="1" applyFont="1"/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6" fillId="0" fontId="9" numFmtId="0" xfId="0" applyBorder="1" applyFont="1"/>
    <xf borderId="0" fillId="0" fontId="9" numFmtId="0" xfId="0" applyAlignment="1" applyFont="1">
      <alignment horizontal="center"/>
    </xf>
    <xf borderId="0" fillId="0" fontId="9" numFmtId="2" xfId="0" applyAlignment="1" applyFont="1" applyNumberFormat="1">
      <alignment horizontal="center"/>
    </xf>
    <xf borderId="7" fillId="0" fontId="9" numFmtId="164" xfId="0" applyAlignment="1" applyBorder="1" applyFont="1" applyNumberFormat="1">
      <alignment horizontal="center"/>
    </xf>
    <xf borderId="6" fillId="0" fontId="3" numFmtId="0" xfId="0" applyBorder="1" applyFont="1"/>
    <xf borderId="0" fillId="0" fontId="3" numFmtId="0" xfId="0" applyAlignment="1" applyFont="1">
      <alignment horizontal="center"/>
    </xf>
    <xf borderId="0" fillId="0" fontId="3" numFmtId="2" xfId="0" applyAlignment="1" applyFont="1" applyNumberFormat="1">
      <alignment horizontal="center"/>
    </xf>
    <xf borderId="7" fillId="0" fontId="3" numFmtId="164" xfId="0" applyAlignment="1" applyBorder="1" applyFont="1" applyNumberFormat="1">
      <alignment horizontal="center"/>
    </xf>
    <xf borderId="11" fillId="0" fontId="3" numFmtId="0" xfId="0" applyAlignment="1" applyBorder="1" applyFont="1">
      <alignment horizontal="left" readingOrder="0"/>
    </xf>
    <xf borderId="12" fillId="0" fontId="3" numFmtId="0" xfId="0" applyAlignment="1" applyBorder="1" applyFont="1">
      <alignment horizontal="center" readingOrder="0"/>
    </xf>
    <xf borderId="12" fillId="0" fontId="3" numFmtId="2" xfId="0" applyAlignment="1" applyBorder="1" applyFont="1" applyNumberFormat="1">
      <alignment horizontal="center" readingOrder="0"/>
    </xf>
    <xf borderId="13" fillId="0" fontId="3" numFmtId="164" xfId="0" applyAlignment="1" applyBorder="1" applyFont="1" applyNumberFormat="1">
      <alignment horizontal="center" readingOrder="0"/>
    </xf>
    <xf quotePrefix="1" borderId="0" fillId="0" fontId="3" numFmtId="0" xfId="0" applyAlignment="1" applyFont="1">
      <alignment horizontal="center" readingOrder="0"/>
    </xf>
    <xf borderId="0" fillId="0" fontId="3" numFmtId="2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2" fillId="6" fontId="3" numFmtId="164" xfId="0" applyAlignment="1" applyBorder="1" applyFill="1" applyFont="1" applyNumberFormat="1">
      <alignment horizontal="center" readingOrder="0"/>
    </xf>
    <xf borderId="0" fillId="6" fontId="6" numFmtId="0" xfId="0" applyAlignment="1" applyFill="1" applyFont="1">
      <alignment horizontal="center" readingOrder="0" vertical="bottom"/>
    </xf>
    <xf borderId="0" fillId="6" fontId="6" numFmtId="0" xfId="0" applyAlignment="1" applyFill="1" applyFont="1">
      <alignment vertical="bottom"/>
    </xf>
    <xf borderId="2" fillId="6" fontId="3" numFmtId="164" xfId="0" applyBorder="1" applyFill="1" applyFont="1" applyNumberFormat="1"/>
    <xf borderId="2" fillId="6" fontId="3" numFmtId="0" xfId="0" applyAlignment="1" applyBorder="1" applyFill="1" applyFont="1">
      <alignment horizontal="center"/>
    </xf>
    <xf borderId="2" fillId="6" fontId="3" numFmtId="1" xfId="0" applyAlignment="1" applyBorder="1" applyFill="1" applyFont="1" applyNumberFormat="1">
      <alignment horizontal="center" readingOrder="0"/>
    </xf>
    <xf borderId="2" fillId="6" fontId="3" numFmtId="2" xfId="0" applyAlignment="1" applyBorder="1" applyFill="1" applyFont="1" applyNumberFormat="1">
      <alignment horizontal="center" readingOrder="0"/>
    </xf>
    <xf borderId="11" fillId="0" fontId="3" numFmtId="164" xfId="0" applyAlignment="1" applyBorder="1" applyFont="1" applyNumberFormat="1">
      <alignment horizontal="center"/>
    </xf>
    <xf borderId="12" fillId="0" fontId="3" numFmtId="0" xfId="0" applyBorder="1" applyFont="1"/>
    <xf borderId="13" fillId="0" fontId="3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horizontal="center" readingOrder="0"/>
    </xf>
    <xf borderId="0" fillId="0" fontId="10" numFmtId="0" xfId="0" applyAlignment="1" applyFont="1">
      <alignment horizontal="left" readingOrder="0"/>
    </xf>
    <xf borderId="0" fillId="0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2" fillId="5" fontId="3" numFmtId="0" xfId="0" applyAlignment="1" applyBorder="1" applyFill="1" applyFont="1">
      <alignment horizontal="center" readingOrder="0"/>
    </xf>
    <xf borderId="2" fillId="0" fontId="3" numFmtId="2" xfId="0" applyAlignment="1" applyBorder="1" applyFont="1" applyNumberFormat="1">
      <alignment horizontal="center" readingOrder="0"/>
    </xf>
    <xf borderId="2" fillId="6" fontId="3" numFmtId="0" xfId="0" applyAlignment="1" applyBorder="1" applyFill="1" applyFont="1">
      <alignment horizontal="center" readingOrder="0"/>
    </xf>
    <xf borderId="0" fillId="6" fontId="6" numFmtId="0" xfId="0" applyAlignment="1" applyFill="1" applyFont="1">
      <alignment readingOrder="0" vertical="bottom"/>
    </xf>
    <xf borderId="0" fillId="5" fontId="6" numFmtId="0" xfId="0" applyAlignment="1" applyFill="1" applyFont="1">
      <alignment readingOrder="0" vertical="bottom"/>
    </xf>
    <xf borderId="0" fillId="6" fontId="3" numFmtId="164" xfId="0" applyAlignment="1" applyFill="1" applyFont="1" applyNumberFormat="1">
      <alignment horizontal="center" readingOrder="0"/>
    </xf>
    <xf borderId="0" fillId="5" fontId="3" numFmtId="164" xfId="0" applyAlignment="1" applyFill="1" applyFont="1" applyNumberFormat="1">
      <alignment horizontal="center" readingOrder="0"/>
    </xf>
    <xf borderId="0" fillId="5" fontId="3" numFmtId="164" xfId="0" applyFill="1" applyFont="1" applyNumberFormat="1"/>
    <xf borderId="0" fillId="5" fontId="3" numFmtId="164" xfId="0" applyAlignment="1" applyFill="1" applyFont="1" applyNumberFormat="1">
      <alignment horizontal="center"/>
    </xf>
    <xf borderId="0" fillId="5" fontId="3" numFmtId="2" xfId="0" applyAlignment="1" applyFill="1" applyFont="1" applyNumberFormat="1">
      <alignment horizontal="center"/>
    </xf>
    <xf borderId="0" fillId="5" fontId="3" numFmtId="0" xfId="0" applyAlignment="1" applyFill="1" applyFont="1">
      <alignment horizontal="center"/>
    </xf>
    <xf borderId="0" fillId="5" fontId="3" numFmtId="1" xfId="0" applyAlignment="1" applyFill="1" applyFont="1" applyNumberFormat="1">
      <alignment horizontal="center"/>
    </xf>
    <xf borderId="0" fillId="6" fontId="3" numFmtId="164" xfId="0" applyFill="1" applyFont="1" applyNumberFormat="1"/>
    <xf borderId="0" fillId="6" fontId="3" numFmtId="164" xfId="0" applyAlignment="1" applyFill="1" applyFont="1" applyNumberFormat="1">
      <alignment horizontal="center"/>
    </xf>
    <xf borderId="0" fillId="6" fontId="3" numFmtId="2" xfId="0" applyAlignment="1" applyFill="1" applyFont="1" applyNumberFormat="1">
      <alignment horizontal="center"/>
    </xf>
    <xf borderId="0" fillId="6" fontId="3" numFmtId="0" xfId="0" applyAlignment="1" applyFill="1" applyFont="1">
      <alignment horizontal="center"/>
    </xf>
    <xf borderId="0" fillId="6" fontId="3" numFmtId="1" xfId="0" applyAlignment="1" applyFill="1" applyFont="1" applyNumberFormat="1">
      <alignment horizont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</dxfs>
  <tableStyles count="7">
    <tableStyle count="3" pivot="0" name="Available - Cats-style">
      <tableStyleElement dxfId="1" type="headerRow"/>
      <tableStyleElement dxfId="2" type="firstRowStripe"/>
      <tableStyleElement dxfId="3" type="secondRowStripe"/>
    </tableStyle>
    <tableStyle count="3" pivot="0" name="Available - Cats-style 2">
      <tableStyleElement dxfId="1" type="headerRow"/>
      <tableStyleElement dxfId="2" type="firstRowStripe"/>
      <tableStyleElement dxfId="3" type="secondRowStripe"/>
    </tableStyle>
    <tableStyle count="3" pivot="0" name="Available - Cats-style 3">
      <tableStyleElement dxfId="1" type="headerRow"/>
      <tableStyleElement dxfId="2" type="firstRowStripe"/>
      <tableStyleElement dxfId="3" type="secondRowStripe"/>
    </tableStyle>
    <tableStyle count="3" pivot="0" name="Available - Cats-style 4">
      <tableStyleElement dxfId="1" type="headerRow"/>
      <tableStyleElement dxfId="2" type="firstRowStripe"/>
      <tableStyleElement dxfId="3" type="secondRowStripe"/>
    </tableStyle>
    <tableStyle count="3" pivot="0" name="Available - Cats-style 5">
      <tableStyleElement dxfId="1" type="headerRow"/>
      <tableStyleElement dxfId="2" type="firstRowStripe"/>
      <tableStyleElement dxfId="3" type="secondRowStripe"/>
    </tableStyle>
    <tableStyle count="3" pivot="0" name="Available - Cats-style 6">
      <tableStyleElement dxfId="1" type="headerRow"/>
      <tableStyleElement dxfId="2" type="firstRowStripe"/>
      <tableStyleElement dxfId="3" type="secondRowStripe"/>
    </tableStyle>
    <tableStyle count="3" pivot="0" name="Available - Cats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1" displayName="Table_1" name="Table_1" id="1">
  <tableColumns count="3">
    <tableColumn name="New ranking" id="1"/>
    <tableColumn name="PLAYER" id="2"/>
    <tableColumn name="TEAM" id="3"/>
  </tableColumns>
  <tableStyleInfo name="Available - Cats-style" showColumnStripes="0" showFirstColumn="1" showLastColumn="1" showRowStripes="1"/>
</table>
</file>

<file path=xl/tables/table2.xml><?xml version="1.0" encoding="utf-8"?>
<table xmlns="http://schemas.openxmlformats.org/spreadsheetml/2006/main" ref="E3:I9" displayName="Table_2" name="Table_2" id="2">
  <tableColumns count="5">
    <tableColumn name="PLAYER" id="1"/>
    <tableColumn name="POS" id="2"/>
    <tableColumn name="VAL" id="3"/>
    <tableColumn name="VORP" id="4"/>
    <tableColumn name="New ranking" id="5"/>
  </tableColumns>
  <tableStyleInfo name="Available - Cats-style 2" showColumnStripes="0" showFirstColumn="1" showLastColumn="1" showRowStripes="1"/>
</table>
</file>

<file path=xl/tables/table3.xml><?xml version="1.0" encoding="utf-8"?>
<table xmlns="http://schemas.openxmlformats.org/spreadsheetml/2006/main" ref="K3:O9" displayName="Table_3" name="Table_3" id="3">
  <tableColumns count="5">
    <tableColumn name="PLAYER" id="1"/>
    <tableColumn name="POS" id="2"/>
    <tableColumn name="VAL" id="3"/>
    <tableColumn name="VORP" id="4"/>
    <tableColumn name="New ranking" id="5"/>
  </tableColumns>
  <tableStyleInfo name="Available - Cats-style 3" showColumnStripes="0" showFirstColumn="1" showLastColumn="1" showRowStripes="1"/>
</table>
</file>

<file path=xl/tables/table4.xml><?xml version="1.0" encoding="utf-8"?>
<table xmlns="http://schemas.openxmlformats.org/spreadsheetml/2006/main" ref="E13:I19" displayName="Table_4" name="Table_4" id="4">
  <tableColumns count="5">
    <tableColumn name="PLAYER" id="1"/>
    <tableColumn name="POS" id="2"/>
    <tableColumn name="VAL" id="3"/>
    <tableColumn name="VORP" id="4"/>
    <tableColumn name="New ranking" id="5"/>
  </tableColumns>
  <tableStyleInfo name="Available - Cats-style 4" showColumnStripes="0" showFirstColumn="1" showLastColumn="1" showRowStripes="1"/>
</table>
</file>

<file path=xl/tables/table5.xml><?xml version="1.0" encoding="utf-8"?>
<table xmlns="http://schemas.openxmlformats.org/spreadsheetml/2006/main" ref="K13:O19" displayName="Table_5" name="Table_5" id="5">
  <tableColumns count="5">
    <tableColumn name="PLAYER" id="1"/>
    <tableColumn name="POS" id="2"/>
    <tableColumn name="VAL" id="3"/>
    <tableColumn name="VORP" id="4"/>
    <tableColumn name="New ranking" id="5"/>
  </tableColumns>
  <tableStyleInfo name="Available - Cats-style 5" showColumnStripes="0" showFirstColumn="1" showLastColumn="1" showRowStripes="1"/>
</table>
</file>

<file path=xl/tables/table6.xml><?xml version="1.0" encoding="utf-8"?>
<table xmlns="http://schemas.openxmlformats.org/spreadsheetml/2006/main" ref="E23:I29" displayName="Table_6" name="Table_6" id="6">
  <tableColumns count="5">
    <tableColumn name="PLAYER" id="1"/>
    <tableColumn name="POS" id="2"/>
    <tableColumn name="VAL" id="3"/>
    <tableColumn name="VORP" id="4"/>
    <tableColumn name="New ranking" id="5"/>
  </tableColumns>
  <tableStyleInfo name="Available - Cats-style 6" showColumnStripes="0" showFirstColumn="1" showLastColumn="1" showRowStripes="1"/>
</table>
</file>

<file path=xl/tables/table7.xml><?xml version="1.0" encoding="utf-8"?>
<table xmlns="http://schemas.openxmlformats.org/spreadsheetml/2006/main" ref="K23:O29" displayName="Table_7" name="Table_7" id="7">
  <tableColumns count="5">
    <tableColumn name="PLAYER" id="1"/>
    <tableColumn name="POS" id="2"/>
    <tableColumn name="VAL" id="3"/>
    <tableColumn name="VORP" id="4"/>
    <tableColumn name="New ranking" id="5"/>
  </tableColumns>
  <tableStyleInfo name="Available - Cats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32" width="4.88"/>
  </cols>
  <sheetData>
    <row r="1">
      <c r="A1" s="1" t="s">
        <v>0</v>
      </c>
      <c r="B1" s="2">
        <v>10.0</v>
      </c>
      <c r="C1" s="3"/>
      <c r="D1" s="3"/>
      <c r="F1" s="4" t="s">
        <v>1</v>
      </c>
      <c r="G1" s="5">
        <v>1.0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2">
        <v>1.0</v>
      </c>
      <c r="C2" s="2"/>
      <c r="D2" s="3"/>
      <c r="E2" s="3"/>
      <c r="F2" s="4" t="s">
        <v>3</v>
      </c>
      <c r="G2" s="5">
        <v>0.0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1"/>
      <c r="B3" s="2"/>
      <c r="C3" s="2"/>
      <c r="D3" s="3"/>
      <c r="E3" s="3"/>
      <c r="F3" s="4" t="s">
        <v>4</v>
      </c>
      <c r="G3" s="5">
        <v>0.0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1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6" t="str">
        <f>"(top " &amp; $B1 &amp; ")"</f>
        <v>(top 10)</v>
      </c>
      <c r="AB4" s="6" t="str">
        <f>"(top " &amp; $B2 &amp; ")"</f>
        <v>(top 1)</v>
      </c>
    </row>
    <row r="5">
      <c r="A5" s="9" t="s">
        <v>5</v>
      </c>
      <c r="B5" s="10" t="s">
        <v>6</v>
      </c>
      <c r="C5" s="10" t="s">
        <v>7</v>
      </c>
      <c r="D5" s="13" t="s">
        <v>8</v>
      </c>
      <c r="E5" s="15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15" t="s">
        <v>16</v>
      </c>
      <c r="M5" s="16" t="s">
        <v>17</v>
      </c>
      <c r="N5" s="17" t="s">
        <v>19</v>
      </c>
      <c r="O5" s="15" t="s">
        <v>21</v>
      </c>
      <c r="P5" s="6"/>
      <c r="Q5" s="6"/>
      <c r="R5" s="15" t="str">
        <f t="shared" ref="R5:AE5" si="1">B5</f>
        <v>G</v>
      </c>
      <c r="S5" s="15" t="str">
        <f t="shared" si="1"/>
        <v>A</v>
      </c>
      <c r="T5" s="15" t="str">
        <f t="shared" si="1"/>
        <v>+/-</v>
      </c>
      <c r="U5" s="15" t="str">
        <f t="shared" si="1"/>
        <v>PIM</v>
      </c>
      <c r="V5" s="15" t="str">
        <f t="shared" si="1"/>
        <v>PPP</v>
      </c>
      <c r="W5" s="15" t="str">
        <f t="shared" si="1"/>
        <v>SHP</v>
      </c>
      <c r="X5" s="15" t="str">
        <f t="shared" si="1"/>
        <v>SOG</v>
      </c>
      <c r="Y5" s="15" t="str">
        <f t="shared" si="1"/>
        <v>FOW</v>
      </c>
      <c r="Z5" s="15" t="str">
        <f t="shared" si="1"/>
        <v>HIT</v>
      </c>
      <c r="AA5" s="15" t="str">
        <f t="shared" si="1"/>
        <v>BLK</v>
      </c>
      <c r="AB5" s="15" t="str">
        <f t="shared" si="1"/>
        <v>W</v>
      </c>
      <c r="AC5" s="16" t="str">
        <f t="shared" si="1"/>
        <v>GAA</v>
      </c>
      <c r="AD5" s="17" t="str">
        <f t="shared" si="1"/>
        <v>SV%</v>
      </c>
      <c r="AE5" s="15" t="str">
        <f t="shared" si="1"/>
        <v>SO</v>
      </c>
    </row>
    <row r="6">
      <c r="A6" s="18" t="s">
        <v>22</v>
      </c>
      <c r="B6" s="21">
        <f>AVERAGEIFS('Player Values - Cats'!O:O, 'Player Values - Cats'!$D:$D, $A6, 'Player Values - Cats'!O:O, "&lt;&gt;")</f>
        <v>0.3279519955</v>
      </c>
      <c r="C6" s="21">
        <f>AVERAGEIFS('Player Values - Cats'!P:P, 'Player Values - Cats'!$D:$D, $A6, 'Player Values - Cats'!P:P, "&lt;&gt;")</f>
        <v>0.4513249657</v>
      </c>
      <c r="D6" s="21">
        <f>AVERAGEIFS('Player Values - Cats'!Q:Q, 'Player Values - Cats'!$D:$D, $A6, 'Player Values - Cats'!Q:Q, "&lt;&gt;")</f>
        <v>-0.2197298641</v>
      </c>
      <c r="E6" s="21">
        <f>AVERAGEIFS('Player Values - Cats'!R:R, 'Player Values - Cats'!$D:$D, $A6, 'Player Values - Cats'!R:R, "&lt;&gt;")</f>
        <v>-0.662539433</v>
      </c>
      <c r="F6" s="21">
        <f>AVERAGEIFS('Player Values - Cats'!S:S, 'Player Values - Cats'!$D:$D, $A6, 'Player Values - Cats'!S:S, "&lt;&gt;")</f>
        <v>0.492382043</v>
      </c>
      <c r="G6" s="21">
        <f>AVERAGEIFS('Player Values - Cats'!T:T, 'Player Values - Cats'!$D:$D, $A6, 'Player Values - Cats'!T:T, "&lt;&gt;")</f>
        <v>-0.2834363241</v>
      </c>
      <c r="H6" s="21">
        <f>AVERAGEIFS('Player Values - Cats'!U:U, 'Player Values - Cats'!$D:$D, $A6, 'Player Values - Cats'!U:U, "&lt;&gt;")</f>
        <v>0.422020794</v>
      </c>
      <c r="I6" s="21">
        <f>AVERAGEIFS('Player Values - Cats'!V:V, 'Player Values - Cats'!$D:$D, $A6, 'Player Values - Cats'!V:V, "&lt;&gt;")</f>
        <v>0.4492444607</v>
      </c>
      <c r="J6" s="21">
        <f>AVERAGEIFS('Player Values - Cats'!W:W, 'Player Values - Cats'!$D:$D, $A6, 'Player Values - Cats'!W:W, "&lt;&gt;")</f>
        <v>-1.061038902</v>
      </c>
      <c r="K6" s="21">
        <f>AVERAGEIFS('Player Values - Cats'!X:X, 'Player Values - Cats'!$D:$D, $A6, 'Player Values - Cats'!X:X, "&lt;&gt;")</f>
        <v>-0.6717488717</v>
      </c>
      <c r="L6" s="21">
        <f>AVERAGEIFS('Player Values - Cats'!Y:Y, 'Player Values - Cats'!$D:$D, $A6, 'Player Values - Cats'!Y:Y, "&lt;&gt;")</f>
        <v>0.1482739426</v>
      </c>
      <c r="M6" s="21">
        <f>AVERAGEIFS('Player Values - Cats'!Z:Z, 'Player Values - Cats'!$D:$D, $A6, 'Player Values - Cats'!Z:Z, "&lt;&gt;")</f>
        <v>0.4842972822</v>
      </c>
      <c r="N6" s="21">
        <f>AVERAGEIFS('Player Values - Cats'!AA:AA, 'Player Values - Cats'!$D:$D, $A6, 'Player Values - Cats'!AA:AA, "&lt;&gt;")</f>
        <v>0.7618142493</v>
      </c>
      <c r="O6" s="21">
        <f>AVERAGEIFS('Player Values - Cats'!AB:AB, 'Player Values - Cats'!$D:$D, $A6, 'Player Values - Cats'!AB:AB, "&lt;&gt;")</f>
        <v>0.287655144</v>
      </c>
      <c r="P6" s="40"/>
      <c r="Q6" s="40"/>
      <c r="R6" s="21">
        <f>IFERROR(__xludf.DUMMYFUNCTION("AVERAGE(SORTN(FILTER('Player Values - Cats'!O4:O1004, 'Player Values - Cats'!$D4:$D1004 = $A6, ISNUMBER('Player Values - Cats'!O4:O1004)), $B$1, 0, 1, FALSE))"),1.8976392830899713)</f>
        <v>1.897639283</v>
      </c>
      <c r="S6" s="21">
        <f>IFERROR(__xludf.DUMMYFUNCTION("AVERAGE(SORTN(FILTER('Player Values - Cats'!P4:P1004, 'Player Values - Cats'!$D4:$D1004 = $A6, ISNUMBER('Player Values - Cats'!P4:P1004)), $B$1, 0, 1, FALSE))"),1.3492117614141554)</f>
        <v>1.349211761</v>
      </c>
      <c r="T6" s="21">
        <f>IFERROR(__xludf.DUMMYFUNCTION("AVERAGE(SORTN(FILTER('Player Values - Cats'!Q4:Q1004, 'Player Values - Cats'!$D4:$D1004 = $A6, ISNUMBER('Player Values - Cats'!Q4:Q1004)), $B$1, 0, 1, FALSE))"),1.3585673638811517)</f>
        <v>1.358567364</v>
      </c>
      <c r="U6" s="21">
        <f>IFERROR(__xludf.DUMMYFUNCTION("AVERAGE(SORTN(FILTER('Player Values - Cats'!R4:R1004, 'Player Values - Cats'!$D4:$D1004 = $A6, ISNUMBER('Player Values - Cats'!R4:R1004)), $B$1, 0, 1, FALSE))"),0.09998580362168116)</f>
        <v>0.09998580362</v>
      </c>
      <c r="V6" s="21">
        <f>IFERROR(__xludf.DUMMYFUNCTION("AVERAGE(SORTN(FILTER('Player Values - Cats'!S4:S1004, 'Player Values - Cats'!$D4:$D1004 = $A6, ISNUMBER('Player Values - Cats'!S4:S1004)), $B$1, 0, 1, FALSE))"),1.585957783140048)</f>
        <v>1.585957783</v>
      </c>
      <c r="W6" s="21">
        <f>IFERROR(__xludf.DUMMYFUNCTION("AVERAGE(SORTN(FILTER('Player Values - Cats'!T4:T1004, 'Player Values - Cats'!$D4:$D1004 = $A6, ISNUMBER('Player Values - Cats'!T4:T1004)), $B$1, 0, 1, FALSE))"),0.3061020155722415)</f>
        <v>0.3061020156</v>
      </c>
      <c r="X6" s="21">
        <f>IFERROR(__xludf.DUMMYFUNCTION("AVERAGE(SORTN(FILTER('Player Values - Cats'!U4:U1004, 'Player Values - Cats'!$D4:$D1004 = $A6, ISNUMBER('Player Values - Cats'!U4:U1004)), $B$1, 0, 1, FALSE))"),1.73308554964389)</f>
        <v>1.73308555</v>
      </c>
      <c r="Y6" s="21">
        <f>IFERROR(__xludf.DUMMYFUNCTION("AVERAGE(SORTN(FILTER('Player Values - Cats'!V4:V1004, 'Player Values - Cats'!$D4:$D1004 = $A6, ISNUMBER('Player Values - Cats'!V4:V1004)), $B$1, 0, 1, FALSE))"),1.2578844900313255)</f>
        <v>1.25788449</v>
      </c>
      <c r="Z6" s="21">
        <f>IFERROR(__xludf.DUMMYFUNCTION("AVERAGE(SORTN(FILTER('Player Values - Cats'!W4:W1004, 'Player Values - Cats'!$D4:$D1004 = $A6, ISNUMBER('Player Values - Cats'!W4:W1004)), $B$1, 0, 1, FALSE))"),0.12338765731894183)</f>
        <v>0.1233876573</v>
      </c>
      <c r="AA6" s="21">
        <f>IFERROR(__xludf.DUMMYFUNCTION("AVERAGE(SORTN(FILTER('Player Values - Cats'!X4:X1004, 'Player Values - Cats'!$D4:$D1004 = $A6, ISNUMBER('Player Values - Cats'!X4:X1004)), $B$1, 0, 1, FALSE))"),0.6989707987977977)</f>
        <v>0.6989707988</v>
      </c>
      <c r="AB6" s="21">
        <f>IFERROR(__xludf.DUMMYFUNCTION("AVERAGE(SORTN(FILTER('Player Values - Cats'!Y4:Y1004, 'Player Values - Cats'!$D4:$D1004 = $A6, ISNUMBER('Player Values - Cats'!Y4:Y1004)), $B$2, 0, 1, FALSE))"),1.0053222056340791)</f>
        <v>1.005322206</v>
      </c>
      <c r="AC6" s="21">
        <f>IFERROR(__xludf.DUMMYFUNCTION("AVERAGE(SORTN(FILTER('Player Values - Cats'!Z4:Z1004, 'Player Values - Cats'!$D4:$D1004 = $A6, ISNUMBER('Player Values - Cats'!Z4:Z1004)), $B$2, 0, 1, FALSE))"),1.3687519183327665)</f>
        <v>1.368751918</v>
      </c>
      <c r="AD6" s="21">
        <f>IFERROR(__xludf.DUMMYFUNCTION("AVERAGE(SORTN(FILTER('Player Values - Cats'!AA4:AA1004, 'Player Values - Cats'!$D4:$D1004 = $A6, ISNUMBER('Player Values - Cats'!AA4:AA1004)), $B$2, 0, 1, FALSE))"),1.5200976887423285)</f>
        <v>1.520097689</v>
      </c>
      <c r="AE6" s="21">
        <f>IFERROR(__xludf.DUMMYFUNCTION("AVERAGE(SORTN(FILTER('Player Values - Cats'!AB4:AB1004, 'Player Values - Cats'!$D4:$D1004 = $A6, ISNUMBER('Player Values - Cats'!AB4:AB1004)), $B$2, 0, 1, FALSE))"),0.5595319820068041)</f>
        <v>0.559531982</v>
      </c>
    </row>
    <row r="7">
      <c r="A7" s="18" t="s">
        <v>254</v>
      </c>
      <c r="B7" s="21">
        <f>AVERAGEIFS('Player Values - Cats'!O:O, 'Player Values - Cats'!$D:$D, $A7, 'Player Values - Cats'!O:O, "&lt;&gt;")</f>
        <v>0.2049819768</v>
      </c>
      <c r="C7" s="21">
        <f>AVERAGEIFS('Player Values - Cats'!P:P, 'Player Values - Cats'!$D:$D, $A7, 'Player Values - Cats'!P:P, "&lt;&gt;")</f>
        <v>0.3521233913</v>
      </c>
      <c r="D7" s="21">
        <f>AVERAGEIFS('Player Values - Cats'!Q:Q, 'Player Values - Cats'!$D:$D, $A7, 'Player Values - Cats'!Q:Q, "&lt;&gt;")</f>
        <v>-0.8957824628</v>
      </c>
      <c r="E7" s="21">
        <f>AVERAGEIFS('Player Values - Cats'!R:R, 'Player Values - Cats'!$D:$D, $A7, 'Player Values - Cats'!R:R, "&lt;&gt;")</f>
        <v>-0.7951114979</v>
      </c>
      <c r="F7" s="21">
        <f>AVERAGEIFS('Player Values - Cats'!S:S, 'Player Values - Cats'!$D:$D, $A7, 'Player Values - Cats'!S:S, "&lt;&gt;")</f>
        <v>0.4540256493</v>
      </c>
      <c r="G7" s="21">
        <f>AVERAGEIFS('Player Values - Cats'!T:T, 'Player Values - Cats'!$D:$D, $A7, 'Player Values - Cats'!T:T, "&lt;&gt;")</f>
        <v>-0.3750459532</v>
      </c>
      <c r="H7" s="21">
        <f>AVERAGEIFS('Player Values - Cats'!U:U, 'Player Values - Cats'!$D:$D, $A7, 'Player Values - Cats'!U:U, "&lt;&gt;")</f>
        <v>0.5417565736</v>
      </c>
      <c r="I7" s="21">
        <f>AVERAGEIFS('Player Values - Cats'!V:V, 'Player Values - Cats'!$D:$D, $A7, 'Player Values - Cats'!V:V, "&lt;&gt;")</f>
        <v>0.5352509598</v>
      </c>
      <c r="J7" s="21">
        <f>AVERAGEIFS('Player Values - Cats'!W:W, 'Player Values - Cats'!$D:$D, $A7, 'Player Values - Cats'!W:W, "&lt;&gt;")</f>
        <v>-1.119828089</v>
      </c>
      <c r="K7" s="21">
        <f>AVERAGEIFS('Player Values - Cats'!X:X, 'Player Values - Cats'!$D:$D, $A7, 'Player Values - Cats'!X:X, "&lt;&gt;")</f>
        <v>-0.6122284917</v>
      </c>
      <c r="L7" s="21">
        <f>AVERAGEIFS('Player Values - Cats'!Y:Y, 'Player Values - Cats'!$D:$D, $A7, 'Player Values - Cats'!Y:Y, "&lt;&gt;")</f>
        <v>-0.2289394078</v>
      </c>
      <c r="M7" s="21">
        <f>AVERAGEIFS('Player Values - Cats'!Z:Z, 'Player Values - Cats'!$D:$D, $A7, 'Player Values - Cats'!Z:Z, "&lt;&gt;")</f>
        <v>0.2113174562</v>
      </c>
      <c r="N7" s="21">
        <f>AVERAGEIFS('Player Values - Cats'!AA:AA, 'Player Values - Cats'!$D:$D, $A7, 'Player Values - Cats'!AA:AA, "&lt;&gt;")</f>
        <v>-1.133894349</v>
      </c>
      <c r="O7" s="21">
        <f>AVERAGEIFS('Player Values - Cats'!AB:AB, 'Player Values - Cats'!$D:$D, $A7, 'Player Values - Cats'!AB:AB, "&lt;&gt;")</f>
        <v>0.04532735001</v>
      </c>
      <c r="P7" s="40"/>
      <c r="Q7" s="40"/>
      <c r="R7" s="21">
        <f>IFERROR(__xludf.DUMMYFUNCTION("AVERAGE(SORTN(FILTER('Player Values - Cats'!O2:O1004, 'Player Values - Cats'!$D2:$D1004 = $A7, ISNUMBER('Player Values - Cats'!O2:O1004)), $B$1, 0, 1, FALSE))"),1.5283064857408868)</f>
        <v>1.528306486</v>
      </c>
      <c r="S7" s="21">
        <f>IFERROR(__xludf.DUMMYFUNCTION("AVERAGE(SORTN(FILTER('Player Values - Cats'!P2:P1004, 'Player Values - Cats'!$D2:$D1004 = $A7, ISNUMBER('Player Values - Cats'!P2:P1004)), $B$1, 0, 1, FALSE))"),1.3508502889238034)</f>
        <v>1.350850289</v>
      </c>
      <c r="T7" s="21">
        <f>IFERROR(__xludf.DUMMYFUNCTION("AVERAGE(SORTN(FILTER('Player Values - Cats'!Q2:Q1004, 'Player Values - Cats'!$D2:$D1004 = $A7, ISNUMBER('Player Values - Cats'!Q2:Q1004)), $B$1, 0, 1, FALSE))"),0.913027557192971)</f>
        <v>0.9130275572</v>
      </c>
      <c r="U7" s="21">
        <f>IFERROR(__xludf.DUMMYFUNCTION("AVERAGE(SORTN(FILTER('Player Values - Cats'!R2:R1004, 'Player Values - Cats'!$D2:$D1004 = $A7, ISNUMBER('Player Values - Cats'!R2:R1004)), $B$1, 0, 1, FALSE))"),0.10283221437667889)</f>
        <v>0.1028322144</v>
      </c>
      <c r="V7" s="21">
        <f>IFERROR(__xludf.DUMMYFUNCTION("AVERAGE(SORTN(FILTER('Player Values - Cats'!S2:S1004, 'Player Values - Cats'!$D2:$D1004 = $A7, ISNUMBER('Player Values - Cats'!S2:S1004)), $B$1, 0, 1, FALSE))"),1.5399335739963325)</f>
        <v>1.539933574</v>
      </c>
      <c r="W7" s="21">
        <f>IFERROR(__xludf.DUMMYFUNCTION("AVERAGE(SORTN(FILTER('Player Values - Cats'!T2:T1004, 'Player Values - Cats'!$D2:$D1004 = $A7, ISNUMBER('Player Values - Cats'!T2:T1004)), $B$1, 0, 1, FALSE))"),0.2142399106252011)</f>
        <v>0.2142399106</v>
      </c>
      <c r="X7" s="21">
        <f>IFERROR(__xludf.DUMMYFUNCTION("AVERAGE(SORTN(FILTER('Player Values - Cats'!U2:U1004, 'Player Values - Cats'!$D2:$D1004 = $A7, ISNUMBER('Player Values - Cats'!U2:U1004)), $B$1, 0, 1, FALSE))"),1.769588854469309)</f>
        <v>1.769588854</v>
      </c>
      <c r="Y7" s="21">
        <f>IFERROR(__xludf.DUMMYFUNCTION("AVERAGE(SORTN(FILTER('Player Values - Cats'!V2:V1004, 'Player Values - Cats'!$D2:$D1004 = $A7, ISNUMBER('Player Values - Cats'!V2:V1004)), $B$1, 0, 1, FALSE))"),1.3916524955446237)</f>
        <v>1.391652496</v>
      </c>
      <c r="Z7" s="21">
        <f>IFERROR(__xludf.DUMMYFUNCTION("AVERAGE(SORTN(FILTER('Player Values - Cats'!W2:W1004, 'Player Values - Cats'!$D2:$D1004 = $A7, ISNUMBER('Player Values - Cats'!W2:W1004)), $B$1, 0, 1, FALSE))"),-0.3804648441124671)</f>
        <v>-0.3804648441</v>
      </c>
      <c r="AA7" s="21">
        <f>IFERROR(__xludf.DUMMYFUNCTION("AVERAGE(SORTN(FILTER('Player Values - Cats'!X2:X1004, 'Player Values - Cats'!$D2:$D1004 = $A7, ISNUMBER('Player Values - Cats'!X2:X1004)), $B$1, 0, 1, FALSE))"),0.7376908232470947)</f>
        <v>0.7376908232</v>
      </c>
      <c r="AB7" s="21">
        <f>IFERROR(__xludf.DUMMYFUNCTION("AVERAGE(SORTN(FILTER('Player Values - Cats'!Y2:Y1004, 'Player Values - Cats'!$D2:$D1004 = $A7, ISNUMBER('Player Values - Cats'!Y2:Y1004)), $B$2, 0, 1, FALSE))"),1.2331986708569582)</f>
        <v>1.233198671</v>
      </c>
      <c r="AC7" s="21">
        <f>IFERROR(__xludf.DUMMYFUNCTION("AVERAGE(SORTN(FILTER('Player Values - Cats'!Z2:Z1004, 'Player Values - Cats'!$D2:$D1004 = $A7, ISNUMBER('Player Values - Cats'!Z2:Z1004)), $B$2, 0, 1, FALSE))"),0.6553646397745425)</f>
        <v>0.6553646398</v>
      </c>
      <c r="AD7" s="21">
        <f>IFERROR(__xludf.DUMMYFUNCTION("AVERAGE(SORTN(FILTER('Player Values - Cats'!AA2:AA1004, 'Player Values - Cats'!$D2:$D1004 = $A7, ISNUMBER('Player Values - Cats'!AA2:AA1004)), $B$2, 0, 1, FALSE))"),-0.3825043957404056)</f>
        <v>-0.3825043957</v>
      </c>
      <c r="AE7" s="21">
        <f>IFERROR(__xludf.DUMMYFUNCTION("AVERAGE(SORTN(FILTER('Player Values - Cats'!AB2:AB1004, 'Player Values - Cats'!$D2:$D1004 = $A7, ISNUMBER('Player Values - Cats'!AB2:AB1004)), $B$2, 0, 1, FALSE))"),0.130246657537567)</f>
        <v>0.1302466575</v>
      </c>
    </row>
    <row r="8">
      <c r="A8" s="18" t="s">
        <v>502</v>
      </c>
      <c r="B8" s="21">
        <f>AVERAGEIFS('Player Values - Cats'!O:O, 'Player Values - Cats'!$D:$D, $A8, 'Player Values - Cats'!O:O, "&lt;&gt;")</f>
        <v>0.2073222663</v>
      </c>
      <c r="C8" s="21">
        <f>AVERAGEIFS('Player Values - Cats'!P:P, 'Player Values - Cats'!$D:$D, $A8, 'Player Values - Cats'!P:P, "&lt;&gt;")</f>
        <v>0.4221884296</v>
      </c>
      <c r="D8" s="21">
        <f>AVERAGEIFS('Player Values - Cats'!Q:Q, 'Player Values - Cats'!$D:$D, $A8, 'Player Values - Cats'!Q:Q, "&lt;&gt;")</f>
        <v>-0.4636695205</v>
      </c>
      <c r="E8" s="21">
        <f>AVERAGEIFS('Player Values - Cats'!R:R, 'Player Values - Cats'!$D:$D, $A8, 'Player Values - Cats'!R:R, "&lt;&gt;")</f>
        <v>-0.3416855344</v>
      </c>
      <c r="F8" s="21">
        <f>AVERAGEIFS('Player Values - Cats'!S:S, 'Player Values - Cats'!$D:$D, $A8, 'Player Values - Cats'!S:S, "&lt;&gt;")</f>
        <v>0.2764336297</v>
      </c>
      <c r="G8" s="21">
        <f>AVERAGEIFS('Player Values - Cats'!T:T, 'Player Values - Cats'!$D:$D, $A8, 'Player Values - Cats'!T:T, "&lt;&gt;")</f>
        <v>-0.2695187228</v>
      </c>
      <c r="H8" s="21">
        <f>AVERAGEIFS('Player Values - Cats'!U:U, 'Player Values - Cats'!$D:$D, $A8, 'Player Values - Cats'!U:U, "&lt;&gt;")</f>
        <v>0.4421665334</v>
      </c>
      <c r="I8" s="21">
        <f>AVERAGEIFS('Player Values - Cats'!V:V, 'Player Values - Cats'!$D:$D, $A8, 'Player Values - Cats'!V:V, "&lt;&gt;")</f>
        <v>0.4255648469</v>
      </c>
      <c r="J8" s="21">
        <f>AVERAGEIFS('Player Values - Cats'!W:W, 'Player Values - Cats'!$D:$D, $A8, 'Player Values - Cats'!W:W, "&lt;&gt;")</f>
        <v>-1.083890214</v>
      </c>
      <c r="K8" s="21">
        <f>AVERAGEIFS('Player Values - Cats'!X:X, 'Player Values - Cats'!$D:$D, $A8, 'Player Values - Cats'!X:X, "&lt;&gt;")</f>
        <v>-0.7945941024</v>
      </c>
      <c r="L8" s="21">
        <f>AVERAGEIFS('Player Values - Cats'!Y:Y, 'Player Values - Cats'!$D:$D, $A8, 'Player Values - Cats'!Y:Y, "&lt;&gt;")</f>
        <v>-0.05764089865</v>
      </c>
      <c r="M8" s="21">
        <f>AVERAGEIFS('Player Values - Cats'!Z:Z, 'Player Values - Cats'!$D:$D, $A8, 'Player Values - Cats'!Z:Z, "&lt;&gt;")</f>
        <v>-1.441120424</v>
      </c>
      <c r="N8" s="21">
        <f>AVERAGEIFS('Player Values - Cats'!AA:AA, 'Player Values - Cats'!$D:$D, $A8, 'Player Values - Cats'!AA:AA, "&lt;&gt;")</f>
        <v>-0.6637586169</v>
      </c>
      <c r="O8" s="21">
        <f>AVERAGEIFS('Player Values - Cats'!AB:AB, 'Player Values - Cats'!$D:$D, $A8, 'Player Values - Cats'!AB:AB, "&lt;&gt;")</f>
        <v>0.2045006358</v>
      </c>
      <c r="P8" s="40"/>
      <c r="Q8" s="40"/>
      <c r="R8" s="21">
        <f>IFERROR(__xludf.DUMMYFUNCTION("AVERAGE(SORTN(FILTER('Player Values - Cats'!O9:O1004, 'Player Values - Cats'!$D9:$D1004 = $A8, ISNUMBER('Player Values - Cats'!O9:O1004)), $B$1, 0, 1, FALSE))"),1.3293865258551159)</f>
        <v>1.329386526</v>
      </c>
      <c r="S8" s="21">
        <f>IFERROR(__xludf.DUMMYFUNCTION("AVERAGE(SORTN(FILTER('Player Values - Cats'!P9:P1004, 'Player Values - Cats'!$D9:$D1004 = $A8, ISNUMBER('Player Values - Cats'!P9:P1004)), $B$1, 0, 1, FALSE))"),1.3826742302562587)</f>
        <v>1.38267423</v>
      </c>
      <c r="T8" s="21">
        <f>IFERROR(__xludf.DUMMYFUNCTION("AVERAGE(SORTN(FILTER('Player Values - Cats'!Q9:Q1004, 'Player Values - Cats'!$D9:$D1004 = $A8, ISNUMBER('Player Values - Cats'!Q9:Q1004)), $B$1, 0, 1, FALSE))"),0.6198454536311508)</f>
        <v>0.6198454536</v>
      </c>
      <c r="U8" s="21">
        <f>IFERROR(__xludf.DUMMYFUNCTION("AVERAGE(SORTN(FILTER('Player Values - Cats'!R9:R1004, 'Player Values - Cats'!$D9:$D1004 = $A8, ISNUMBER('Player Values - Cats'!R9:R1004)), $B$1, 0, 1, FALSE))"),0.741762515018441)</f>
        <v>0.741762515</v>
      </c>
      <c r="V8" s="21">
        <f>IFERROR(__xludf.DUMMYFUNCTION("AVERAGE(SORTN(FILTER('Player Values - Cats'!S9:S1004, 'Player Values - Cats'!$D9:$D1004 = $A8, ISNUMBER('Player Values - Cats'!S9:S1004)), $B$1, 0, 1, FALSE))"),1.206226252905497)</f>
        <v>1.206226253</v>
      </c>
      <c r="W8" s="21">
        <f>IFERROR(__xludf.DUMMYFUNCTION("AVERAGE(SORTN(FILTER('Player Values - Cats'!T9:T1004, 'Player Values - Cats'!$D9:$D1004 = $A8, ISNUMBER('Player Values - Cats'!T9:T1004)), $B$1, 0, 1, FALSE))"),0.2952061496015803)</f>
        <v>0.2952061496</v>
      </c>
      <c r="X8" s="21">
        <f>IFERROR(__xludf.DUMMYFUNCTION("AVERAGE(SORTN(FILTER('Player Values - Cats'!U9:U1004, 'Player Values - Cats'!$D9:$D1004 = $A8, ISNUMBER('Player Values - Cats'!U9:U1004)), $B$1, 0, 1, FALSE))"),1.2390467921752375)</f>
        <v>1.239046792</v>
      </c>
      <c r="Y8" s="21">
        <f>IFERROR(__xludf.DUMMYFUNCTION("AVERAGE(SORTN(FILTER('Player Values - Cats'!V9:V1004, 'Player Values - Cats'!$D9:$D1004 = $A8, ISNUMBER('Player Values - Cats'!V9:V1004)), $B$1, 0, 1, FALSE))"),1.1490250867141936)</f>
        <v>1.149025087</v>
      </c>
      <c r="Z8" s="21">
        <f>IFERROR(__xludf.DUMMYFUNCTION("AVERAGE(SORTN(FILTER('Player Values - Cats'!W9:W1004, 'Player Values - Cats'!$D9:$D1004 = $A8, ISNUMBER('Player Values - Cats'!W9:W1004)), $B$1, 0, 1, FALSE))"),-0.2623597062602026)</f>
        <v>-0.2623597063</v>
      </c>
      <c r="AA8" s="21">
        <f>IFERROR(__xludf.DUMMYFUNCTION("AVERAGE(SORTN(FILTER('Player Values - Cats'!X9:X1004, 'Player Values - Cats'!$D9:$D1004 = $A8, ISNUMBER('Player Values - Cats'!X9:X1004)), $B$1, 0, 1, FALSE))"),0.6472660485088325)</f>
        <v>0.6472660485</v>
      </c>
      <c r="AB8" s="21">
        <f>IFERROR(__xludf.DUMMYFUNCTION("AVERAGE(SORTN(FILTER('Player Values - Cats'!Y9:Y1004, 'Player Values - Cats'!$D9:$D1004 = $A8, ISNUMBER('Player Values - Cats'!Y9:Y1004)), $B$2, 0, 1, FALSE))"),0.823392231031477)</f>
        <v>0.823392231</v>
      </c>
      <c r="AC8" s="21">
        <f>IFERROR(__xludf.DUMMYFUNCTION("AVERAGE(SORTN(FILTER('Player Values - Cats'!Z9:Z1004, 'Player Values - Cats'!$D9:$D1004 = $A8, ISNUMBER('Player Values - Cats'!Z9:Z1004)), $B$2, 0, 1, FALSE))"),0.5534521714090794)</f>
        <v>0.5534521714</v>
      </c>
      <c r="AD8" s="21">
        <f>IFERROR(__xludf.DUMMYFUNCTION("AVERAGE(SORTN(FILTER('Player Values - Cats'!AA9:AA1004, 'Player Values - Cats'!$D9:$D1004 = $A8, ISNUMBER('Player Values - Cats'!AA9:AA1004)), $B$2, 0, 1, FALSE))"),0.9410448804215005)</f>
        <v>0.9410448804</v>
      </c>
      <c r="AE8" s="21">
        <f>IFERROR(__xludf.DUMMYFUNCTION("AVERAGE(SORTN(FILTER('Player Values - Cats'!AB9:AB1004, 'Player Values - Cats'!$D9:$D1004 = $A8, ISNUMBER('Player Values - Cats'!AB9:AB1004)), $B$2, 0, 1, FALSE))"),0.5332818990797707)</f>
        <v>0.5332818991</v>
      </c>
    </row>
    <row r="9">
      <c r="A9" s="18" t="s">
        <v>773</v>
      </c>
      <c r="B9" s="21">
        <f>AVERAGEIFS('Player Values - Cats'!O:O, 'Player Values - Cats'!$D:$D, $A9, 'Player Values - Cats'!O:O, "&lt;&gt;")</f>
        <v>0.221458034</v>
      </c>
      <c r="C9" s="21">
        <f>AVERAGEIFS('Player Values - Cats'!P:P, 'Player Values - Cats'!$D:$D, $A9, 'Player Values - Cats'!P:P, "&lt;&gt;")</f>
        <v>0.5390958421</v>
      </c>
      <c r="D9" s="21">
        <f>AVERAGEIFS('Player Values - Cats'!Q:Q, 'Player Values - Cats'!$D:$D, $A9, 'Player Values - Cats'!Q:Q, "&lt;&gt;")</f>
        <v>-0.2061787933</v>
      </c>
      <c r="E9" s="21">
        <f>AVERAGEIFS('Player Values - Cats'!R:R, 'Player Values - Cats'!$D:$D, $A9, 'Player Values - Cats'!R:R, "&lt;&gt;")</f>
        <v>-0.8546509562</v>
      </c>
      <c r="F9" s="21">
        <f>AVERAGEIFS('Player Values - Cats'!S:S, 'Player Values - Cats'!$D:$D, $A9, 'Player Values - Cats'!S:S, "&lt;&gt;")</f>
        <v>0.5144781595</v>
      </c>
      <c r="G9" s="21">
        <f>AVERAGEIFS('Player Values - Cats'!T:T, 'Player Values - Cats'!$D:$D, $A9, 'Player Values - Cats'!T:T, "&lt;&gt;")</f>
        <v>-0.3113134822</v>
      </c>
      <c r="H9" s="21">
        <f>AVERAGEIFS('Player Values - Cats'!U:U, 'Player Values - Cats'!$D:$D, $A9, 'Player Values - Cats'!U:U, "&lt;&gt;")</f>
        <v>0.2494012297</v>
      </c>
      <c r="I9" s="21">
        <f>AVERAGEIFS('Player Values - Cats'!V:V, 'Player Values - Cats'!$D:$D, $A9, 'Player Values - Cats'!V:V, "&lt;&gt;")</f>
        <v>0.391609644</v>
      </c>
      <c r="J9" s="21">
        <f>AVERAGEIFS('Player Values - Cats'!W:W, 'Player Values - Cats'!$D:$D, $A9, 'Player Values - Cats'!W:W, "&lt;&gt;")</f>
        <v>-1.157665717</v>
      </c>
      <c r="K9" s="21">
        <f>AVERAGEIFS('Player Values - Cats'!X:X, 'Player Values - Cats'!$D:$D, $A9, 'Player Values - Cats'!X:X, "&lt;&gt;")</f>
        <v>-0.8123401912</v>
      </c>
      <c r="L9" s="21">
        <f>AVERAGEIFS('Player Values - Cats'!Y:Y, 'Player Values - Cats'!$D:$D, $A9, 'Player Values - Cats'!Y:Y, "&lt;&gt;")</f>
        <v>-0.298045282</v>
      </c>
      <c r="M9" s="21">
        <f>AVERAGEIFS('Player Values - Cats'!Z:Z, 'Player Values - Cats'!$D:$D, $A9, 'Player Values - Cats'!Z:Z, "&lt;&gt;")</f>
        <v>-0.446745911</v>
      </c>
      <c r="N9" s="21">
        <f>AVERAGEIFS('Player Values - Cats'!AA:AA, 'Player Values - Cats'!$D:$D, $A9, 'Player Values - Cats'!AA:AA, "&lt;&gt;")</f>
        <v>0.006977552713</v>
      </c>
      <c r="O9" s="21">
        <f>AVERAGEIFS('Player Values - Cats'!AB:AB, 'Player Values - Cats'!$D:$D, $A9, 'Player Values - Cats'!AB:AB, "&lt;&gt;")</f>
        <v>0.1324398668</v>
      </c>
      <c r="P9" s="40"/>
      <c r="Q9" s="40"/>
      <c r="R9" s="21">
        <f>IFERROR(__xludf.DUMMYFUNCTION("AVERAGE(SORTN(FILTER('Player Values - Cats'!O10:O1004, 'Player Values - Cats'!$D10:$D1004 = $A9, ISNUMBER('Player Values - Cats'!O10:O1004)), $B$1, 0, 1, FALSE))"),1.0940676050410412)</f>
        <v>1.094067605</v>
      </c>
      <c r="S9" s="21">
        <f>IFERROR(__xludf.DUMMYFUNCTION("AVERAGE(SORTN(FILTER('Player Values - Cats'!P10:P1004, 'Player Values - Cats'!$D10:$D1004 = $A9, ISNUMBER('Player Values - Cats'!P10:P1004)), $B$1, 0, 1, FALSE))"),1.1492969957342418)</f>
        <v>1.149296996</v>
      </c>
      <c r="T9" s="21">
        <f>IFERROR(__xludf.DUMMYFUNCTION("AVERAGE(SORTN(FILTER('Player Values - Cats'!Q10:Q1004, 'Player Values - Cats'!$D10:$D1004 = $A9, ISNUMBER('Player Values - Cats'!Q10:Q1004)), $B$1, 0, 1, FALSE))"),1.009112817714476)</f>
        <v>1.009112818</v>
      </c>
      <c r="U9" s="21">
        <f>IFERROR(__xludf.DUMMYFUNCTION("AVERAGE(SORTN(FILTER('Player Values - Cats'!R10:R1004, 'Player Values - Cats'!$D10:$D1004 = $A9, ISNUMBER('Player Values - Cats'!R10:R1004)), $B$1, 0, 1, FALSE))"),-0.2027231649730597)</f>
        <v>-0.202723165</v>
      </c>
      <c r="V9" s="21">
        <f>IFERROR(__xludf.DUMMYFUNCTION("AVERAGE(SORTN(FILTER('Player Values - Cats'!S10:S1004, 'Player Values - Cats'!$D10:$D1004 = $A9, ISNUMBER('Player Values - Cats'!S10:S1004)), $B$1, 0, 1, FALSE))"),1.1749769139592012)</f>
        <v>1.174976914</v>
      </c>
      <c r="W9" s="21">
        <f>IFERROR(__xludf.DUMMYFUNCTION("AVERAGE(SORTN(FILTER('Player Values - Cats'!T10:T1004, 'Player Values - Cats'!$D10:$D1004 = $A9, ISNUMBER('Player Values - Cats'!T10:T1004)), $B$1, 0, 1, FALSE))"),0.3428881262712196)</f>
        <v>0.3428881263</v>
      </c>
      <c r="X9" s="21">
        <f>IFERROR(__xludf.DUMMYFUNCTION("AVERAGE(SORTN(FILTER('Player Values - Cats'!U10:U1004, 'Player Values - Cats'!$D10:$D1004 = $A9, ISNUMBER('Player Values - Cats'!U10:U1004)), $B$1, 0, 1, FALSE))"),0.9036046514834648)</f>
        <v>0.9036046515</v>
      </c>
      <c r="Y9" s="21">
        <f>IFERROR(__xludf.DUMMYFUNCTION("AVERAGE(SORTN(FILTER('Player Values - Cats'!V10:V1004, 'Player Values - Cats'!$D10:$D1004 = $A9, ISNUMBER('Player Values - Cats'!V10:V1004)), $B$1, 0, 1, FALSE))"),0.7396404491192615)</f>
        <v>0.7396404491</v>
      </c>
      <c r="Z9" s="21">
        <f>IFERROR(__xludf.DUMMYFUNCTION("AVERAGE(SORTN(FILTER('Player Values - Cats'!W10:W1004, 'Player Values - Cats'!$D10:$D1004 = $A9, ISNUMBER('Player Values - Cats'!W10:W1004)), $B$1, 0, 1, FALSE))"),-0.23060246974440188)</f>
        <v>-0.2306024697</v>
      </c>
      <c r="AA9" s="21">
        <f>IFERROR(__xludf.DUMMYFUNCTION("AVERAGE(SORTN(FILTER('Player Values - Cats'!X10:X1004, 'Player Values - Cats'!$D10:$D1004 = $A9, ISNUMBER('Player Values - Cats'!X10:X1004)), $B$1, 0, 1, FALSE))"),0.6043449887905302)</f>
        <v>0.6043449888</v>
      </c>
      <c r="AB9" s="21">
        <f>IFERROR(__xludf.DUMMYFUNCTION("AVERAGE(SORTN(FILTER('Player Values - Cats'!Y10:Y1004, 'Player Values - Cats'!$D10:$D1004 = $A9, ISNUMBER('Player Values - Cats'!Y10:Y1004)), $B$2, 0, 1, FALSE))"),2.263725149771413)</f>
        <v>2.26372515</v>
      </c>
      <c r="AC9" s="21">
        <f>IFERROR(__xludf.DUMMYFUNCTION("AVERAGE(SORTN(FILTER('Player Values - Cats'!Z10:Z1004, 'Player Values - Cats'!$D10:$D1004 = $A9, ISNUMBER('Player Values - Cats'!Z10:Z1004)), $B$2, 0, 1, FALSE))"),1.892873184212281)</f>
        <v>1.892873184</v>
      </c>
      <c r="AD9" s="21">
        <f>IFERROR(__xludf.DUMMYFUNCTION("AVERAGE(SORTN(FILTER('Player Values - Cats'!AA10:AA1004, 'Player Values - Cats'!$D10:$D1004 = $A9, ISNUMBER('Player Values - Cats'!AA10:AA1004)), $B$2, 0, 1, FALSE))"),1.464949802235589)</f>
        <v>1.464949802</v>
      </c>
      <c r="AE9" s="21">
        <f>IFERROR(__xludf.DUMMYFUNCTION("AVERAGE(SORTN(FILTER('Player Values - Cats'!AB10:AB1004, 'Player Values - Cats'!$D10:$D1004 = $A9, ISNUMBER('Player Values - Cats'!AB10:AB1004)), $B$2, 0, 1, FALSE))"),0.5297594671832909)</f>
        <v>0.5297594672</v>
      </c>
    </row>
    <row r="10">
      <c r="A10" s="18" t="s">
        <v>824</v>
      </c>
      <c r="B10" s="21">
        <f>AVERAGEIFS('Player Values - Cats'!O:O, 'Player Values - Cats'!$D:$D, $A10, 'Player Values - Cats'!O:O, "&lt;&gt;")</f>
        <v>0.06352854007</v>
      </c>
      <c r="C10" s="21">
        <f>AVERAGEIFS('Player Values - Cats'!P:P, 'Player Values - Cats'!$D:$D, $A10, 'Player Values - Cats'!P:P, "&lt;&gt;")</f>
        <v>0.07526770335</v>
      </c>
      <c r="D10" s="21">
        <f>AVERAGEIFS('Player Values - Cats'!Q:Q, 'Player Values - Cats'!$D:$D, $A10, 'Player Values - Cats'!Q:Q, "&lt;&gt;")</f>
        <v>-0.5455851991</v>
      </c>
      <c r="E10" s="21">
        <f>AVERAGEIFS('Player Values - Cats'!R:R, 'Player Values - Cats'!$D:$D, $A10, 'Player Values - Cats'!R:R, "&lt;&gt;")</f>
        <v>-0.5179911803</v>
      </c>
      <c r="F10" s="21">
        <f>AVERAGEIFS('Player Values - Cats'!S:S, 'Player Values - Cats'!$D:$D, $A10, 'Player Values - Cats'!S:S, "&lt;&gt;")</f>
        <v>-0.02283753729</v>
      </c>
      <c r="G10" s="21">
        <f>AVERAGEIFS('Player Values - Cats'!T:T, 'Player Values - Cats'!$D:$D, $A10, 'Player Values - Cats'!T:T, "&lt;&gt;")</f>
        <v>-0.3210514495</v>
      </c>
      <c r="H10" s="21">
        <f>AVERAGEIFS('Player Values - Cats'!U:U, 'Player Values - Cats'!$D:$D, $A10, 'Player Values - Cats'!U:U, "&lt;&gt;")</f>
        <v>0.3571624928</v>
      </c>
      <c r="I10" s="21">
        <f>AVERAGEIFS('Player Values - Cats'!V:V, 'Player Values - Cats'!$D:$D, $A10, 'Player Values - Cats'!V:V, "&lt;&gt;")</f>
        <v>0.3182132019</v>
      </c>
      <c r="J10" s="21">
        <f>AVERAGEIFS('Player Values - Cats'!W:W, 'Player Values - Cats'!$D:$D, $A10, 'Player Values - Cats'!W:W, "&lt;&gt;")</f>
        <v>-0.7292234256</v>
      </c>
      <c r="K10" s="21">
        <f>AVERAGEIFS('Player Values - Cats'!X:X, 'Player Values - Cats'!$D:$D, $A10, 'Player Values - Cats'!X:X, "&lt;&gt;")</f>
        <v>-0.7449947147</v>
      </c>
      <c r="L10" s="21">
        <f>AVERAGEIFS('Player Values - Cats'!Y:Y, 'Player Values - Cats'!$D:$D, $A10, 'Player Values - Cats'!Y:Y, "&lt;&gt;")</f>
        <v>-0.3362049863</v>
      </c>
      <c r="M10" s="21">
        <f>AVERAGEIFS('Player Values - Cats'!Z:Z, 'Player Values - Cats'!$D:$D, $A10, 'Player Values - Cats'!Z:Z, "&lt;&gt;")</f>
        <v>-0.2043398255</v>
      </c>
      <c r="N10" s="21">
        <f>AVERAGEIFS('Player Values - Cats'!AA:AA, 'Player Values - Cats'!$D:$D, $A10, 'Player Values - Cats'!AA:AA, "&lt;&gt;")</f>
        <v>-1.056342634</v>
      </c>
      <c r="O10" s="21">
        <f>AVERAGEIFS('Player Values - Cats'!AB:AB, 'Player Values - Cats'!$D:$D, $A10, 'Player Values - Cats'!AB:AB, "&lt;&gt;")</f>
        <v>0.1338559198</v>
      </c>
      <c r="P10" s="40"/>
      <c r="Q10" s="40"/>
      <c r="R10" s="21">
        <f>IFERROR(__xludf.DUMMYFUNCTION("AVERAGE(SORTN(FILTER('Player Values - Cats'!O11:O1004, 'Player Values - Cats'!$D11:$D1004 = $A10, ISNUMBER('Player Values - Cats'!O11:O1004)), $B$1, 0, 1, FALSE))"),1.2862300474356254)</f>
        <v>1.286230047</v>
      </c>
      <c r="S10" s="21">
        <f>IFERROR(__xludf.DUMMYFUNCTION("AVERAGE(SORTN(FILTER('Player Values - Cats'!P11:P1004, 'Player Values - Cats'!$D11:$D1004 = $A10, ISNUMBER('Player Values - Cats'!P11:P1004)), $B$1, 0, 1, FALSE))"),0.7964542762615459)</f>
        <v>0.7964542763</v>
      </c>
      <c r="T10" s="21">
        <f>IFERROR(__xludf.DUMMYFUNCTION("AVERAGE(SORTN(FILTER('Player Values - Cats'!Q11:Q1004, 'Player Values - Cats'!$D11:$D1004 = $A10, ISNUMBER('Player Values - Cats'!Q11:Q1004)), $B$1, 0, 1, FALSE))"),0.5396269345905705)</f>
        <v>0.5396269346</v>
      </c>
      <c r="U10" s="21">
        <f>IFERROR(__xludf.DUMMYFUNCTION("AVERAGE(SORTN(FILTER('Player Values - Cats'!R11:R1004, 'Player Values - Cats'!$D11:$D1004 = $A10, ISNUMBER('Player Values - Cats'!R11:R1004)), $B$1, 0, 1, FALSE))"),0.9377724169583175)</f>
        <v>0.937772417</v>
      </c>
      <c r="V10" s="21">
        <f>IFERROR(__xludf.DUMMYFUNCTION("AVERAGE(SORTN(FILTER('Player Values - Cats'!S11:S1004, 'Player Values - Cats'!$D11:$D1004 = $A10, ISNUMBER('Player Values - Cats'!S11:S1004)), $B$1, 0, 1, FALSE))"),0.9147521294407579)</f>
        <v>0.9147521294</v>
      </c>
      <c r="W10" s="21">
        <f>IFERROR(__xludf.DUMMYFUNCTION("AVERAGE(SORTN(FILTER('Player Values - Cats'!T11:T1004, 'Player Values - Cats'!$D11:$D1004 = $A10, ISNUMBER('Player Values - Cats'!T11:T1004)), $B$1, 0, 1, FALSE))"),0.14109880366818844)</f>
        <v>0.1410988037</v>
      </c>
      <c r="X10" s="21">
        <f>IFERROR(__xludf.DUMMYFUNCTION("AVERAGE(SORTN(FILTER('Player Values - Cats'!U11:U1004, 'Player Values - Cats'!$D11:$D1004 = $A10, ISNUMBER('Player Values - Cats'!U11:U1004)), $B$1, 0, 1, FALSE))"),1.4581272086588117)</f>
        <v>1.458127209</v>
      </c>
      <c r="Y10" s="21">
        <f>IFERROR(__xludf.DUMMYFUNCTION("AVERAGE(SORTN(FILTER('Player Values - Cats'!V11:V1004, 'Player Values - Cats'!$D11:$D1004 = $A10, ISNUMBER('Player Values - Cats'!V11:V1004)), $B$1, 0, 1, FALSE))"),0.832810834601814)</f>
        <v>0.8328108346</v>
      </c>
      <c r="Z10" s="21">
        <f>IFERROR(__xludf.DUMMYFUNCTION("AVERAGE(SORTN(FILTER('Player Values - Cats'!W11:W1004, 'Player Values - Cats'!$D11:$D1004 = $A10, ISNUMBER('Player Values - Cats'!W11:W1004)), $B$1, 0, 1, FALSE))"),0.9428382122235973)</f>
        <v>0.9428382122</v>
      </c>
      <c r="AA10" s="21">
        <f>IFERROR(__xludf.DUMMYFUNCTION("AVERAGE(SORTN(FILTER('Player Values - Cats'!X11:X1004, 'Player Values - Cats'!$D11:$D1004 = $A10, ISNUMBER('Player Values - Cats'!X11:X1004)), $B$1, 0, 1, FALSE))"),0.7582815842243424)</f>
        <v>0.7582815842</v>
      </c>
      <c r="AB10" s="21">
        <f>IFERROR(__xludf.DUMMYFUNCTION("AVERAGE(SORTN(FILTER('Player Values - Cats'!Y11:Y1004, 'Player Values - Cats'!$D11:$D1004 = $A10, ISNUMBER('Player Values - Cats'!Y11:Y1004)), $B$2, 0, 1, FALSE))"),1.8745719704079356)</f>
        <v>1.87457197</v>
      </c>
      <c r="AC10" s="21">
        <f>IFERROR(__xludf.DUMMYFUNCTION("AVERAGE(SORTN(FILTER('Player Values - Cats'!Z11:Z1004, 'Player Values - Cats'!$D11:$D1004 = $A10, ISNUMBER('Player Values - Cats'!Z11:Z1004)), $B$2, 0, 1, FALSE))"),1.8637553361078611)</f>
        <v>1.863755336</v>
      </c>
      <c r="AD10" s="21">
        <f>IFERROR(__xludf.DUMMYFUNCTION("AVERAGE(SORTN(FILTER('Player Values - Cats'!AA11:AA1004, 'Player Values - Cats'!$D11:$D1004 = $A10, ISNUMBER('Player Values - Cats'!AA11:AA1004)), $B$2, 0, 1, FALSE))"),2.1818723268232665)</f>
        <v>2.181872327</v>
      </c>
      <c r="AE10" s="21">
        <f>IFERROR(__xludf.DUMMYFUNCTION("AVERAGE(SORTN(FILTER('Player Values - Cats'!AB11:AB1004, 'Player Values - Cats'!$D11:$D1004 = $A10, ISNUMBER('Player Values - Cats'!AB11:AB1004)), $B$2, 0, 1, FALSE))"),0.535423679278133)</f>
        <v>0.5354236793</v>
      </c>
    </row>
    <row r="11">
      <c r="A11" s="18" t="s">
        <v>825</v>
      </c>
      <c r="B11" s="21">
        <f>AVERAGEIFS('Player Values - Cats'!O:O, 'Player Values - Cats'!$D:$D, $A11, 'Player Values - Cats'!O:O, "&lt;&gt;")</f>
        <v>0.04631054499</v>
      </c>
      <c r="C11" s="21">
        <f>AVERAGEIFS('Player Values - Cats'!P:P, 'Player Values - Cats'!$D:$D, $A11, 'Player Values - Cats'!P:P, "&lt;&gt;")</f>
        <v>0.5031484134</v>
      </c>
      <c r="D11" s="21">
        <f>AVERAGEIFS('Player Values - Cats'!Q:Q, 'Player Values - Cats'!$D:$D, $A11, 'Player Values - Cats'!Q:Q, "&lt;&gt;")</f>
        <v>-0.4599140979</v>
      </c>
      <c r="E11" s="21">
        <f>AVERAGEIFS('Player Values - Cats'!R:R, 'Player Values - Cats'!$D:$D, $A11, 'Player Values - Cats'!R:R, "&lt;&gt;")</f>
        <v>-0.8688834772</v>
      </c>
      <c r="F11" s="21">
        <f>AVERAGEIFS('Player Values - Cats'!S:S, 'Player Values - Cats'!$D:$D, $A11, 'Player Values - Cats'!S:S, "&lt;&gt;")</f>
        <v>0.3951873931</v>
      </c>
      <c r="G11" s="21">
        <f>AVERAGEIFS('Player Values - Cats'!T:T, 'Player Values - Cats'!$D:$D, $A11, 'Player Values - Cats'!T:T, "&lt;&gt;")</f>
        <v>-0.3243597104</v>
      </c>
      <c r="H11" s="21">
        <f>AVERAGEIFS('Player Values - Cats'!U:U, 'Player Values - Cats'!$D:$D, $A11, 'Player Values - Cats'!U:U, "&lt;&gt;")</f>
        <v>0.1922574426</v>
      </c>
      <c r="I11" s="21">
        <f>AVERAGEIFS('Player Values - Cats'!V:V, 'Player Values - Cats'!$D:$D, $A11, 'Player Values - Cats'!V:V, "&lt;&gt;")</f>
        <v>0.544806703</v>
      </c>
      <c r="J11" s="21">
        <f>AVERAGEIFS('Player Values - Cats'!W:W, 'Player Values - Cats'!$D:$D, $A11, 'Player Values - Cats'!W:W, "&lt;&gt;")</f>
        <v>-1.48456071</v>
      </c>
      <c r="K11" s="21">
        <f>AVERAGEIFS('Player Values - Cats'!X:X, 'Player Values - Cats'!$D:$D, $A11, 'Player Values - Cats'!X:X, "&lt;&gt;")</f>
        <v>-0.8271832806</v>
      </c>
      <c r="L11" s="21">
        <f>AVERAGEIFS('Player Values - Cats'!Y:Y, 'Player Values - Cats'!$D:$D, $A11, 'Player Values - Cats'!Y:Y, "&lt;&gt;")</f>
        <v>-0.4176072299</v>
      </c>
      <c r="M11" s="21">
        <f>AVERAGEIFS('Player Values - Cats'!Z:Z, 'Player Values - Cats'!$D:$D, $A11, 'Player Values - Cats'!Z:Z, "&lt;&gt;")</f>
        <v>0.2384941144</v>
      </c>
      <c r="N11" s="21">
        <f>AVERAGEIFS('Player Values - Cats'!AA:AA, 'Player Values - Cats'!$D:$D, $A11, 'Player Values - Cats'!AA:AA, "&lt;&gt;")</f>
        <v>-0.07229753414</v>
      </c>
      <c r="O11" s="21">
        <f>AVERAGEIFS('Player Values - Cats'!AB:AB, 'Player Values - Cats'!$D:$D, $A11, 'Player Values - Cats'!AB:AB, "&lt;&gt;")</f>
        <v>0.2352517742</v>
      </c>
      <c r="P11" s="40"/>
      <c r="Q11" s="40"/>
      <c r="R11" s="21">
        <f>IFERROR(__xludf.DUMMYFUNCTION("AVERAGE(SORTN(FILTER('Player Values - Cats'!O12:O1004, 'Player Values - Cats'!$D12:$D1004 = $A11, ISNUMBER('Player Values - Cats'!O12:O1004)), $B$1, 0, 1, FALSE))"),1.343598049679032)</f>
        <v>1.34359805</v>
      </c>
      <c r="S11" s="21">
        <f>IFERROR(__xludf.DUMMYFUNCTION("AVERAGE(SORTN(FILTER('Player Values - Cats'!P12:P1004, 'Player Values - Cats'!$D12:$D1004 = $A11, ISNUMBER('Player Values - Cats'!P12:P1004)), $B$1, 0, 1, FALSE))"),1.5997366717250514)</f>
        <v>1.599736672</v>
      </c>
      <c r="T11" s="21">
        <f>IFERROR(__xludf.DUMMYFUNCTION("AVERAGE(SORTN(FILTER('Player Values - Cats'!Q12:Q1004, 'Player Values - Cats'!$D12:$D1004 = $A11, ISNUMBER('Player Values - Cats'!Q12:Q1004)), $B$1, 0, 1, FALSE))"),0.8252306782312138)</f>
        <v>0.8252306782</v>
      </c>
      <c r="U11" s="21">
        <f>IFERROR(__xludf.DUMMYFUNCTION("AVERAGE(SORTN(FILTER('Player Values - Cats'!R12:R1004, 'Player Values - Cats'!$D12:$D1004 = $A11, ISNUMBER('Player Values - Cats'!R12:R1004)), $B$1, 0, 1, FALSE))"),0.17984554313443404)</f>
        <v>0.1798455431</v>
      </c>
      <c r="V11" s="21">
        <f>IFERROR(__xludf.DUMMYFUNCTION("AVERAGE(SORTN(FILTER('Player Values - Cats'!S12:S1004, 'Player Values - Cats'!$D12:$D1004 = $A11, ISNUMBER('Player Values - Cats'!S12:S1004)), $B$1, 0, 1, FALSE))"),1.4044664210129532)</f>
        <v>1.404466421</v>
      </c>
      <c r="W11" s="21">
        <f>IFERROR(__xludf.DUMMYFUNCTION("AVERAGE(SORTN(FILTER('Player Values - Cats'!T12:T1004, 'Player Values - Cats'!$D12:$D1004 = $A11, ISNUMBER('Player Values - Cats'!T12:T1004)), $B$1, 0, 1, FALSE))"),0.29250573252604983)</f>
        <v>0.2925057325</v>
      </c>
      <c r="X11" s="21">
        <f>IFERROR(__xludf.DUMMYFUNCTION("AVERAGE(SORTN(FILTER('Player Values - Cats'!U12:U1004, 'Player Values - Cats'!$D12:$D1004 = $A11, ISNUMBER('Player Values - Cats'!U12:U1004)), $B$1, 0, 1, FALSE))"),1.257007897558005)</f>
        <v>1.257007898</v>
      </c>
      <c r="Y11" s="21">
        <f>IFERROR(__xludf.DUMMYFUNCTION("AVERAGE(SORTN(FILTER('Player Values - Cats'!V12:V1004, 'Player Values - Cats'!$D12:$D1004 = $A11, ISNUMBER('Player Values - Cats'!V12:V1004)), $B$1, 0, 1, FALSE))"),1.4709780982106624)</f>
        <v>1.470978098</v>
      </c>
      <c r="Z11" s="21">
        <f>IFERROR(__xludf.DUMMYFUNCTION("AVERAGE(SORTN(FILTER('Player Values - Cats'!W12:W1004, 'Player Values - Cats'!$D12:$D1004 = $A11, ISNUMBER('Player Values - Cats'!W12:W1004)), $B$1, 0, 1, FALSE))"),-0.6342569401101408)</f>
        <v>-0.6342569401</v>
      </c>
      <c r="AA11" s="21">
        <f>IFERROR(__xludf.DUMMYFUNCTION("AVERAGE(SORTN(FILTER('Player Values - Cats'!X12:X1004, 'Player Values - Cats'!$D12:$D1004 = $A11, ISNUMBER('Player Values - Cats'!X12:X1004)), $B$1, 0, 1, FALSE))"),0.5642729409566621)</f>
        <v>0.564272941</v>
      </c>
      <c r="AB11" s="21">
        <f>IFERROR(__xludf.DUMMYFUNCTION("AVERAGE(SORTN(FILTER('Player Values - Cats'!Y12:Y1004, 'Player Values - Cats'!$D12:$D1004 = $A11, ISNUMBER('Player Values - Cats'!Y12:Y1004)), $B$2, 0, 1, FALSE))"),1.6023352367632702)</f>
        <v>1.602335237</v>
      </c>
      <c r="AC11" s="21">
        <f>IFERROR(__xludf.DUMMYFUNCTION("AVERAGE(SORTN(FILTER('Player Values - Cats'!Z12:Z1004, 'Player Values - Cats'!$D12:$D1004 = $A11, ISNUMBER('Player Values - Cats'!Z12:Z1004)), $B$2, 0, 1, FALSE))"),2.32964090577854)</f>
        <v>2.329640906</v>
      </c>
      <c r="AD11" s="21">
        <f>IFERROR(__xludf.DUMMYFUNCTION("AVERAGE(SORTN(FILTER('Player Values - Cats'!AA12:AA1004, 'Player Values - Cats'!$D12:$D1004 = $A11, ISNUMBER('Player Values - Cats'!AA12:AA1004)), $B$2, 0, 1, FALSE))"),2.512759645863766)</f>
        <v>2.512759646</v>
      </c>
      <c r="AE11" s="21">
        <f>IFERROR(__xludf.DUMMYFUNCTION("AVERAGE(SORTN(FILTER('Player Values - Cats'!AB12:AB1004, 'Player Values - Cats'!$D12:$D1004 = $A11, ISNUMBER('Player Values - Cats'!AB12:AB1004)), $B$2, 0, 1, FALSE))"),0.8223602735388716)</f>
        <v>0.8223602735</v>
      </c>
    </row>
    <row r="12">
      <c r="A12" s="18" t="s">
        <v>826</v>
      </c>
      <c r="B12" s="21">
        <f>AVERAGEIFS('Player Values - Cats'!O:O, 'Player Values - Cats'!$D:$D, $A12, 'Player Values - Cats'!O:O, "&lt;&gt;")</f>
        <v>0.02970954816</v>
      </c>
      <c r="C12" s="21">
        <f>AVERAGEIFS('Player Values - Cats'!P:P, 'Player Values - Cats'!$D:$D, $A12, 'Player Values - Cats'!P:P, "&lt;&gt;")</f>
        <v>0.3068526525</v>
      </c>
      <c r="D12" s="21">
        <f>AVERAGEIFS('Player Values - Cats'!Q:Q, 'Player Values - Cats'!$D:$D, $A12, 'Player Values - Cats'!Q:Q, "&lt;&gt;")</f>
        <v>0.0207405087</v>
      </c>
      <c r="E12" s="21">
        <f>AVERAGEIFS('Player Values - Cats'!R:R, 'Player Values - Cats'!$D:$D, $A12, 'Player Values - Cats'!R:R, "&lt;&gt;")</f>
        <v>-0.5350495977</v>
      </c>
      <c r="F12" s="21">
        <f>AVERAGEIFS('Player Values - Cats'!S:S, 'Player Values - Cats'!$D:$D, $A12, 'Player Values - Cats'!S:S, "&lt;&gt;")</f>
        <v>0.1719810378</v>
      </c>
      <c r="G12" s="21">
        <f>AVERAGEIFS('Player Values - Cats'!T:T, 'Player Values - Cats'!$D:$D, $A12, 'Player Values - Cats'!T:T, "&lt;&gt;")</f>
        <v>-0.3497822862</v>
      </c>
      <c r="H12" s="21">
        <f>AVERAGEIFS('Player Values - Cats'!U:U, 'Player Values - Cats'!$D:$D, $A12, 'Player Values - Cats'!U:U, "&lt;&gt;")</f>
        <v>0.1166433229</v>
      </c>
      <c r="I12" s="21">
        <f>AVERAGEIFS('Player Values - Cats'!V:V, 'Player Values - Cats'!$D:$D, $A12, 'Player Values - Cats'!V:V, "&lt;&gt;")</f>
        <v>0.2871310671</v>
      </c>
      <c r="J12" s="21">
        <f>AVERAGEIFS('Player Values - Cats'!W:W, 'Player Values - Cats'!$D:$D, $A12, 'Player Values - Cats'!W:W, "&lt;&gt;")</f>
        <v>-1.268045606</v>
      </c>
      <c r="K12" s="21">
        <f>AVERAGEIFS('Player Values - Cats'!X:X, 'Player Values - Cats'!$D:$D, $A12, 'Player Values - Cats'!X:X, "&lt;&gt;")</f>
        <v>-0.9381347371</v>
      </c>
      <c r="L12" s="21">
        <f>AVERAGEIFS('Player Values - Cats'!Y:Y, 'Player Values - Cats'!$D:$D, $A12, 'Player Values - Cats'!Y:Y, "&lt;&gt;")</f>
        <v>0.5980321401</v>
      </c>
      <c r="M12" s="21">
        <f>AVERAGEIFS('Player Values - Cats'!Z:Z, 'Player Values - Cats'!$D:$D, $A12, 'Player Values - Cats'!Z:Z, "&lt;&gt;")</f>
        <v>-0.7102624363</v>
      </c>
      <c r="N12" s="21">
        <f>AVERAGEIFS('Player Values - Cats'!AA:AA, 'Player Values - Cats'!$D:$D, $A12, 'Player Values - Cats'!AA:AA, "&lt;&gt;")</f>
        <v>-0.5920663645</v>
      </c>
      <c r="O12" s="21">
        <f>AVERAGEIFS('Player Values - Cats'!AB:AB, 'Player Values - Cats'!$D:$D, $A12, 'Player Values - Cats'!AB:AB, "&lt;&gt;")</f>
        <v>0.3338800903</v>
      </c>
      <c r="P12" s="40"/>
      <c r="Q12" s="40"/>
      <c r="R12" s="21">
        <f>IFERROR(__xludf.DUMMYFUNCTION("AVERAGE(SORTN(FILTER('Player Values - Cats'!O13:O1004, 'Player Values - Cats'!$D13:$D1004 = $A12, ISNUMBER('Player Values - Cats'!O13:O1004)), $B$1, 0, 1, FALSE))"),0.9011830409674934)</f>
        <v>0.901183041</v>
      </c>
      <c r="S12" s="21">
        <f>IFERROR(__xludf.DUMMYFUNCTION("AVERAGE(SORTN(FILTER('Player Values - Cats'!P13:P1004, 'Player Values - Cats'!$D13:$D1004 = $A12, ISNUMBER('Player Values - Cats'!P13:P1004)), $B$1, 0, 1, FALSE))"),0.9905172125050982)</f>
        <v>0.9905172125</v>
      </c>
      <c r="T12" s="21">
        <f>IFERROR(__xludf.DUMMYFUNCTION("AVERAGE(SORTN(FILTER('Player Values - Cats'!Q13:Q1004, 'Player Values - Cats'!$D13:$D1004 = $A12, ISNUMBER('Player Values - Cats'!Q13:Q1004)), $B$1, 0, 1, FALSE))"),1.6209116663683574)</f>
        <v>1.620911666</v>
      </c>
      <c r="U12" s="21">
        <f>IFERROR(__xludf.DUMMYFUNCTION("AVERAGE(SORTN(FILTER('Player Values - Cats'!R13:R1004, 'Player Values - Cats'!$D13:$D1004 = $A12, ISNUMBER('Player Values - Cats'!R13:R1004)), $B$1, 0, 1, FALSE))"),0.7510268632725864)</f>
        <v>0.7510268633</v>
      </c>
      <c r="V12" s="21">
        <f>IFERROR(__xludf.DUMMYFUNCTION("AVERAGE(SORTN(FILTER('Player Values - Cats'!S13:S1004, 'Player Values - Cats'!$D13:$D1004 = $A12, ISNUMBER('Player Values - Cats'!S13:S1004)), $B$1, 0, 1, FALSE))"),1.0461016303014405)</f>
        <v>1.04610163</v>
      </c>
      <c r="W12" s="21">
        <f>IFERROR(__xludf.DUMMYFUNCTION("AVERAGE(SORTN(FILTER('Player Values - Cats'!T13:T1004, 'Player Values - Cats'!$D13:$D1004 = $A12, ISNUMBER('Player Values - Cats'!T13:T1004)), $B$1, 0, 1, FALSE))"),0.23663792498201403)</f>
        <v>0.236637925</v>
      </c>
      <c r="X12" s="21">
        <f>IFERROR(__xludf.DUMMYFUNCTION("AVERAGE(SORTN(FILTER('Player Values - Cats'!U13:U1004, 'Player Values - Cats'!$D13:$D1004 = $A12, ISNUMBER('Player Values - Cats'!U13:U1004)), $B$1, 0, 1, FALSE))"),0.8123769198639351)</f>
        <v>0.8123769199</v>
      </c>
      <c r="Y12" s="21">
        <f>IFERROR(__xludf.DUMMYFUNCTION("AVERAGE(SORTN(FILTER('Player Values - Cats'!V13:V1004, 'Player Values - Cats'!$D13:$D1004 = $A12, ISNUMBER('Player Values - Cats'!V13:V1004)), $B$1, 0, 1, FALSE))"),0.6323612592696165)</f>
        <v>0.6323612593</v>
      </c>
      <c r="Z12" s="21">
        <f>IFERROR(__xludf.DUMMYFUNCTION("AVERAGE(SORTN(FILTER('Player Values - Cats'!W13:W1004, 'Player Values - Cats'!$D13:$D1004 = $A12, ISNUMBER('Player Values - Cats'!W13:W1004)), $B$1, 0, 1, FALSE))"),-0.3693986859762793)</f>
        <v>-0.369398686</v>
      </c>
      <c r="AA12" s="21">
        <f>IFERROR(__xludf.DUMMYFUNCTION("AVERAGE(SORTN(FILTER('Player Values - Cats'!X13:X1004, 'Player Values - Cats'!$D13:$D1004 = $A12, ISNUMBER('Player Values - Cats'!X13:X1004)), $B$1, 0, 1, FALSE))"),0.042855251981348985)</f>
        <v>0.04285525198</v>
      </c>
      <c r="AB12" s="21">
        <f>IFERROR(__xludf.DUMMYFUNCTION("AVERAGE(SORTN(FILTER('Player Values - Cats'!Y13:Y1004, 'Player Values - Cats'!$D13:$D1004 = $A12, ISNUMBER('Player Values - Cats'!Y13:Y1004)), $B$2, 0, 1, FALSE))"),1.6061551187922931)</f>
        <v>1.606155119</v>
      </c>
      <c r="AC12" s="21">
        <f>IFERROR(__xludf.DUMMYFUNCTION("AVERAGE(SORTN(FILTER('Player Values - Cats'!Z13:Z1004, 'Player Values - Cats'!$D13:$D1004 = $A12, ISNUMBER('Player Values - Cats'!Z13:Z1004)), $B$2, 0, 1, FALSE))"),0.6553646397745425)</f>
        <v>0.6553646398</v>
      </c>
      <c r="AD12" s="21">
        <f>IFERROR(__xludf.DUMMYFUNCTION("AVERAGE(SORTN(FILTER('Player Values - Cats'!AA13:AA1004, 'Player Values - Cats'!$D13:$D1004 = $A12, ISNUMBER('Player Values - Cats'!AA13:AA1004)), $B$2, 0, 1, FALSE))"),1.1340624831950894)</f>
        <v>1.134062483</v>
      </c>
      <c r="AE12" s="21">
        <f>IFERROR(__xludf.DUMMYFUNCTION("AVERAGE(SORTN(FILTER('Player Values - Cats'!AB13:AB1004, 'Player Values - Cats'!$D13:$D1004 = $A12, ISNUMBER('Player Values - Cats'!AB13:AB1004)), $B$2, 0, 1, FALSE))"),0.9031903501985471)</f>
        <v>0.9031903502</v>
      </c>
    </row>
    <row r="13">
      <c r="A13" s="18" t="s">
        <v>827</v>
      </c>
      <c r="B13" s="21">
        <f>AVERAGEIFS('Player Values - Cats'!O:O, 'Player Values - Cats'!$D:$D, $A13, 'Player Values - Cats'!O:O, "&lt;&gt;")</f>
        <v>0.1973784133</v>
      </c>
      <c r="C13" s="21">
        <f>AVERAGEIFS('Player Values - Cats'!P:P, 'Player Values - Cats'!$D:$D, $A13, 'Player Values - Cats'!P:P, "&lt;&gt;")</f>
        <v>0.2417190178</v>
      </c>
      <c r="D13" s="21">
        <f>AVERAGEIFS('Player Values - Cats'!Q:Q, 'Player Values - Cats'!$D:$D, $A13, 'Player Values - Cats'!Q:Q, "&lt;&gt;")</f>
        <v>-0.2914666493</v>
      </c>
      <c r="E13" s="21">
        <f>AVERAGEIFS('Player Values - Cats'!R:R, 'Player Values - Cats'!$D:$D, $A13, 'Player Values - Cats'!R:R, "&lt;&gt;")</f>
        <v>-0.5674952778</v>
      </c>
      <c r="F13" s="21">
        <f>AVERAGEIFS('Player Values - Cats'!S:S, 'Player Values - Cats'!$D:$D, $A13, 'Player Values - Cats'!S:S, "&lt;&gt;")</f>
        <v>0.2598762858</v>
      </c>
      <c r="G13" s="21">
        <f>AVERAGEIFS('Player Values - Cats'!T:T, 'Player Values - Cats'!$D:$D, $A13, 'Player Values - Cats'!T:T, "&lt;&gt;")</f>
        <v>-0.3460453829</v>
      </c>
      <c r="H13" s="21">
        <f>AVERAGEIFS('Player Values - Cats'!U:U, 'Player Values - Cats'!$D:$D, $A13, 'Player Values - Cats'!U:U, "&lt;&gt;")</f>
        <v>0.1484473806</v>
      </c>
      <c r="I13" s="21">
        <f>AVERAGEIFS('Player Values - Cats'!V:V, 'Player Values - Cats'!$D:$D, $A13, 'Player Values - Cats'!V:V, "&lt;&gt;")</f>
        <v>0.2704438655</v>
      </c>
      <c r="J13" s="21">
        <f>AVERAGEIFS('Player Values - Cats'!W:W, 'Player Values - Cats'!$D:$D, $A13, 'Player Values - Cats'!W:W, "&lt;&gt;")</f>
        <v>-0.7576493011</v>
      </c>
      <c r="K13" s="21">
        <f>AVERAGEIFS('Player Values - Cats'!X:X, 'Player Values - Cats'!$D:$D, $A13, 'Player Values - Cats'!X:X, "&lt;&gt;")</f>
        <v>-1.098419449</v>
      </c>
      <c r="L13" s="21">
        <f>AVERAGEIFS('Player Values - Cats'!Y:Y, 'Player Values - Cats'!$D:$D, $A13, 'Player Values - Cats'!Y:Y, "&lt;&gt;")</f>
        <v>-0.302294631</v>
      </c>
      <c r="M13" s="21">
        <f>AVERAGEIFS('Player Values - Cats'!Z:Z, 'Player Values - Cats'!$D:$D, $A13, 'Player Values - Cats'!Z:Z, "&lt;&gt;")</f>
        <v>-1.435296854</v>
      </c>
      <c r="N13" s="21">
        <f>AVERAGEIFS('Player Values - Cats'!AA:AA, 'Player Values - Cats'!$D:$D, $A13, 'Player Values - Cats'!AA:AA, "&lt;&gt;")</f>
        <v>-2.191355073</v>
      </c>
      <c r="O13" s="21">
        <f>AVERAGEIFS('Player Values - Cats'!AB:AB, 'Player Values - Cats'!$D:$D, $A13, 'Player Values - Cats'!AB:AB, "&lt;&gt;")</f>
        <v>0.3885015295</v>
      </c>
      <c r="P13" s="40"/>
      <c r="Q13" s="40"/>
      <c r="R13" s="21">
        <f>IFERROR(__xludf.DUMMYFUNCTION("AVERAGE(SORTN(FILTER('Player Values - Cats'!O14:O1004, 'Player Values - Cats'!$D14:$D1004 = $A13, ISNUMBER('Player Values - Cats'!O14:O1004)), $B$1, 0, 1, FALSE))"),1.352905838598224)</f>
        <v>1.352905839</v>
      </c>
      <c r="S13" s="21">
        <f>IFERROR(__xludf.DUMMYFUNCTION("AVERAGE(SORTN(FILTER('Player Values - Cats'!P14:P1004, 'Player Values - Cats'!$D14:$D1004 = $A13, ISNUMBER('Player Values - Cats'!P14:P1004)), $B$1, 0, 1, FALSE))"),1.3148654371305377)</f>
        <v>1.314865437</v>
      </c>
      <c r="T13" s="21">
        <f>IFERROR(__xludf.DUMMYFUNCTION("AVERAGE(SORTN(FILTER('Player Values - Cats'!Q14:Q1004, 'Player Values - Cats'!$D14:$D1004 = $A13, ISNUMBER('Player Values - Cats'!Q14:Q1004)), $B$1, 0, 1, FALSE))"),0.873076844897129)</f>
        <v>0.8730768449</v>
      </c>
      <c r="U13" s="21">
        <f>IFERROR(__xludf.DUMMYFUNCTION("AVERAGE(SORTN(FILTER('Player Values - Cats'!R14:R1004, 'Player Values - Cats'!$D14:$D1004 = $A13, ISNUMBER('Player Values - Cats'!R14:R1004)), $B$1, 0, 1, FALSE))"),0.17092472318487967)</f>
        <v>0.1709247232</v>
      </c>
      <c r="V13" s="21">
        <f>IFERROR(__xludf.DUMMYFUNCTION("AVERAGE(SORTN(FILTER('Player Values - Cats'!S14:S1004, 'Player Values - Cats'!$D14:$D1004 = $A13, ISNUMBER('Player Values - Cats'!S14:S1004)), $B$1, 0, 1, FALSE))"),1.2019665219198628)</f>
        <v>1.201966522</v>
      </c>
      <c r="W13" s="21">
        <f>IFERROR(__xludf.DUMMYFUNCTION("AVERAGE(SORTN(FILTER('Player Values - Cats'!T14:T1004, 'Player Values - Cats'!$D14:$D1004 = $A13, ISNUMBER('Player Values - Cats'!T14:T1004)), $B$1, 0, 1, FALSE))"),0.33753158455860294)</f>
        <v>0.3375315846</v>
      </c>
      <c r="X13" s="21">
        <f>IFERROR(__xludf.DUMMYFUNCTION("AVERAGE(SORTN(FILTER('Player Values - Cats'!U14:U1004, 'Player Values - Cats'!$D14:$D1004 = $A13, ISNUMBER('Player Values - Cats'!U14:U1004)), $B$1, 0, 1, FALSE))"),1.1961200108073755)</f>
        <v>1.196120011</v>
      </c>
      <c r="Y13" s="21">
        <f>IFERROR(__xludf.DUMMYFUNCTION("AVERAGE(SORTN(FILTER('Player Values - Cats'!V14:V1004, 'Player Values - Cats'!$D14:$D1004 = $A13, ISNUMBER('Player Values - Cats'!V14:V1004)), $B$1, 0, 1, FALSE))"),0.703154050316792)</f>
        <v>0.7031540503</v>
      </c>
      <c r="Z13" s="21">
        <f>IFERROR(__xludf.DUMMYFUNCTION("AVERAGE(SORTN(FILTER('Player Values - Cats'!W14:W1004, 'Player Values - Cats'!$D14:$D1004 = $A13, ISNUMBER('Player Values - Cats'!W14:W1004)), $B$1, 0, 1, FALSE))"),0.7710654148216409)</f>
        <v>0.7710654148</v>
      </c>
      <c r="AA13" s="21">
        <f>IFERROR(__xludf.DUMMYFUNCTION("AVERAGE(SORTN(FILTER('Player Values - Cats'!X14:X1004, 'Player Values - Cats'!$D14:$D1004 = $A13, ISNUMBER('Player Values - Cats'!X14:X1004)), $B$1, 0, 1, FALSE))"),-0.11642922767200241)</f>
        <v>-0.1164292277</v>
      </c>
      <c r="AB13" s="21">
        <f>IFERROR(__xludf.DUMMYFUNCTION("AVERAGE(SORTN(FILTER('Player Values - Cats'!Y14:Y1004, 'Player Values - Cats'!$D14:$D1004 = $A13, ISNUMBER('Player Values - Cats'!Y14:Y1004)), $B$2, 0, 1, FALSE))"),0.8474553296888792)</f>
        <v>0.8474553297</v>
      </c>
      <c r="AC13" s="21">
        <f>IFERROR(__xludf.DUMMYFUNCTION("AVERAGE(SORTN(FILTER('Player Values - Cats'!Z14:Z1004, 'Player Values - Cats'!$D14:$D1004 = $A13, ISNUMBER('Player Values - Cats'!Z14:Z1004)), $B$2, 0, 1, FALSE))"),-0.20361187930576785)</f>
        <v>-0.2036118793</v>
      </c>
      <c r="AD13" s="21">
        <f>IFERROR(__xludf.DUMMYFUNCTION("AVERAGE(SORTN(FILTER('Player Values - Cats'!AA14:AA1004, 'Player Values - Cats'!$D14:$D1004 = $A13, ISNUMBER('Player Values - Cats'!AA14:AA1004)), $B$2, 0, 1, FALSE))"),0.9134709371681305)</f>
        <v>0.9134709372</v>
      </c>
      <c r="AE13" s="21">
        <f>IFERROR(__xludf.DUMMYFUNCTION("AVERAGE(SORTN(FILTER('Player Values - Cats'!AB14:AB1004, 'Player Values - Cats'!$D14:$D1004 = $A13, ISNUMBER('Player Values - Cats'!AB14:AB1004)), $B$2, 0, 1, FALSE))"),1.3806745794623307)</f>
        <v>1.380674579</v>
      </c>
    </row>
    <row r="14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9" t="s">
        <v>5</v>
      </c>
      <c r="B15" s="10" t="s">
        <v>6</v>
      </c>
      <c r="C15" s="10" t="s">
        <v>7</v>
      </c>
      <c r="D15" s="13" t="s">
        <v>8</v>
      </c>
      <c r="E15" s="15" t="s">
        <v>9</v>
      </c>
      <c r="F15" s="10" t="s">
        <v>10</v>
      </c>
      <c r="G15" s="10" t="s">
        <v>11</v>
      </c>
      <c r="H15" s="10" t="s">
        <v>12</v>
      </c>
      <c r="I15" s="10" t="s">
        <v>13</v>
      </c>
      <c r="J15" s="10" t="s">
        <v>14</v>
      </c>
      <c r="K15" s="10" t="s">
        <v>15</v>
      </c>
      <c r="L15" s="15" t="s">
        <v>16</v>
      </c>
      <c r="M15" s="16" t="s">
        <v>17</v>
      </c>
      <c r="N15" s="17" t="s">
        <v>19</v>
      </c>
      <c r="O15" s="15" t="s">
        <v>21</v>
      </c>
      <c r="P15" s="10" t="s">
        <v>828</v>
      </c>
      <c r="Q15" s="6"/>
      <c r="R15" s="15" t="str">
        <f t="shared" ref="R15:AE15" si="2">B15</f>
        <v>G</v>
      </c>
      <c r="S15" s="15" t="str">
        <f t="shared" si="2"/>
        <v>A</v>
      </c>
      <c r="T15" s="15" t="str">
        <f t="shared" si="2"/>
        <v>+/-</v>
      </c>
      <c r="U15" s="15" t="str">
        <f t="shared" si="2"/>
        <v>PIM</v>
      </c>
      <c r="V15" s="15" t="str">
        <f t="shared" si="2"/>
        <v>PPP</v>
      </c>
      <c r="W15" s="15" t="str">
        <f t="shared" si="2"/>
        <v>SHP</v>
      </c>
      <c r="X15" s="15" t="str">
        <f t="shared" si="2"/>
        <v>SOG</v>
      </c>
      <c r="Y15" s="15" t="str">
        <f t="shared" si="2"/>
        <v>FOW</v>
      </c>
      <c r="Z15" s="15" t="str">
        <f t="shared" si="2"/>
        <v>HIT</v>
      </c>
      <c r="AA15" s="15" t="str">
        <f t="shared" si="2"/>
        <v>BLK</v>
      </c>
      <c r="AB15" s="15" t="str">
        <f t="shared" si="2"/>
        <v>W</v>
      </c>
      <c r="AC15" s="16" t="str">
        <f t="shared" si="2"/>
        <v>GAA</v>
      </c>
      <c r="AD15" s="17" t="str">
        <f t="shared" si="2"/>
        <v>SV%</v>
      </c>
      <c r="AE15" s="15" t="str">
        <f t="shared" si="2"/>
        <v>SO</v>
      </c>
      <c r="AF15" s="10" t="s">
        <v>828</v>
      </c>
    </row>
    <row r="16">
      <c r="A16" s="18" t="s">
        <v>22</v>
      </c>
      <c r="B16" s="21">
        <f t="shared" ref="B16:O16" si="3">rank(B6,B$6:B$13,False)</f>
        <v>1</v>
      </c>
      <c r="C16" s="21">
        <f t="shared" si="3"/>
        <v>3</v>
      </c>
      <c r="D16" s="21">
        <f t="shared" si="3"/>
        <v>3</v>
      </c>
      <c r="E16" s="21">
        <f t="shared" si="3"/>
        <v>5</v>
      </c>
      <c r="F16" s="21">
        <f t="shared" si="3"/>
        <v>2</v>
      </c>
      <c r="G16" s="21">
        <f t="shared" si="3"/>
        <v>2</v>
      </c>
      <c r="H16" s="21">
        <f t="shared" si="3"/>
        <v>3</v>
      </c>
      <c r="I16" s="21">
        <f t="shared" si="3"/>
        <v>3</v>
      </c>
      <c r="J16" s="21">
        <f t="shared" si="3"/>
        <v>3</v>
      </c>
      <c r="K16" s="21">
        <f t="shared" si="3"/>
        <v>2</v>
      </c>
      <c r="L16" s="21">
        <f t="shared" si="3"/>
        <v>2</v>
      </c>
      <c r="M16" s="21">
        <f t="shared" si="3"/>
        <v>1</v>
      </c>
      <c r="N16" s="21">
        <f t="shared" si="3"/>
        <v>1</v>
      </c>
      <c r="O16" s="21">
        <f t="shared" si="3"/>
        <v>3</v>
      </c>
      <c r="P16" s="21">
        <f t="shared" ref="P16:P23" si="6">AVERAGE(B16:O16)</f>
        <v>2.428571429</v>
      </c>
      <c r="Q16" s="40"/>
      <c r="R16" s="21">
        <f t="shared" ref="R16:AE16" si="4">rank(R6,R$6:R$13,False)</f>
        <v>1</v>
      </c>
      <c r="S16" s="21">
        <f t="shared" si="4"/>
        <v>4</v>
      </c>
      <c r="T16" s="21">
        <f t="shared" si="4"/>
        <v>2</v>
      </c>
      <c r="U16" s="21">
        <f t="shared" si="4"/>
        <v>7</v>
      </c>
      <c r="V16" s="21">
        <f t="shared" si="4"/>
        <v>1</v>
      </c>
      <c r="W16" s="21">
        <f t="shared" si="4"/>
        <v>3</v>
      </c>
      <c r="X16" s="21">
        <f t="shared" si="4"/>
        <v>2</v>
      </c>
      <c r="Y16" s="21">
        <f t="shared" si="4"/>
        <v>3</v>
      </c>
      <c r="Z16" s="21">
        <f t="shared" si="4"/>
        <v>3</v>
      </c>
      <c r="AA16" s="21">
        <f t="shared" si="4"/>
        <v>3</v>
      </c>
      <c r="AB16" s="21">
        <f t="shared" si="4"/>
        <v>6</v>
      </c>
      <c r="AC16" s="21">
        <f t="shared" si="4"/>
        <v>4</v>
      </c>
      <c r="AD16" s="21">
        <f t="shared" si="4"/>
        <v>3</v>
      </c>
      <c r="AE16" s="21">
        <f t="shared" si="4"/>
        <v>4</v>
      </c>
      <c r="AF16" s="21">
        <f t="shared" ref="AF16:AF23" si="8">AVERAGE(R16:AE16)</f>
        <v>3.285714286</v>
      </c>
    </row>
    <row r="17">
      <c r="A17" s="18" t="s">
        <v>254</v>
      </c>
      <c r="B17" s="21">
        <f t="shared" ref="B17:O17" si="5">rank(B7,B$6:B$13,False)</f>
        <v>4</v>
      </c>
      <c r="C17" s="21">
        <f t="shared" si="5"/>
        <v>5</v>
      </c>
      <c r="D17" s="21">
        <f t="shared" si="5"/>
        <v>8</v>
      </c>
      <c r="E17" s="21">
        <f t="shared" si="5"/>
        <v>6</v>
      </c>
      <c r="F17" s="21">
        <f t="shared" si="5"/>
        <v>3</v>
      </c>
      <c r="G17" s="21">
        <f t="shared" si="5"/>
        <v>8</v>
      </c>
      <c r="H17" s="21">
        <f t="shared" si="5"/>
        <v>1</v>
      </c>
      <c r="I17" s="21">
        <f t="shared" si="5"/>
        <v>2</v>
      </c>
      <c r="J17" s="21">
        <f t="shared" si="5"/>
        <v>5</v>
      </c>
      <c r="K17" s="21">
        <f t="shared" si="5"/>
        <v>1</v>
      </c>
      <c r="L17" s="21">
        <f t="shared" si="5"/>
        <v>4</v>
      </c>
      <c r="M17" s="21">
        <f t="shared" si="5"/>
        <v>3</v>
      </c>
      <c r="N17" s="21">
        <f t="shared" si="5"/>
        <v>7</v>
      </c>
      <c r="O17" s="21">
        <f t="shared" si="5"/>
        <v>8</v>
      </c>
      <c r="P17" s="21">
        <f t="shared" si="6"/>
        <v>4.642857143</v>
      </c>
      <c r="Q17" s="40"/>
      <c r="R17" s="21">
        <f t="shared" ref="R17:AE17" si="7">rank(R7,R$6:R$13,False)</f>
        <v>2</v>
      </c>
      <c r="S17" s="21">
        <f t="shared" si="7"/>
        <v>3</v>
      </c>
      <c r="T17" s="21">
        <f t="shared" si="7"/>
        <v>4</v>
      </c>
      <c r="U17" s="21">
        <f t="shared" si="7"/>
        <v>6</v>
      </c>
      <c r="V17" s="21">
        <f t="shared" si="7"/>
        <v>2</v>
      </c>
      <c r="W17" s="21">
        <f t="shared" si="7"/>
        <v>7</v>
      </c>
      <c r="X17" s="21">
        <f t="shared" si="7"/>
        <v>1</v>
      </c>
      <c r="Y17" s="21">
        <f t="shared" si="7"/>
        <v>2</v>
      </c>
      <c r="Z17" s="21">
        <f t="shared" si="7"/>
        <v>7</v>
      </c>
      <c r="AA17" s="21">
        <f t="shared" si="7"/>
        <v>2</v>
      </c>
      <c r="AB17" s="21">
        <f t="shared" si="7"/>
        <v>5</v>
      </c>
      <c r="AC17" s="21">
        <f t="shared" si="7"/>
        <v>5</v>
      </c>
      <c r="AD17" s="21">
        <f t="shared" si="7"/>
        <v>8</v>
      </c>
      <c r="AE17" s="21">
        <f t="shared" si="7"/>
        <v>8</v>
      </c>
      <c r="AF17" s="21">
        <f t="shared" si="8"/>
        <v>4.428571429</v>
      </c>
    </row>
    <row r="18">
      <c r="A18" s="18" t="s">
        <v>502</v>
      </c>
      <c r="B18" s="21">
        <f t="shared" ref="B18:O18" si="9">rank(B8,B$6:B$13,False)</f>
        <v>3</v>
      </c>
      <c r="C18" s="21">
        <f t="shared" si="9"/>
        <v>4</v>
      </c>
      <c r="D18" s="21">
        <f t="shared" si="9"/>
        <v>6</v>
      </c>
      <c r="E18" s="21">
        <f t="shared" si="9"/>
        <v>1</v>
      </c>
      <c r="F18" s="21">
        <f t="shared" si="9"/>
        <v>5</v>
      </c>
      <c r="G18" s="21">
        <f t="shared" si="9"/>
        <v>1</v>
      </c>
      <c r="H18" s="21">
        <f t="shared" si="9"/>
        <v>2</v>
      </c>
      <c r="I18" s="21">
        <f t="shared" si="9"/>
        <v>4</v>
      </c>
      <c r="J18" s="21">
        <f t="shared" si="9"/>
        <v>4</v>
      </c>
      <c r="K18" s="21">
        <f t="shared" si="9"/>
        <v>4</v>
      </c>
      <c r="L18" s="21">
        <f t="shared" si="9"/>
        <v>3</v>
      </c>
      <c r="M18" s="21">
        <f t="shared" si="9"/>
        <v>8</v>
      </c>
      <c r="N18" s="21">
        <f t="shared" si="9"/>
        <v>5</v>
      </c>
      <c r="O18" s="21">
        <f t="shared" si="9"/>
        <v>5</v>
      </c>
      <c r="P18" s="21">
        <f t="shared" si="6"/>
        <v>3.928571429</v>
      </c>
      <c r="Q18" s="40"/>
      <c r="R18" s="21">
        <f t="shared" ref="R18:AE18" si="10">rank(R8,R$6:R$13,False)</f>
        <v>5</v>
      </c>
      <c r="S18" s="21">
        <f t="shared" si="10"/>
        <v>2</v>
      </c>
      <c r="T18" s="21">
        <f t="shared" si="10"/>
        <v>7</v>
      </c>
      <c r="U18" s="21">
        <f t="shared" si="10"/>
        <v>3</v>
      </c>
      <c r="V18" s="21">
        <f t="shared" si="10"/>
        <v>4</v>
      </c>
      <c r="W18" s="21">
        <f t="shared" si="10"/>
        <v>4</v>
      </c>
      <c r="X18" s="21">
        <f t="shared" si="10"/>
        <v>5</v>
      </c>
      <c r="Y18" s="21">
        <f t="shared" si="10"/>
        <v>4</v>
      </c>
      <c r="Z18" s="21">
        <f t="shared" si="10"/>
        <v>5</v>
      </c>
      <c r="AA18" s="21">
        <f t="shared" si="10"/>
        <v>4</v>
      </c>
      <c r="AB18" s="21">
        <f t="shared" si="10"/>
        <v>8</v>
      </c>
      <c r="AC18" s="21">
        <f t="shared" si="10"/>
        <v>7</v>
      </c>
      <c r="AD18" s="21">
        <f t="shared" si="10"/>
        <v>6</v>
      </c>
      <c r="AE18" s="21">
        <f t="shared" si="10"/>
        <v>6</v>
      </c>
      <c r="AF18" s="21">
        <f t="shared" si="8"/>
        <v>5</v>
      </c>
    </row>
    <row r="19">
      <c r="A19" s="18" t="s">
        <v>773</v>
      </c>
      <c r="B19" s="21">
        <f t="shared" ref="B19:O19" si="11">rank(B9,B$6:B$13,False)</f>
        <v>2</v>
      </c>
      <c r="C19" s="21">
        <f t="shared" si="11"/>
        <v>1</v>
      </c>
      <c r="D19" s="21">
        <f t="shared" si="11"/>
        <v>2</v>
      </c>
      <c r="E19" s="21">
        <f t="shared" si="11"/>
        <v>7</v>
      </c>
      <c r="F19" s="21">
        <f t="shared" si="11"/>
        <v>1</v>
      </c>
      <c r="G19" s="21">
        <f t="shared" si="11"/>
        <v>3</v>
      </c>
      <c r="H19" s="21">
        <f t="shared" si="11"/>
        <v>5</v>
      </c>
      <c r="I19" s="21">
        <f t="shared" si="11"/>
        <v>5</v>
      </c>
      <c r="J19" s="21">
        <f t="shared" si="11"/>
        <v>6</v>
      </c>
      <c r="K19" s="21">
        <f t="shared" si="11"/>
        <v>5</v>
      </c>
      <c r="L19" s="21">
        <f t="shared" si="11"/>
        <v>5</v>
      </c>
      <c r="M19" s="21">
        <f t="shared" si="11"/>
        <v>5</v>
      </c>
      <c r="N19" s="21">
        <f t="shared" si="11"/>
        <v>2</v>
      </c>
      <c r="O19" s="21">
        <f t="shared" si="11"/>
        <v>7</v>
      </c>
      <c r="P19" s="21">
        <f t="shared" si="6"/>
        <v>4</v>
      </c>
      <c r="Q19" s="40"/>
      <c r="R19" s="21">
        <f t="shared" ref="R19:AE19" si="12">rank(R9,R$6:R$13,False)</f>
        <v>7</v>
      </c>
      <c r="S19" s="21">
        <f t="shared" si="12"/>
        <v>6</v>
      </c>
      <c r="T19" s="21">
        <f t="shared" si="12"/>
        <v>3</v>
      </c>
      <c r="U19" s="21">
        <f t="shared" si="12"/>
        <v>8</v>
      </c>
      <c r="V19" s="21">
        <f t="shared" si="12"/>
        <v>6</v>
      </c>
      <c r="W19" s="21">
        <f t="shared" si="12"/>
        <v>1</v>
      </c>
      <c r="X19" s="21">
        <f t="shared" si="12"/>
        <v>7</v>
      </c>
      <c r="Y19" s="21">
        <f t="shared" si="12"/>
        <v>6</v>
      </c>
      <c r="Z19" s="21">
        <f t="shared" si="12"/>
        <v>4</v>
      </c>
      <c r="AA19" s="21">
        <f t="shared" si="12"/>
        <v>5</v>
      </c>
      <c r="AB19" s="21">
        <f t="shared" si="12"/>
        <v>1</v>
      </c>
      <c r="AC19" s="21">
        <f t="shared" si="12"/>
        <v>2</v>
      </c>
      <c r="AD19" s="21">
        <f t="shared" si="12"/>
        <v>4</v>
      </c>
      <c r="AE19" s="21">
        <f t="shared" si="12"/>
        <v>7</v>
      </c>
      <c r="AF19" s="21">
        <f t="shared" si="8"/>
        <v>4.785714286</v>
      </c>
    </row>
    <row r="20">
      <c r="A20" s="18" t="s">
        <v>824</v>
      </c>
      <c r="B20" s="21">
        <f t="shared" ref="B20:O20" si="13">rank(B10,B$6:B$13,False)</f>
        <v>6</v>
      </c>
      <c r="C20" s="21">
        <f t="shared" si="13"/>
        <v>8</v>
      </c>
      <c r="D20" s="21">
        <f t="shared" si="13"/>
        <v>7</v>
      </c>
      <c r="E20" s="21">
        <f t="shared" si="13"/>
        <v>2</v>
      </c>
      <c r="F20" s="21">
        <f t="shared" si="13"/>
        <v>8</v>
      </c>
      <c r="G20" s="21">
        <f t="shared" si="13"/>
        <v>4</v>
      </c>
      <c r="H20" s="21">
        <f t="shared" si="13"/>
        <v>4</v>
      </c>
      <c r="I20" s="21">
        <f t="shared" si="13"/>
        <v>6</v>
      </c>
      <c r="J20" s="21">
        <f t="shared" si="13"/>
        <v>1</v>
      </c>
      <c r="K20" s="21">
        <f t="shared" si="13"/>
        <v>3</v>
      </c>
      <c r="L20" s="21">
        <f t="shared" si="13"/>
        <v>7</v>
      </c>
      <c r="M20" s="21">
        <f t="shared" si="13"/>
        <v>4</v>
      </c>
      <c r="N20" s="21">
        <f t="shared" si="13"/>
        <v>6</v>
      </c>
      <c r="O20" s="21">
        <f t="shared" si="13"/>
        <v>6</v>
      </c>
      <c r="P20" s="21">
        <f t="shared" si="6"/>
        <v>5.142857143</v>
      </c>
      <c r="Q20" s="40"/>
      <c r="R20" s="21">
        <f t="shared" ref="R20:AE20" si="14">rank(R10,R$6:R$13,False)</f>
        <v>6</v>
      </c>
      <c r="S20" s="21">
        <f t="shared" si="14"/>
        <v>8</v>
      </c>
      <c r="T20" s="21">
        <f t="shared" si="14"/>
        <v>8</v>
      </c>
      <c r="U20" s="21">
        <f t="shared" si="14"/>
        <v>1</v>
      </c>
      <c r="V20" s="21">
        <f t="shared" si="14"/>
        <v>8</v>
      </c>
      <c r="W20" s="21">
        <f t="shared" si="14"/>
        <v>8</v>
      </c>
      <c r="X20" s="21">
        <f t="shared" si="14"/>
        <v>3</v>
      </c>
      <c r="Y20" s="21">
        <f t="shared" si="14"/>
        <v>5</v>
      </c>
      <c r="Z20" s="21">
        <f t="shared" si="14"/>
        <v>1</v>
      </c>
      <c r="AA20" s="21">
        <f t="shared" si="14"/>
        <v>1</v>
      </c>
      <c r="AB20" s="21">
        <f t="shared" si="14"/>
        <v>2</v>
      </c>
      <c r="AC20" s="21">
        <f t="shared" si="14"/>
        <v>3</v>
      </c>
      <c r="AD20" s="21">
        <f t="shared" si="14"/>
        <v>2</v>
      </c>
      <c r="AE20" s="21">
        <f t="shared" si="14"/>
        <v>5</v>
      </c>
      <c r="AF20" s="21">
        <f t="shared" si="8"/>
        <v>4.357142857</v>
      </c>
    </row>
    <row r="21">
      <c r="A21" s="18" t="s">
        <v>825</v>
      </c>
      <c r="B21" s="21">
        <f t="shared" ref="B21:O21" si="15">rank(B11,B$6:B$13,False)</f>
        <v>7</v>
      </c>
      <c r="C21" s="21">
        <f t="shared" si="15"/>
        <v>2</v>
      </c>
      <c r="D21" s="21">
        <f t="shared" si="15"/>
        <v>5</v>
      </c>
      <c r="E21" s="21">
        <f t="shared" si="15"/>
        <v>8</v>
      </c>
      <c r="F21" s="21">
        <f t="shared" si="15"/>
        <v>4</v>
      </c>
      <c r="G21" s="21">
        <f t="shared" si="15"/>
        <v>5</v>
      </c>
      <c r="H21" s="21">
        <f t="shared" si="15"/>
        <v>6</v>
      </c>
      <c r="I21" s="21">
        <f t="shared" si="15"/>
        <v>1</v>
      </c>
      <c r="J21" s="21">
        <f t="shared" si="15"/>
        <v>8</v>
      </c>
      <c r="K21" s="21">
        <f t="shared" si="15"/>
        <v>6</v>
      </c>
      <c r="L21" s="21">
        <f t="shared" si="15"/>
        <v>8</v>
      </c>
      <c r="M21" s="21">
        <f t="shared" si="15"/>
        <v>2</v>
      </c>
      <c r="N21" s="21">
        <f t="shared" si="15"/>
        <v>3</v>
      </c>
      <c r="O21" s="21">
        <f t="shared" si="15"/>
        <v>4</v>
      </c>
      <c r="P21" s="21">
        <f t="shared" si="6"/>
        <v>4.928571429</v>
      </c>
      <c r="Q21" s="40"/>
      <c r="R21" s="21">
        <f t="shared" ref="R21:AE21" si="16">rank(R11,R$6:R$13,False)</f>
        <v>4</v>
      </c>
      <c r="S21" s="21">
        <f t="shared" si="16"/>
        <v>1</v>
      </c>
      <c r="T21" s="21">
        <f t="shared" si="16"/>
        <v>6</v>
      </c>
      <c r="U21" s="21">
        <f t="shared" si="16"/>
        <v>4</v>
      </c>
      <c r="V21" s="21">
        <f t="shared" si="16"/>
        <v>3</v>
      </c>
      <c r="W21" s="21">
        <f t="shared" si="16"/>
        <v>5</v>
      </c>
      <c r="X21" s="21">
        <f t="shared" si="16"/>
        <v>4</v>
      </c>
      <c r="Y21" s="21">
        <f t="shared" si="16"/>
        <v>1</v>
      </c>
      <c r="Z21" s="21">
        <f t="shared" si="16"/>
        <v>8</v>
      </c>
      <c r="AA21" s="21">
        <f t="shared" si="16"/>
        <v>6</v>
      </c>
      <c r="AB21" s="21">
        <f t="shared" si="16"/>
        <v>4</v>
      </c>
      <c r="AC21" s="21">
        <f t="shared" si="16"/>
        <v>1</v>
      </c>
      <c r="AD21" s="21">
        <f t="shared" si="16"/>
        <v>1</v>
      </c>
      <c r="AE21" s="21">
        <f t="shared" si="16"/>
        <v>3</v>
      </c>
      <c r="AF21" s="21">
        <f t="shared" si="8"/>
        <v>3.642857143</v>
      </c>
    </row>
    <row r="22">
      <c r="A22" s="18" t="s">
        <v>826</v>
      </c>
      <c r="B22" s="21">
        <f t="shared" ref="B22:O22" si="17">rank(B12,B$6:B$13,False)</f>
        <v>8</v>
      </c>
      <c r="C22" s="21">
        <f t="shared" si="17"/>
        <v>6</v>
      </c>
      <c r="D22" s="21">
        <f t="shared" si="17"/>
        <v>1</v>
      </c>
      <c r="E22" s="21">
        <f t="shared" si="17"/>
        <v>3</v>
      </c>
      <c r="F22" s="21">
        <f t="shared" si="17"/>
        <v>7</v>
      </c>
      <c r="G22" s="21">
        <f t="shared" si="17"/>
        <v>7</v>
      </c>
      <c r="H22" s="21">
        <f t="shared" si="17"/>
        <v>8</v>
      </c>
      <c r="I22" s="21">
        <f t="shared" si="17"/>
        <v>7</v>
      </c>
      <c r="J22" s="21">
        <f t="shared" si="17"/>
        <v>7</v>
      </c>
      <c r="K22" s="21">
        <f t="shared" si="17"/>
        <v>7</v>
      </c>
      <c r="L22" s="21">
        <f t="shared" si="17"/>
        <v>1</v>
      </c>
      <c r="M22" s="21">
        <f t="shared" si="17"/>
        <v>6</v>
      </c>
      <c r="N22" s="21">
        <f t="shared" si="17"/>
        <v>4</v>
      </c>
      <c r="O22" s="21">
        <f t="shared" si="17"/>
        <v>2</v>
      </c>
      <c r="P22" s="21">
        <f t="shared" si="6"/>
        <v>5.285714286</v>
      </c>
      <c r="Q22" s="40"/>
      <c r="R22" s="21">
        <f t="shared" ref="R22:AE22" si="18">rank(R12,R$6:R$13,False)</f>
        <v>8</v>
      </c>
      <c r="S22" s="21">
        <f t="shared" si="18"/>
        <v>7</v>
      </c>
      <c r="T22" s="21">
        <f t="shared" si="18"/>
        <v>1</v>
      </c>
      <c r="U22" s="21">
        <f t="shared" si="18"/>
        <v>2</v>
      </c>
      <c r="V22" s="21">
        <f t="shared" si="18"/>
        <v>7</v>
      </c>
      <c r="W22" s="21">
        <f t="shared" si="18"/>
        <v>6</v>
      </c>
      <c r="X22" s="21">
        <f t="shared" si="18"/>
        <v>8</v>
      </c>
      <c r="Y22" s="21">
        <f t="shared" si="18"/>
        <v>8</v>
      </c>
      <c r="Z22" s="21">
        <f t="shared" si="18"/>
        <v>6</v>
      </c>
      <c r="AA22" s="21">
        <f t="shared" si="18"/>
        <v>7</v>
      </c>
      <c r="AB22" s="21">
        <f t="shared" si="18"/>
        <v>3</v>
      </c>
      <c r="AC22" s="21">
        <f t="shared" si="18"/>
        <v>5</v>
      </c>
      <c r="AD22" s="21">
        <f t="shared" si="18"/>
        <v>5</v>
      </c>
      <c r="AE22" s="21">
        <f t="shared" si="18"/>
        <v>2</v>
      </c>
      <c r="AF22" s="21">
        <f t="shared" si="8"/>
        <v>5.357142857</v>
      </c>
    </row>
    <row r="23">
      <c r="A23" s="18" t="s">
        <v>827</v>
      </c>
      <c r="B23" s="21">
        <f t="shared" ref="B23:O23" si="19">rank(B13,B$6:B$13,False)</f>
        <v>5</v>
      </c>
      <c r="C23" s="21">
        <f t="shared" si="19"/>
        <v>7</v>
      </c>
      <c r="D23" s="21">
        <f t="shared" si="19"/>
        <v>4</v>
      </c>
      <c r="E23" s="21">
        <f t="shared" si="19"/>
        <v>4</v>
      </c>
      <c r="F23" s="21">
        <f t="shared" si="19"/>
        <v>6</v>
      </c>
      <c r="G23" s="21">
        <f t="shared" si="19"/>
        <v>6</v>
      </c>
      <c r="H23" s="21">
        <f t="shared" si="19"/>
        <v>7</v>
      </c>
      <c r="I23" s="21">
        <f t="shared" si="19"/>
        <v>8</v>
      </c>
      <c r="J23" s="21">
        <f t="shared" si="19"/>
        <v>2</v>
      </c>
      <c r="K23" s="21">
        <f t="shared" si="19"/>
        <v>8</v>
      </c>
      <c r="L23" s="21">
        <f t="shared" si="19"/>
        <v>6</v>
      </c>
      <c r="M23" s="21">
        <f t="shared" si="19"/>
        <v>7</v>
      </c>
      <c r="N23" s="21">
        <f t="shared" si="19"/>
        <v>8</v>
      </c>
      <c r="O23" s="21">
        <f t="shared" si="19"/>
        <v>1</v>
      </c>
      <c r="P23" s="21">
        <f t="shared" si="6"/>
        <v>5.642857143</v>
      </c>
      <c r="Q23" s="40"/>
      <c r="R23" s="21">
        <f t="shared" ref="R23:AE23" si="20">rank(R13,R$6:R$13,False)</f>
        <v>3</v>
      </c>
      <c r="S23" s="21">
        <f t="shared" si="20"/>
        <v>5</v>
      </c>
      <c r="T23" s="21">
        <f t="shared" si="20"/>
        <v>5</v>
      </c>
      <c r="U23" s="21">
        <f t="shared" si="20"/>
        <v>5</v>
      </c>
      <c r="V23" s="21">
        <f t="shared" si="20"/>
        <v>5</v>
      </c>
      <c r="W23" s="21">
        <f t="shared" si="20"/>
        <v>2</v>
      </c>
      <c r="X23" s="21">
        <f t="shared" si="20"/>
        <v>6</v>
      </c>
      <c r="Y23" s="21">
        <f t="shared" si="20"/>
        <v>7</v>
      </c>
      <c r="Z23" s="21">
        <f t="shared" si="20"/>
        <v>2</v>
      </c>
      <c r="AA23" s="21">
        <f t="shared" si="20"/>
        <v>8</v>
      </c>
      <c r="AB23" s="21">
        <f t="shared" si="20"/>
        <v>7</v>
      </c>
      <c r="AC23" s="21">
        <f t="shared" si="20"/>
        <v>8</v>
      </c>
      <c r="AD23" s="21">
        <f t="shared" si="20"/>
        <v>7</v>
      </c>
      <c r="AE23" s="21">
        <f t="shared" si="20"/>
        <v>1</v>
      </c>
      <c r="AF23" s="21">
        <f t="shared" si="8"/>
        <v>5.071428571</v>
      </c>
    </row>
    <row r="24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2" t="s">
        <v>833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9" t="s">
        <v>5</v>
      </c>
      <c r="B26" s="10" t="s">
        <v>6</v>
      </c>
      <c r="C26" s="10" t="s">
        <v>7</v>
      </c>
      <c r="D26" s="13" t="s">
        <v>8</v>
      </c>
      <c r="E26" s="15" t="s">
        <v>9</v>
      </c>
      <c r="F26" s="10" t="s">
        <v>10</v>
      </c>
      <c r="G26" s="10" t="s">
        <v>11</v>
      </c>
      <c r="H26" s="10" t="s">
        <v>12</v>
      </c>
      <c r="I26" s="10" t="s">
        <v>13</v>
      </c>
      <c r="J26" s="10" t="s">
        <v>14</v>
      </c>
      <c r="K26" s="10" t="s">
        <v>15</v>
      </c>
      <c r="L26" s="15" t="s">
        <v>16</v>
      </c>
      <c r="M26" s="16" t="s">
        <v>17</v>
      </c>
      <c r="N26" s="17" t="s">
        <v>19</v>
      </c>
      <c r="O26" s="15" t="s">
        <v>21</v>
      </c>
      <c r="P26" s="10" t="s">
        <v>834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18" t="s">
        <v>254</v>
      </c>
      <c r="B27" s="40">
        <f t="shared" ref="B27:O27" si="21">B$6-B7</f>
        <v>0.1229700187</v>
      </c>
      <c r="C27" s="40">
        <f t="shared" si="21"/>
        <v>0.09920157447</v>
      </c>
      <c r="D27" s="40">
        <f t="shared" si="21"/>
        <v>0.6760525987</v>
      </c>
      <c r="E27" s="40">
        <f t="shared" si="21"/>
        <v>0.1325720649</v>
      </c>
      <c r="F27" s="40">
        <f t="shared" si="21"/>
        <v>0.03835639363</v>
      </c>
      <c r="G27" s="40">
        <f t="shared" si="21"/>
        <v>0.09160962913</v>
      </c>
      <c r="H27" s="40">
        <f t="shared" si="21"/>
        <v>-0.1197357796</v>
      </c>
      <c r="I27" s="40">
        <f t="shared" si="21"/>
        <v>-0.0860064991</v>
      </c>
      <c r="J27" s="40">
        <f t="shared" si="21"/>
        <v>0.05878918662</v>
      </c>
      <c r="K27" s="40">
        <f t="shared" si="21"/>
        <v>-0.05952037995</v>
      </c>
      <c r="L27" s="40">
        <f t="shared" si="21"/>
        <v>0.3772133504</v>
      </c>
      <c r="M27" s="40">
        <f t="shared" si="21"/>
        <v>0.272979826</v>
      </c>
      <c r="N27" s="40">
        <f t="shared" si="21"/>
        <v>1.895708599</v>
      </c>
      <c r="O27" s="40">
        <f t="shared" si="21"/>
        <v>0.242327794</v>
      </c>
      <c r="P27" s="49" t="str">
        <f>IFERROR(__xludf.DUMMYFUNCTION("IFERROR(TEXTJOIN("", "", TRUE, QUERY(TRANSPOSE({$B$26:$O$26; B27:O27}), ""SELECT Col1 WHERE Col2 &lt;= 0.05 AND Col2 IS NOT NULL ORDER BY Col2 DESC"", 0)), """")"),"PPP, BLK, FOW, SOG")</f>
        <v>PPP, BLK, FOW, SOG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18" t="s">
        <v>502</v>
      </c>
      <c r="B28" s="40">
        <f t="shared" ref="B28:O28" si="22">B$6-B8</f>
        <v>0.1206297293</v>
      </c>
      <c r="C28" s="40">
        <f t="shared" si="22"/>
        <v>0.02913653613</v>
      </c>
      <c r="D28" s="40">
        <f t="shared" si="22"/>
        <v>0.2439396564</v>
      </c>
      <c r="E28" s="40">
        <f t="shared" si="22"/>
        <v>-0.3208538986</v>
      </c>
      <c r="F28" s="40">
        <f t="shared" si="22"/>
        <v>0.2159484133</v>
      </c>
      <c r="G28" s="40">
        <f t="shared" si="22"/>
        <v>-0.01391760125</v>
      </c>
      <c r="H28" s="40">
        <f t="shared" si="22"/>
        <v>-0.02014573942</v>
      </c>
      <c r="I28" s="40">
        <f t="shared" si="22"/>
        <v>0.02367961379</v>
      </c>
      <c r="J28" s="40">
        <f t="shared" si="22"/>
        <v>0.02285131175</v>
      </c>
      <c r="K28" s="40">
        <f t="shared" si="22"/>
        <v>0.1228452307</v>
      </c>
      <c r="L28" s="40">
        <f t="shared" si="22"/>
        <v>0.2059148412</v>
      </c>
      <c r="M28" s="40">
        <f t="shared" si="22"/>
        <v>1.925417706</v>
      </c>
      <c r="N28" s="40">
        <f t="shared" si="22"/>
        <v>1.425572866</v>
      </c>
      <c r="O28" s="40">
        <f t="shared" si="22"/>
        <v>0.08315450827</v>
      </c>
      <c r="P28" s="49" t="str">
        <f>IFERROR(__xludf.DUMMYFUNCTION("IFERROR(TEXTJOIN("", "", TRUE, QUERY(TRANSPOSE({$B$26:$O$26; B28:O28}), ""SELECT Col1 WHERE Col2 &lt;= 0.05 AND Col2 IS NOT NULL ORDER BY Col2 DESC"", 0)), """")"),"A, FOW, HIT, SHP, SOG, PIM")</f>
        <v>A, FOW, HIT, SHP, SOG, PIM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18" t="s">
        <v>773</v>
      </c>
      <c r="B29" s="40">
        <f t="shared" ref="B29:O29" si="23">B$6-B9</f>
        <v>0.1064939615</v>
      </c>
      <c r="C29" s="40">
        <f t="shared" si="23"/>
        <v>-0.08777087636</v>
      </c>
      <c r="D29" s="40">
        <f t="shared" si="23"/>
        <v>-0.01355107083</v>
      </c>
      <c r="E29" s="40">
        <f t="shared" si="23"/>
        <v>0.1921115232</v>
      </c>
      <c r="F29" s="40">
        <f t="shared" si="23"/>
        <v>-0.02209611656</v>
      </c>
      <c r="G29" s="40">
        <f t="shared" si="23"/>
        <v>0.02787715811</v>
      </c>
      <c r="H29" s="40">
        <f t="shared" si="23"/>
        <v>0.1726195643</v>
      </c>
      <c r="I29" s="40">
        <f t="shared" si="23"/>
        <v>0.05763481668</v>
      </c>
      <c r="J29" s="40">
        <f t="shared" si="23"/>
        <v>0.09662681469</v>
      </c>
      <c r="K29" s="40">
        <f t="shared" si="23"/>
        <v>0.1405913196</v>
      </c>
      <c r="L29" s="40">
        <f t="shared" si="23"/>
        <v>0.4463192246</v>
      </c>
      <c r="M29" s="40">
        <f t="shared" si="23"/>
        <v>0.9310431931</v>
      </c>
      <c r="N29" s="40">
        <f t="shared" si="23"/>
        <v>0.7548366966</v>
      </c>
      <c r="O29" s="40">
        <f t="shared" si="23"/>
        <v>0.1552152772</v>
      </c>
      <c r="P29" s="49" t="str">
        <f>IFERROR(__xludf.DUMMYFUNCTION("IFERROR(TEXTJOIN("", "", TRUE, QUERY(TRANSPOSE({$B$26:$O$26; B29:O29}), ""SELECT Col1 WHERE Col2 &lt;= 0.05 AND Col2 IS NOT NULL ORDER BY Col2 DESC"", 0)), """")"),"SHP, +/-, PPP, A")</f>
        <v>SHP, +/-, PPP, A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18" t="s">
        <v>824</v>
      </c>
      <c r="B30" s="40">
        <f t="shared" ref="B30:O30" si="24">B$6-B10</f>
        <v>0.2644234555</v>
      </c>
      <c r="C30" s="40">
        <f t="shared" si="24"/>
        <v>0.3760572624</v>
      </c>
      <c r="D30" s="40">
        <f t="shared" si="24"/>
        <v>0.325855335</v>
      </c>
      <c r="E30" s="40">
        <f t="shared" si="24"/>
        <v>-0.1445482527</v>
      </c>
      <c r="F30" s="40">
        <f t="shared" si="24"/>
        <v>0.5152195802</v>
      </c>
      <c r="G30" s="40">
        <f t="shared" si="24"/>
        <v>0.03761512549</v>
      </c>
      <c r="H30" s="40">
        <f t="shared" si="24"/>
        <v>0.06485830118</v>
      </c>
      <c r="I30" s="40">
        <f t="shared" si="24"/>
        <v>0.1310312588</v>
      </c>
      <c r="J30" s="40">
        <f t="shared" si="24"/>
        <v>-0.3318154767</v>
      </c>
      <c r="K30" s="40">
        <f t="shared" si="24"/>
        <v>0.07324584306</v>
      </c>
      <c r="L30" s="40">
        <f t="shared" si="24"/>
        <v>0.4844789289</v>
      </c>
      <c r="M30" s="40">
        <f t="shared" si="24"/>
        <v>0.6886371077</v>
      </c>
      <c r="N30" s="40">
        <f t="shared" si="24"/>
        <v>1.818156883</v>
      </c>
      <c r="O30" s="40">
        <f t="shared" si="24"/>
        <v>0.1537992242</v>
      </c>
      <c r="P30" s="49" t="str">
        <f>IFERROR(__xludf.DUMMYFUNCTION("IFERROR(TEXTJOIN("", "", TRUE, QUERY(TRANSPOSE({$B$26:$O$26; B30:O30}), ""SELECT Col1 WHERE Col2 &lt;= 0.05 AND Col2 IS NOT NULL ORDER BY Col2 DESC"", 0)), """")"),"SHP, PIM, HIT")</f>
        <v>SHP, PIM, HIT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18" t="s">
        <v>825</v>
      </c>
      <c r="B31" s="40">
        <f t="shared" ref="B31:O31" si="25">B$6-B11</f>
        <v>0.2816414506</v>
      </c>
      <c r="C31" s="40">
        <f t="shared" si="25"/>
        <v>-0.05182344768</v>
      </c>
      <c r="D31" s="40">
        <f t="shared" si="25"/>
        <v>0.2401842338</v>
      </c>
      <c r="E31" s="40">
        <f t="shared" si="25"/>
        <v>0.2063440442</v>
      </c>
      <c r="F31" s="40">
        <f t="shared" si="25"/>
        <v>0.09719464983</v>
      </c>
      <c r="G31" s="40">
        <f t="shared" si="25"/>
        <v>0.04092338633</v>
      </c>
      <c r="H31" s="40">
        <f t="shared" si="25"/>
        <v>0.2297633513</v>
      </c>
      <c r="I31" s="40">
        <f t="shared" si="25"/>
        <v>-0.09556224232</v>
      </c>
      <c r="J31" s="40">
        <f t="shared" si="25"/>
        <v>0.4235218079</v>
      </c>
      <c r="K31" s="40">
        <f t="shared" si="25"/>
        <v>0.1554344089</v>
      </c>
      <c r="L31" s="40">
        <f t="shared" si="25"/>
        <v>0.5658811724</v>
      </c>
      <c r="M31" s="40">
        <f t="shared" si="25"/>
        <v>0.2458031677</v>
      </c>
      <c r="N31" s="40">
        <f t="shared" si="25"/>
        <v>0.8341117834</v>
      </c>
      <c r="O31" s="40">
        <f t="shared" si="25"/>
        <v>0.05240336985</v>
      </c>
      <c r="P31" s="49" t="str">
        <f>IFERROR(__xludf.DUMMYFUNCTION("IFERROR(TEXTJOIN("", "", TRUE, QUERY(TRANSPOSE({$B$26:$O$26; B31:O31}), ""SELECT Col1 WHERE Col2 &lt;= 0.05 AND Col2 IS NOT NULL ORDER BY Col2 DESC"", 0)), """")"),"SHP, A, FOW")</f>
        <v>SHP, A, FOW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18" t="s">
        <v>826</v>
      </c>
      <c r="B32" s="40">
        <f t="shared" ref="B32:O32" si="26">B$6-B12</f>
        <v>0.2982424474</v>
      </c>
      <c r="C32" s="40">
        <f t="shared" si="26"/>
        <v>0.1444723132</v>
      </c>
      <c r="D32" s="40">
        <f t="shared" si="26"/>
        <v>-0.2404703728</v>
      </c>
      <c r="E32" s="40">
        <f t="shared" si="26"/>
        <v>-0.1274898353</v>
      </c>
      <c r="F32" s="40">
        <f t="shared" si="26"/>
        <v>0.3204010052</v>
      </c>
      <c r="G32" s="40">
        <f t="shared" si="26"/>
        <v>0.0663459621</v>
      </c>
      <c r="H32" s="40">
        <f t="shared" si="26"/>
        <v>0.305377471</v>
      </c>
      <c r="I32" s="40">
        <f t="shared" si="26"/>
        <v>0.1621133937</v>
      </c>
      <c r="J32" s="40">
        <f t="shared" si="26"/>
        <v>0.207006704</v>
      </c>
      <c r="K32" s="40">
        <f t="shared" si="26"/>
        <v>0.2663858654</v>
      </c>
      <c r="L32" s="40">
        <f t="shared" si="26"/>
        <v>-0.4497581975</v>
      </c>
      <c r="M32" s="40">
        <f t="shared" si="26"/>
        <v>1.194559718</v>
      </c>
      <c r="N32" s="40">
        <f t="shared" si="26"/>
        <v>1.353880614</v>
      </c>
      <c r="O32" s="40">
        <f t="shared" si="26"/>
        <v>-0.04622494631</v>
      </c>
      <c r="P32" s="49" t="str">
        <f>IFERROR(__xludf.DUMMYFUNCTION("IFERROR(TEXTJOIN("", "", TRUE, QUERY(TRANSPOSE({$B$26:$O$26; B32:O32}), ""SELECT Col1 WHERE Col2 &lt;= 0.05 AND Col2 IS NOT NULL ORDER BY Col2 DESC"", 0)), """")"),"SO, PIM, +/-, W")</f>
        <v>SO, PIM, +/-, W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18" t="s">
        <v>827</v>
      </c>
      <c r="B33" s="40">
        <f t="shared" ref="B33:O33" si="27">B$6-B13</f>
        <v>0.1305735823</v>
      </c>
      <c r="C33" s="40">
        <f t="shared" si="27"/>
        <v>0.209605948</v>
      </c>
      <c r="D33" s="40">
        <f t="shared" si="27"/>
        <v>0.07173678522</v>
      </c>
      <c r="E33" s="40">
        <f t="shared" si="27"/>
        <v>-0.09504415517</v>
      </c>
      <c r="F33" s="40">
        <f t="shared" si="27"/>
        <v>0.2325057572</v>
      </c>
      <c r="G33" s="40">
        <f t="shared" si="27"/>
        <v>0.06260905881</v>
      </c>
      <c r="H33" s="40">
        <f t="shared" si="27"/>
        <v>0.2735734133</v>
      </c>
      <c r="I33" s="40">
        <f t="shared" si="27"/>
        <v>0.1788005952</v>
      </c>
      <c r="J33" s="40">
        <f t="shared" si="27"/>
        <v>-0.3033896012</v>
      </c>
      <c r="K33" s="40">
        <f t="shared" si="27"/>
        <v>0.4266705771</v>
      </c>
      <c r="L33" s="40">
        <f t="shared" si="27"/>
        <v>0.4505685736</v>
      </c>
      <c r="M33" s="40">
        <f t="shared" si="27"/>
        <v>1.919594136</v>
      </c>
      <c r="N33" s="40">
        <f t="shared" si="27"/>
        <v>2.953169322</v>
      </c>
      <c r="O33" s="40">
        <f t="shared" si="27"/>
        <v>-0.1008463855</v>
      </c>
      <c r="P33" s="49" t="str">
        <f>IFERROR(__xludf.DUMMYFUNCTION("IFERROR(TEXTJOIN("", "", TRUE, QUERY(TRANSPOSE({$B$26:$O$26; B33:O33}), ""SELECT Col1 WHERE Col2 &lt;= 0.05 AND Col2 IS NOT NULL ORDER BY Col2 DESC"", 0)), """")"),"PIM, SO, HIT")</f>
        <v>PIM, SO, HIT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  <row r="1002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</row>
    <row r="1003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</row>
    <row r="1004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</row>
  </sheetData>
  <mergeCells count="3">
    <mergeCell ref="R4:AA4"/>
    <mergeCell ref="AB4:AE4"/>
    <mergeCell ref="A25:P25"/>
  </mergeCells>
  <conditionalFormatting sqref="B16:AF23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B27:P33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38"/>
    <col customWidth="1" min="2" max="2" width="4.5"/>
    <col customWidth="1" min="3" max="3" width="7.5"/>
    <col customWidth="1" min="4" max="4" width="13.25"/>
    <col customWidth="1" min="5" max="5" width="16.88"/>
    <col customWidth="1" min="6" max="6" width="7.25"/>
    <col customWidth="1" min="7" max="7" width="6.88"/>
    <col customWidth="1" min="8" max="8" width="6.38"/>
    <col customWidth="1" min="9" max="9" width="8.25"/>
    <col customWidth="1" min="10" max="10" width="9.88"/>
    <col customWidth="1" min="11" max="14" width="6.38"/>
    <col customWidth="1" min="15" max="65" width="7.13"/>
  </cols>
  <sheetData>
    <row r="1" hidden="1">
      <c r="A1" s="7"/>
      <c r="B1" s="7"/>
      <c r="C1" s="7"/>
      <c r="D1" s="7"/>
      <c r="E1" s="12"/>
      <c r="F1" s="12"/>
      <c r="G1" s="7"/>
      <c r="H1" s="7"/>
      <c r="I1" s="7"/>
      <c r="J1" s="7"/>
      <c r="K1" s="8"/>
      <c r="L1" s="8"/>
      <c r="M1" s="11"/>
      <c r="N1" s="8"/>
      <c r="O1" s="14">
        <v>1.0</v>
      </c>
      <c r="P1" s="14">
        <v>1.0</v>
      </c>
      <c r="Q1" s="14">
        <v>1.0</v>
      </c>
      <c r="R1" s="14">
        <v>1.0</v>
      </c>
      <c r="S1" s="14">
        <v>1.0</v>
      </c>
      <c r="T1" s="14">
        <v>0.5</v>
      </c>
      <c r="U1" s="14">
        <v>1.0</v>
      </c>
      <c r="V1" s="14">
        <v>1.0</v>
      </c>
      <c r="W1" s="14">
        <v>1.0</v>
      </c>
      <c r="X1" s="14">
        <v>1.0</v>
      </c>
      <c r="Y1" s="14">
        <v>1.0</v>
      </c>
      <c r="Z1" s="14">
        <v>1.0</v>
      </c>
      <c r="AA1" s="14">
        <v>1.0</v>
      </c>
      <c r="AB1" s="14">
        <v>0.5</v>
      </c>
      <c r="AC1" s="14" t="str">
        <f t="shared" ref="AC1:AN1" si="1">if(AC2="","",vlookup(AC2,CatWeights,2,false))</f>
        <v/>
      </c>
      <c r="AD1" s="14" t="str">
        <f t="shared" si="1"/>
        <v/>
      </c>
      <c r="AE1" s="14" t="str">
        <f t="shared" si="1"/>
        <v/>
      </c>
      <c r="AF1" s="14" t="str">
        <f t="shared" si="1"/>
        <v/>
      </c>
      <c r="AG1" s="14" t="str">
        <f t="shared" si="1"/>
        <v/>
      </c>
      <c r="AH1" s="14" t="str">
        <f t="shared" si="1"/>
        <v/>
      </c>
      <c r="AI1" s="14" t="str">
        <f t="shared" si="1"/>
        <v/>
      </c>
      <c r="AJ1" s="14" t="str">
        <f t="shared" si="1"/>
        <v/>
      </c>
      <c r="AK1" s="14" t="str">
        <f t="shared" si="1"/>
        <v/>
      </c>
      <c r="AL1" s="14" t="str">
        <f t="shared" si="1"/>
        <v/>
      </c>
      <c r="AM1" s="14" t="str">
        <f t="shared" si="1"/>
        <v/>
      </c>
      <c r="AN1" s="14" t="str">
        <f t="shared" si="1"/>
        <v/>
      </c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</row>
    <row r="2">
      <c r="A2" s="28" t="s">
        <v>31</v>
      </c>
      <c r="B2" s="30" t="s">
        <v>41</v>
      </c>
      <c r="C2" s="28" t="s">
        <v>48</v>
      </c>
      <c r="D2" s="28" t="s">
        <v>51</v>
      </c>
      <c r="E2" s="33" t="s">
        <v>55</v>
      </c>
      <c r="F2" s="33" t="s">
        <v>59</v>
      </c>
      <c r="G2" s="28" t="s">
        <v>61</v>
      </c>
      <c r="H2" s="28" t="s">
        <v>64</v>
      </c>
      <c r="I2" s="28" t="s">
        <v>67</v>
      </c>
      <c r="J2" s="28" t="s">
        <v>71</v>
      </c>
      <c r="K2" s="19" t="s">
        <v>74</v>
      </c>
      <c r="L2" s="19" t="s">
        <v>20</v>
      </c>
      <c r="M2" s="20" t="s">
        <v>23</v>
      </c>
      <c r="N2" s="19" t="s">
        <v>24</v>
      </c>
      <c r="O2" s="22" t="s">
        <v>6</v>
      </c>
      <c r="P2" s="22" t="s">
        <v>7</v>
      </c>
      <c r="Q2" s="22" t="s">
        <v>8</v>
      </c>
      <c r="R2" s="22" t="s">
        <v>9</v>
      </c>
      <c r="S2" s="22" t="s">
        <v>10</v>
      </c>
      <c r="T2" s="22" t="s">
        <v>11</v>
      </c>
      <c r="U2" s="22" t="s">
        <v>12</v>
      </c>
      <c r="V2" s="22" t="s">
        <v>13</v>
      </c>
      <c r="W2" s="22" t="s">
        <v>14</v>
      </c>
      <c r="X2" s="22" t="s">
        <v>15</v>
      </c>
      <c r="Y2" s="24" t="s">
        <v>16</v>
      </c>
      <c r="Z2" s="25" t="s">
        <v>17</v>
      </c>
      <c r="AA2" s="26" t="s">
        <v>19</v>
      </c>
      <c r="AB2" s="24" t="s">
        <v>21</v>
      </c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38"/>
      <c r="AP2" s="38"/>
      <c r="AQ2" s="39" t="s">
        <v>18</v>
      </c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9"/>
    </row>
    <row r="3">
      <c r="A3" s="41" t="str">
        <f t="array" ref="A3:A1283">IF(E3:E1300="","",IFNA(VLOOKUP(E3:E1300,'Simulated Rankings'!A2:B645,2,FALSE),""))</f>
        <v/>
      </c>
      <c r="B3" s="41" t="b">
        <v>0</v>
      </c>
      <c r="C3" s="41" t="b">
        <f t="shared" ref="C3:C782" si="3">IF(D3="Undrafted",FALSE,True)</f>
        <v>1</v>
      </c>
      <c r="D3" s="42" t="s">
        <v>254</v>
      </c>
      <c r="E3" s="43" t="s">
        <v>276</v>
      </c>
      <c r="F3" s="44" t="s">
        <v>279</v>
      </c>
      <c r="G3" s="29" t="s">
        <v>284</v>
      </c>
      <c r="H3" s="32">
        <v>15.796064403691997</v>
      </c>
      <c r="I3" s="32">
        <v>20.83413042387508</v>
      </c>
      <c r="J3" s="45" t="s">
        <v>290</v>
      </c>
      <c r="K3" s="29">
        <v>31.0</v>
      </c>
      <c r="L3" s="41">
        <f t="array" ref="L3:L782">LET(
  ids, $AQ$3:$AQ$782,
  projVals, IFNA(_xlfn.XLOOKUP(ids, Projections!$A$3:$A$782, Projections!$B$3:$B$782, ""), ""),
  seasonVals, IFNA(_xlfn.XLOOKUP(ids, 'Stats (Season)'!$A$3:$A$782, 'Stats (Season)'!$B$3:$B$782, ""), ""),
  recentVals, IFNA(_xlfn.XLOOKUP(ids, 'Stats (Last 2 weeks)'!$A$3:$A$782, 'Stats (Last 2 weeks)'!$B$3:$B$782, ""), ""),
  IF(
    (projVals="")*(seasonVals="")*(recentVals=""),
    "",
    N(projVals)*'Roster Comparison'!$G$1+
    N(seasonVals)*'Roster Comparison'!$G$2+
    N(recentVals)*'Roster Comparison'!$G$3
  )
)</f>
        <v>82.16397059</v>
      </c>
      <c r="M3" s="46">
        <f t="array" ref="M3:M782">LET(
  ids, $AQ$3:$AQ$782,
  projVals, IFNA(_xlfn.XLOOKUP(ids, Projections!$A$3:$A$782, Projections!$C$3:$C$782, ""), ""),
  seasonVals, IFNA(_xlfn.XLOOKUP(ids, 'Stats (Season)'!$A$3:$A$782, 'Stats (Season)'!$C$3:$C$782, ""), ""),
  recentVals, IFNA(_xlfn.XLOOKUP(ids, 'Stats (Last 2 weeks)'!$A$3:$A$782, 'Stats (Last 2 weeks)'!$C$3:$C$782, ""), ""),
  IF(
    (projVals="")*(seasonVals="")*(recentVals=""),
    "",
    N(projVals)*'Roster Comparison'!$G$1+
    N(seasonVals)*'Roster Comparison'!$G$2+
    N(recentVals)*'Roster Comparison'!$G$3
  )
)</f>
        <v>34</v>
      </c>
      <c r="N3" s="46">
        <f t="array" ref="N3:N782">LET(
  ids, $AQ$3:$AQ$782,
  projVals, IFNA(_xlfn.XLOOKUP(ids, Projections!$A$3:$A$782, Projections!$D$3:$D$782, ""), ""),
  seasonVals, IFNA(_xlfn.XLOOKUP(ids, 'Stats (Season)'!$A$3:$A$782, 'Stats (Season)'!$D$3:$D$782, ""), ""),
  recentVals, IFNA(_xlfn.XLOOKUP(ids, 'Stats (Last 2 weeks)'!$A$3:$A$782, 'Stats (Last 2 weeks)'!$D$3:$D$782, ""), ""),
  IF(
    (projVals="")*(seasonVals="")*(recentVals=""),
    "",
    N(projVals)*'Roster Comparison'!$G$1+
    N(seasonVals)*'Roster Comparison'!$G$2+
    N(recentVals)*'Roster Comparison'!$G$3
  )
)</f>
        <v>7</v>
      </c>
      <c r="O3" s="47">
        <f t="array" ref="O3:O782">LET(
  ids, $AQ$3:$AQ$782,
  projVals, IFNA(_xlfn.XLOOKUP(ids, Projections!$A$3:$A$782, Projections!$E$3:$E$782, ""), ""),
  seasonVals, IFNA(_xlfn.XLOOKUP(ids, 'Stats (Season)'!$A$3:$A$782, 'Stats (Season)'!$E$3:$E$782, ""), ""),
  recentVals, IFNA(_xlfn.XLOOKUP(ids, 'Stats (Last 2 weeks)'!$A$3:$A$782, 'Stats (Last 2 weeks)'!$E$3:$E$782, ""), ""),
  IF(
    (projVals="")*(seasonVals="")*(recentVals=""),
    "",
    N(projVals)*'Roster Comparison'!$G$1+
    N(seasonVals)*'Roster Comparison'!$G$2+
    N(recentVals)*'Roster Comparison'!$G$3
  )
)</f>
        <v>3.082380778</v>
      </c>
      <c r="P3" s="47">
        <f t="array" ref="P3:P782">LET(
  ids, $AQ$3:$AQ$782,
  projVals, IFNA(_xlfn.XLOOKUP(ids, Projections!$A$3:$A$782, Projections!$F$3:$F$782, ""), ""),
  seasonVals, IFNA(_xlfn.XLOOKUP(ids, 'Stats (Season)'!$A$3:$A$782, 'Stats (Season)'!$F$3:$F$782, ""), ""),
  recentVals, IFNA(_xlfn.XLOOKUP(ids, 'Stats (Last 2 weeks)'!$A$3:$A$782, 'Stats (Last 2 weeks)'!$F$3:$F$782, ""), ""),
  IF(
    (projVals="")*(seasonVals="")*(recentVals=""),
    "",
    N(projVals)*'Roster Comparison'!$G$1+
    N(seasonVals)*'Roster Comparison'!$G$2+
    N(recentVals)*'Roster Comparison'!$G$3
  )
)</f>
        <v>3.697689702</v>
      </c>
      <c r="Q3" s="47">
        <f t="array" ref="Q3:Q782">LET(
  ids, $AQ$3:$AQ$782,
  projVals, IFNA(_xlfn.XLOOKUP(ids, Projections!$A$3:$A$782, Projections!$G$3:$G$782, ""), ""),
  seasonVals, IFNA(_xlfn.XLOOKUP(ids, 'Stats (Season)'!$A$3:$A$782, 'Stats (Season)'!$G$3:$G$782, ""), ""),
  recentVals, IFNA(_xlfn.XLOOKUP(ids, 'Stats (Last 2 weeks)'!$A$3:$A$782, 'Stats (Last 2 weeks)'!$G$3:$G$782, ""), ""),
  IF(
    (projVals="")*(seasonVals="")*(recentVals=""),
    "",
    N(projVals)*'Roster Comparison'!$G$1+
    N(seasonVals)*'Roster Comparison'!$G$2+
    N(recentVals)*'Roster Comparison'!$G$3
  )
)</f>
        <v>4.668731445</v>
      </c>
      <c r="R3" s="47">
        <f t="array" ref="R3:R782">LET(
  ids, $AQ$3:$AQ$782,
  projVals, IFNA(_xlfn.XLOOKUP(ids, Projections!$A$3:$A$782, Projections!$H$3:$H$782, ""), ""),
  seasonVals, IFNA(_xlfn.XLOOKUP(ids, 'Stats (Season)'!$A$3:$A$782, 'Stats (Season)'!$H$3:$H$782, ""), ""),
  recentVals, IFNA(_xlfn.XLOOKUP(ids, 'Stats (Last 2 weeks)'!$A$3:$A$782, 'Stats (Last 2 weeks)'!$H$3:$H$782, ""), ""),
  IF(
    (projVals="")*(seasonVals="")*(recentVals=""),
    "",
    N(projVals)*'Roster Comparison'!$G$1+
    N(seasonVals)*'Roster Comparison'!$G$2+
    N(recentVals)*'Roster Comparison'!$G$3
  )
)</f>
        <v>-0.6769149158</v>
      </c>
      <c r="S3" s="47">
        <f t="array" ref="S3:S782">LET(
  ids, $AQ$3:$AQ$782,
  projVals, IFNA(_xlfn.XLOOKUP(ids, Projections!$A$3:$A$782, Projections!$I$3:$I$782, ""), ""),
  seasonVals, IFNA(_xlfn.XLOOKUP(ids, 'Stats (Season)'!$A$3:$A$782, 'Stats (Season)'!$I$3:$I$782, ""), ""),
  recentVals, IFNA(_xlfn.XLOOKUP(ids, 'Stats (Last 2 weeks)'!$A$3:$A$782, 'Stats (Last 2 weeks)'!$I$3:$I$782, ""), ""),
  IF(
    (projVals="")*(seasonVals="")*(recentVals=""),
    "",
    N(projVals)*'Roster Comparison'!$G$1+
    N(seasonVals)*'Roster Comparison'!$G$2+
    N(recentVals)*'Roster Comparison'!$G$3
  )
)</f>
        <v>2.492558263</v>
      </c>
      <c r="T3" s="47">
        <f t="array" ref="T3:T782">LET(
  ids, $AQ$3:$AQ$782,
  projVals, IFNA(_xlfn.XLOOKUP(ids, Projections!$A$3:$A$782, Projections!$J$3:$J$782, ""), ""),
  seasonVals, IFNA(_xlfn.XLOOKUP(ids, 'Stats (Season)'!$A$3:$A$782, 'Stats (Season)'!$J$3:$J$782, ""), ""),
  recentVals, IFNA(_xlfn.XLOOKUP(ids, 'Stats (Last 2 weeks)'!$A$3:$A$782, 'Stats (Last 2 weeks)'!$J$3:$J$782, ""), ""),
  IF(
    (projVals="")*(seasonVals="")*(recentVals=""),
    "",
    N(projVals)*'Roster Comparison'!$G$1+
    N(seasonVals)*'Roster Comparison'!$G$2+
    N(recentVals)*'Roster Comparison'!$G$3
  )
)</f>
        <v>-0.7797165909</v>
      </c>
      <c r="U3" s="47">
        <f t="array" ref="U3:U782">LET(
  ids, $AQ$3:$AQ$782,
  projVals, IFNA(_xlfn.XLOOKUP(ids, Projections!$A$3:$A$782, Projections!$K$3:$K$782, ""), ""),
  seasonVals, IFNA(_xlfn.XLOOKUP(ids, 'Stats (Season)'!$A$3:$A$782, 'Stats (Season)'!$K$3:$K$782, ""), ""),
  recentVals, IFNA(_xlfn.XLOOKUP(ids, 'Stats (Last 2 weeks)'!$A$3:$A$782, 'Stats (Last 2 weeks)'!$K$3:$K$782, ""), ""),
  IF(
    (projVals="")*(seasonVals="")*(recentVals=""),
    "",
    N(projVals)*'Roster Comparison'!$G$1+
    N(seasonVals)*'Roster Comparison'!$G$2+
    N(recentVals)*'Roster Comparison'!$G$3
  )
)</f>
        <v>4.120842932</v>
      </c>
      <c r="V3" s="47">
        <f t="array" ref="V3:V782">LET(
  ids, $AQ$3:$AQ$782,
  projVals, IFNA(_xlfn.XLOOKUP(ids, Projections!$A$3:$A$782, Projections!$L$3:$L$782, ""), ""),
  seasonVals, IFNA(_xlfn.XLOOKUP(ids, 'Stats (Season)'!$A$3:$A$782, 'Stats (Season)'!$L$3:$L$782, ""), ""),
  recentVals, IFNA(_xlfn.XLOOKUP(ids, 'Stats (Last 2 weeks)'!$A$3:$A$782, 'Stats (Last 2 weeks)'!$L$3:$L$782, ""), ""),
  IF(
    (projVals="")*(seasonVals="")*(recentVals=""),
    "",
    N(projVals)*'Roster Comparison'!$G$1+
    N(seasonVals)*'Roster Comparison'!$G$2+
    N(recentVals)*'Roster Comparison'!$G$3
  )
)</f>
        <v>1.977976983</v>
      </c>
      <c r="W3" s="47">
        <f t="array" ref="W3:W782">LET(
  ids, $AQ$3:$AQ$782,
  projVals, IFNA(_xlfn.XLOOKUP(ids, Projections!$A$3:$A$782, Projections!$M$3:$M$782, ""), ""),
  seasonVals, IFNA(_xlfn.XLOOKUP(ids, 'Stats (Season)'!$A$3:$A$782, 'Stats (Season)'!$M$3:$M$782, ""), ""),
  recentVals, IFNA(_xlfn.XLOOKUP(ids, 'Stats (Last 2 weeks)'!$A$3:$A$782, 'Stats (Last 2 weeks)'!$M$3:$M$782, ""), ""),
  IF(
    (projVals="")*(seasonVals="")*(recentVals=""),
    "",
    N(projVals)*'Roster Comparison'!$G$1+
    N(seasonVals)*'Roster Comparison'!$G$2+
    N(recentVals)*'Roster Comparison'!$G$3
  )
)</f>
        <v>-1.489052855</v>
      </c>
      <c r="X3" s="47">
        <f t="array" ref="X3:X782">LET(
  ids, $AQ$3:$AQ$782,
  projVals, IFNA(_xlfn.XLOOKUP(ids, Projections!$A$3:$A$782, Projections!$N$3:$N$782, ""), ""),
  seasonVals, IFNA(_xlfn.XLOOKUP(ids, 'Stats (Season)'!$A$3:$A$782, 'Stats (Season)'!$N$3:$N$782, ""), ""),
  recentVals, IFNA(_xlfn.XLOOKUP(ids, 'Stats (Last 2 weeks)'!$A$3:$A$782, 'Stats (Last 2 weeks)'!$N$3:$N$782, ""), ""),
  IF(
    (projVals="")*(seasonVals="")*(recentVals=""),
    "",
    N(projVals)*'Roster Comparison'!$G$1+
    N(seasonVals)*'Roster Comparison'!$G$2+
    N(recentVals)*'Roster Comparison'!$G$3
  )
)</f>
        <v>-1.298431337</v>
      </c>
      <c r="Y3" s="50" t="str">
        <f t="array" ref="Y3:Y782">LET(
  ids, $AQ$3:$AQ$782,
  projVals, IFNA(_xlfn.XLOOKUP(ids, Projections!$A$3:$A$782, Projections!$O$3:$O$782, ""), ""),
  seasonVals, IFNA(_xlfn.XLOOKUP(ids, 'Stats (Season)'!$A$3:$A$782, 'Stats (Season)'!$O$3:$O$782, ""), ""),
  recentVals, IFNA(_xlfn.XLOOKUP(ids, 'Stats (Last 2 weeks)'!$A$3:$A$782, 'Stats (Last 2 weeks)'!$O$3:$O$782, ""), ""),
  IF(
    (projVals="")*(seasonVals="")*(recentVals=""),
    "",
    N(projVals)*'Roster Comparison'!$G$1+
    N(seasonVals)*'Roster Comparison'!$G$2+
    N(recentVals)*'Roster Comparison'!$G$3
  )
)</f>
        <v/>
      </c>
      <c r="Z3" s="50" t="str">
        <f t="array" ref="Z3:Z782">LET(
  ids, $AQ$3:$AQ$782,
  projVals, IFNA(_xlfn.XLOOKUP(ids, Projections!$A$3:$A$782, Projections!$P$3:$P$782, ""), ""),
  seasonVals, IFNA(_xlfn.XLOOKUP(ids, 'Stats (Season)'!$A$3:$A$782, 'Stats (Season)'!$P$3:$P$782, ""), ""),
  recentVals, IFNA(_xlfn.XLOOKUP(ids, 'Stats (Last 2 weeks)'!$A$3:$A$782, 'Stats (Last 2 weeks)'!$P$3:$P$782, ""), ""),
  IF(
    (projVals="")*(seasonVals="")*(recentVals=""),
    "",
    N(projVals)*'Roster Comparison'!$G$1+
    N(seasonVals)*'Roster Comparison'!$G$2+
    N(recentVals)*'Roster Comparison'!$G$3
  )
)</f>
        <v/>
      </c>
      <c r="AA3" s="50" t="str">
        <f t="array" ref="AA3:AA782">LET(
  ids, $AQ$3:$AQ$782,
  projVals, IFNA(_xlfn.XLOOKUP(ids, Projections!$A$3:$A$782, Projections!$Q$3:$Q$782, ""), ""),
  seasonVals, IFNA(_xlfn.XLOOKUP(ids, 'Stats (Season)'!$A$3:$A$782, 'Stats (Season)'!$Q$3:$Q$782, ""), ""),
  recentVals, IFNA(_xlfn.XLOOKUP(ids, 'Stats (Last 2 weeks)'!$A$3:$A$782, 'Stats (Last 2 weeks)'!$Q$3:$Q$782, ""), ""),
  IF(
    (projVals="")*(seasonVals="")*(recentVals=""),
    "",
    N(projVals)*'Roster Comparison'!$G$1+
    N(seasonVals)*'Roster Comparison'!$G$2+
    N(recentVals)*'Roster Comparison'!$G$3
  )
)</f>
        <v/>
      </c>
      <c r="AB3" s="50" t="str">
        <f t="array" ref="AB3:AB782">LET(
  ids, $AQ$3:$AQ$782,
  projVals, IFNA(_xlfn.XLOOKUP(ids, Projections!$A$3:$A$782, Projections!$R$3:$R$782, ""), ""),
  seasonVals, IFNA(_xlfn.XLOOKUP(ids, 'Stats (Season)'!$A$3:$A$782, 'Stats (Season)'!$R$3:$R$782, ""), ""),
  recentVals, IFNA(_xlfn.XLOOKUP(ids, 'Stats (Last 2 weeks)'!$A$3:$A$782, 'Stats (Last 2 weeks)'!$R$3:$R$782, ""), ""),
  IF(
    (projVals="")*(seasonVals="")*(recentVals=""),
    "",
    N(projVals)*'Roster Comparison'!$G$1+
    N(seasonVals)*'Roster Comparison'!$G$2+
    N(recentVals)*'Roster Comparison'!$G$3
  )
)</f>
        <v/>
      </c>
      <c r="AC3" s="34" t="str">
        <f t="shared" ref="AC3:AP3" si="2">LET(
  skater, IFERROR(INDEX(AllProj, MATCH($E3, AllProjNames, 0), MATCH(AC$2, AllProjCats, 0) + 1), ""),
  goalie, IFERROR(INDEX(AllGProj, MATCH($E3, AllGProjNames, 0), MATCH(AC$2, AllGProjCats, 0) + 1), ""),
  val, IF(skater &lt;&gt; "", skater, goalie),
  IF(OR($E3="", AC$2="", val=""), "", val * AC$1)
)</f>
        <v/>
      </c>
      <c r="AD3" s="34" t="str">
        <f t="shared" si="2"/>
        <v/>
      </c>
      <c r="AE3" s="34" t="str">
        <f t="shared" si="2"/>
        <v/>
      </c>
      <c r="AF3" s="34" t="str">
        <f t="shared" si="2"/>
        <v/>
      </c>
      <c r="AG3" s="34" t="str">
        <f t="shared" si="2"/>
        <v/>
      </c>
      <c r="AH3" s="34" t="str">
        <f t="shared" si="2"/>
        <v/>
      </c>
      <c r="AI3" s="34" t="str">
        <f t="shared" si="2"/>
        <v/>
      </c>
      <c r="AJ3" s="34" t="str">
        <f t="shared" si="2"/>
        <v/>
      </c>
      <c r="AK3" s="34" t="str">
        <f t="shared" si="2"/>
        <v/>
      </c>
      <c r="AL3" s="34" t="str">
        <f t="shared" si="2"/>
        <v/>
      </c>
      <c r="AM3" s="34" t="str">
        <f t="shared" si="2"/>
        <v/>
      </c>
      <c r="AN3" s="34" t="str">
        <f t="shared" si="2"/>
        <v/>
      </c>
      <c r="AO3" s="34" t="str">
        <f t="shared" si="2"/>
        <v/>
      </c>
      <c r="AP3" s="34" t="str">
        <f t="shared" si="2"/>
        <v/>
      </c>
      <c r="AQ3" s="76" t="s">
        <v>25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8"/>
    </row>
    <row r="4">
      <c r="A4" s="79" t="s">
        <v>69</v>
      </c>
      <c r="B4" s="79" t="b">
        <v>0</v>
      </c>
      <c r="C4" s="79" t="b">
        <f t="shared" si="3"/>
        <v>1</v>
      </c>
      <c r="D4" s="80" t="s">
        <v>773</v>
      </c>
      <c r="E4" s="81" t="s">
        <v>848</v>
      </c>
      <c r="F4" s="82" t="s">
        <v>849</v>
      </c>
      <c r="G4" s="35" t="s">
        <v>284</v>
      </c>
      <c r="H4" s="37">
        <v>13.226425407382086</v>
      </c>
      <c r="I4" s="37">
        <v>18.264491427565172</v>
      </c>
      <c r="J4" s="83" t="s">
        <v>850</v>
      </c>
      <c r="K4" s="35">
        <v>29.7</v>
      </c>
      <c r="L4" s="79">
        <v>81.12367647058824</v>
      </c>
      <c r="M4" s="84">
        <v>29.0</v>
      </c>
      <c r="N4" s="84">
        <v>6.0</v>
      </c>
      <c r="O4" s="85">
        <v>2.4402937818721107</v>
      </c>
      <c r="P4" s="85">
        <v>4.643511927437128</v>
      </c>
      <c r="Q4" s="85">
        <v>3.0128393696752434</v>
      </c>
      <c r="R4" s="85">
        <v>-0.5320369150656853</v>
      </c>
      <c r="S4" s="85">
        <v>3.9570262751010796</v>
      </c>
      <c r="T4" s="85">
        <v>-0.40059814787480247</v>
      </c>
      <c r="U4" s="85">
        <v>2.516992204028666</v>
      </c>
      <c r="V4" s="85">
        <v>0.9486807771252995</v>
      </c>
      <c r="W4" s="85">
        <v>-1.5656995078055242</v>
      </c>
      <c r="X4" s="85">
        <v>-1.7945843571114288</v>
      </c>
      <c r="Y4" s="50" t="s">
        <v>69</v>
      </c>
      <c r="Z4" s="50" t="s">
        <v>69</v>
      </c>
      <c r="AA4" s="50" t="s">
        <v>69</v>
      </c>
      <c r="AB4" s="50" t="s">
        <v>69</v>
      </c>
      <c r="AC4" s="34" t="str">
        <f t="shared" ref="AC4:AP4" si="4">LET(
  skater, IFERROR(INDEX(AllProj, MATCH($E4, AllProjNames, 0), MATCH(AC$2, AllProjCats, 0) + 1), ""),
  goalie, IFERROR(INDEX(AllGProj, MATCH($E4, AllGProjNames, 0), MATCH(AC$2, AllGProjCats, 0) + 1), ""),
  val, IF(skater &lt;&gt; "", skater, goalie),
  IF(OR($E4="", AC$2="", val=""), "", val * AC$1)
)</f>
        <v/>
      </c>
      <c r="AD4" s="34" t="str">
        <f t="shared" si="4"/>
        <v/>
      </c>
      <c r="AE4" s="34" t="str">
        <f t="shared" si="4"/>
        <v/>
      </c>
      <c r="AF4" s="34" t="str">
        <f t="shared" si="4"/>
        <v/>
      </c>
      <c r="AG4" s="34" t="str">
        <f t="shared" si="4"/>
        <v/>
      </c>
      <c r="AH4" s="34" t="str">
        <f t="shared" si="4"/>
        <v/>
      </c>
      <c r="AI4" s="34" t="str">
        <f t="shared" si="4"/>
        <v/>
      </c>
      <c r="AJ4" s="34" t="str">
        <f t="shared" si="4"/>
        <v/>
      </c>
      <c r="AK4" s="34" t="str">
        <f t="shared" si="4"/>
        <v/>
      </c>
      <c r="AL4" s="34" t="str">
        <f t="shared" si="4"/>
        <v/>
      </c>
      <c r="AM4" s="34" t="str">
        <f t="shared" si="4"/>
        <v/>
      </c>
      <c r="AN4" s="34" t="str">
        <f t="shared" si="4"/>
        <v/>
      </c>
      <c r="AO4" s="34" t="str">
        <f t="shared" si="4"/>
        <v/>
      </c>
      <c r="AP4" s="34" t="str">
        <f t="shared" si="4"/>
        <v/>
      </c>
      <c r="AQ4" s="76" t="s">
        <v>26</v>
      </c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8"/>
    </row>
    <row r="5">
      <c r="A5" s="41" t="s">
        <v>69</v>
      </c>
      <c r="B5" s="41" t="b">
        <v>0</v>
      </c>
      <c r="C5" s="41" t="b">
        <f t="shared" si="3"/>
        <v>1</v>
      </c>
      <c r="D5" s="42" t="s">
        <v>827</v>
      </c>
      <c r="E5" s="43" t="s">
        <v>853</v>
      </c>
      <c r="F5" s="44" t="s">
        <v>854</v>
      </c>
      <c r="G5" s="29" t="s">
        <v>832</v>
      </c>
      <c r="H5" s="32">
        <v>10.23229850071362</v>
      </c>
      <c r="I5" s="32">
        <v>15.674436109441476</v>
      </c>
      <c r="J5" s="45" t="s">
        <v>855</v>
      </c>
      <c r="K5" s="29">
        <v>33.2</v>
      </c>
      <c r="L5" s="41">
        <v>80.76147058823528</v>
      </c>
      <c r="M5" s="46">
        <v>16.0</v>
      </c>
      <c r="N5" s="46">
        <v>6.0</v>
      </c>
      <c r="O5" s="47">
        <v>2.4128284710735497</v>
      </c>
      <c r="P5" s="47">
        <v>4.34608247780454</v>
      </c>
      <c r="Q5" s="47">
        <v>3.042004532237548</v>
      </c>
      <c r="R5" s="47">
        <v>-0.3910242372808694</v>
      </c>
      <c r="S5" s="47">
        <v>3.3338607871784767</v>
      </c>
      <c r="T5" s="47">
        <v>-0.7664069456495589</v>
      </c>
      <c r="U5" s="47">
        <v>1.932010154780755</v>
      </c>
      <c r="V5" s="47">
        <v>0.0</v>
      </c>
      <c r="W5" s="47">
        <v>-1.9151250797045682</v>
      </c>
      <c r="X5" s="47">
        <v>-1.7619316597262553</v>
      </c>
      <c r="Y5" s="50" t="s">
        <v>69</v>
      </c>
      <c r="Z5" s="50" t="s">
        <v>69</v>
      </c>
      <c r="AA5" s="50" t="s">
        <v>69</v>
      </c>
      <c r="AB5" s="50" t="s">
        <v>69</v>
      </c>
      <c r="AC5" s="34" t="str">
        <f t="shared" ref="AC5:AP5" si="5">LET(
  skater, IFERROR(INDEX(AllProj, MATCH($E5, AllProjNames, 0), MATCH(AC$2, AllProjCats, 0) + 1), ""),
  goalie, IFERROR(INDEX(AllGProj, MATCH($E5, AllGProjNames, 0), MATCH(AC$2, AllGProjCats, 0) + 1), ""),
  val, IF(skater &lt;&gt; "", skater, goalie),
  IF(OR($E5="", AC$2="", val=""), "", val * AC$1)
)</f>
        <v/>
      </c>
      <c r="AD5" s="34" t="str">
        <f t="shared" si="5"/>
        <v/>
      </c>
      <c r="AE5" s="34" t="str">
        <f t="shared" si="5"/>
        <v/>
      </c>
      <c r="AF5" s="34" t="str">
        <f t="shared" si="5"/>
        <v/>
      </c>
      <c r="AG5" s="34" t="str">
        <f t="shared" si="5"/>
        <v/>
      </c>
      <c r="AH5" s="34" t="str">
        <f t="shared" si="5"/>
        <v/>
      </c>
      <c r="AI5" s="34" t="str">
        <f t="shared" si="5"/>
        <v/>
      </c>
      <c r="AJ5" s="34" t="str">
        <f t="shared" si="5"/>
        <v/>
      </c>
      <c r="AK5" s="34" t="str">
        <f t="shared" si="5"/>
        <v/>
      </c>
      <c r="AL5" s="34" t="str">
        <f t="shared" si="5"/>
        <v/>
      </c>
      <c r="AM5" s="34" t="str">
        <f t="shared" si="5"/>
        <v/>
      </c>
      <c r="AN5" s="34" t="str">
        <f t="shared" si="5"/>
        <v/>
      </c>
      <c r="AO5" s="34" t="str">
        <f t="shared" si="5"/>
        <v/>
      </c>
      <c r="AP5" s="34" t="str">
        <f t="shared" si="5"/>
        <v/>
      </c>
      <c r="AQ5" s="76" t="s">
        <v>27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8"/>
    </row>
    <row r="6">
      <c r="A6" s="79" t="s">
        <v>69</v>
      </c>
      <c r="B6" s="79" t="b">
        <v>0</v>
      </c>
      <c r="C6" s="79" t="b">
        <f t="shared" si="3"/>
        <v>1</v>
      </c>
      <c r="D6" s="80" t="s">
        <v>773</v>
      </c>
      <c r="E6" s="81" t="s">
        <v>856</v>
      </c>
      <c r="F6" s="82" t="s">
        <v>849</v>
      </c>
      <c r="G6" s="35" t="s">
        <v>830</v>
      </c>
      <c r="H6" s="37">
        <v>9.871539608504746</v>
      </c>
      <c r="I6" s="37">
        <v>15.259419733417484</v>
      </c>
      <c r="J6" s="83" t="s">
        <v>857</v>
      </c>
      <c r="K6" s="35">
        <v>30.9</v>
      </c>
      <c r="L6" s="79">
        <v>77.95294117647059</v>
      </c>
      <c r="M6" s="84">
        <v>29.0</v>
      </c>
      <c r="N6" s="84">
        <v>6.0</v>
      </c>
      <c r="O6" s="85">
        <v>2.8808093194723083</v>
      </c>
      <c r="P6" s="85">
        <v>2.6307824252156644</v>
      </c>
      <c r="Q6" s="85">
        <v>2.223532334603014</v>
      </c>
      <c r="R6" s="85">
        <v>-0.5078501568690805</v>
      </c>
      <c r="S6" s="85">
        <v>3.390850015958371</v>
      </c>
      <c r="T6" s="85">
        <v>-0.42398669803117184</v>
      </c>
      <c r="U6" s="85">
        <v>1.2766833126096304</v>
      </c>
      <c r="V6" s="85">
        <v>2.228375120841333</v>
      </c>
      <c r="W6" s="85">
        <v>-1.8387466686089526</v>
      </c>
      <c r="X6" s="85">
        <v>-1.988909396686372</v>
      </c>
      <c r="Y6" s="50" t="s">
        <v>69</v>
      </c>
      <c r="Z6" s="50" t="s">
        <v>69</v>
      </c>
      <c r="AA6" s="50" t="s">
        <v>69</v>
      </c>
      <c r="AB6" s="50" t="s">
        <v>69</v>
      </c>
      <c r="AC6" s="34" t="str">
        <f t="shared" ref="AC6:AP6" si="6">LET(
  skater, IFERROR(INDEX(AllProj, MATCH($E6, AllProjNames, 0), MATCH(AC$2, AllProjCats, 0) + 1), ""),
  goalie, IFERROR(INDEX(AllGProj, MATCH($E6, AllGProjNames, 0), MATCH(AC$2, AllGProjCats, 0) + 1), ""),
  val, IF(skater &lt;&gt; "", skater, goalie),
  IF(OR($E6="", AC$2="", val=""), "", val * AC$1)
)</f>
        <v/>
      </c>
      <c r="AD6" s="34" t="str">
        <f t="shared" si="6"/>
        <v/>
      </c>
      <c r="AE6" s="34" t="str">
        <f t="shared" si="6"/>
        <v/>
      </c>
      <c r="AF6" s="34" t="str">
        <f t="shared" si="6"/>
        <v/>
      </c>
      <c r="AG6" s="34" t="str">
        <f t="shared" si="6"/>
        <v/>
      </c>
      <c r="AH6" s="34" t="str">
        <f t="shared" si="6"/>
        <v/>
      </c>
      <c r="AI6" s="34" t="str">
        <f t="shared" si="6"/>
        <v/>
      </c>
      <c r="AJ6" s="34" t="str">
        <f t="shared" si="6"/>
        <v/>
      </c>
      <c r="AK6" s="34" t="str">
        <f t="shared" si="6"/>
        <v/>
      </c>
      <c r="AL6" s="34" t="str">
        <f t="shared" si="6"/>
        <v/>
      </c>
      <c r="AM6" s="34" t="str">
        <f t="shared" si="6"/>
        <v/>
      </c>
      <c r="AN6" s="34" t="str">
        <f t="shared" si="6"/>
        <v/>
      </c>
      <c r="AO6" s="34" t="str">
        <f t="shared" si="6"/>
        <v/>
      </c>
      <c r="AP6" s="34" t="str">
        <f t="shared" si="6"/>
        <v/>
      </c>
      <c r="AQ6" s="76" t="s">
        <v>28</v>
      </c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8"/>
    </row>
    <row r="7">
      <c r="A7" s="41" t="s">
        <v>69</v>
      </c>
      <c r="B7" s="41" t="b">
        <v>0</v>
      </c>
      <c r="C7" s="41" t="b">
        <f t="shared" si="3"/>
        <v>1</v>
      </c>
      <c r="D7" s="42" t="s">
        <v>502</v>
      </c>
      <c r="E7" s="43" t="s">
        <v>928</v>
      </c>
      <c r="F7" s="44" t="s">
        <v>930</v>
      </c>
      <c r="G7" s="29" t="s">
        <v>830</v>
      </c>
      <c r="H7" s="32">
        <v>8.184841571658017</v>
      </c>
      <c r="I7" s="32">
        <v>13.572721696570756</v>
      </c>
      <c r="J7" s="45" t="s">
        <v>935</v>
      </c>
      <c r="K7" s="29">
        <v>27.0</v>
      </c>
      <c r="L7" s="41">
        <v>77.82058823529412</v>
      </c>
      <c r="M7" s="46">
        <v>29.0</v>
      </c>
      <c r="N7" s="46">
        <v>7.0</v>
      </c>
      <c r="O7" s="47">
        <v>1.2211379641988767</v>
      </c>
      <c r="P7" s="47">
        <v>0.2504480217732467</v>
      </c>
      <c r="Q7" s="47">
        <v>0.6237522071129598</v>
      </c>
      <c r="R7" s="47">
        <v>3.1048765865370482</v>
      </c>
      <c r="S7" s="47">
        <v>0.7660800417941629</v>
      </c>
      <c r="T7" s="47">
        <v>-0.7172162145443274</v>
      </c>
      <c r="U7" s="47">
        <v>2.746736170862057</v>
      </c>
      <c r="V7" s="47">
        <v>0.0</v>
      </c>
      <c r="W7" s="47">
        <v>1.9740337558761956</v>
      </c>
      <c r="X7" s="47">
        <v>-1.7850069619522018</v>
      </c>
      <c r="Y7" s="50" t="s">
        <v>69</v>
      </c>
      <c r="Z7" s="50" t="s">
        <v>69</v>
      </c>
      <c r="AA7" s="50" t="s">
        <v>69</v>
      </c>
      <c r="AB7" s="50" t="s">
        <v>69</v>
      </c>
      <c r="AC7" s="34" t="str">
        <f t="shared" ref="AC7:AP7" si="7">LET(
  skater, IFERROR(INDEX(AllProj, MATCH($E7, AllProjNames, 0), MATCH(AC$2, AllProjCats, 0) + 1), ""),
  goalie, IFERROR(INDEX(AllGProj, MATCH($E7, AllGProjNames, 0), MATCH(AC$2, AllGProjCats, 0) + 1), ""),
  val, IF(skater &lt;&gt; "", skater, goalie),
  IF(OR($E7="", AC$2="", val=""), "", val * AC$1)
)</f>
        <v/>
      </c>
      <c r="AD7" s="34" t="str">
        <f t="shared" si="7"/>
        <v/>
      </c>
      <c r="AE7" s="34" t="str">
        <f t="shared" si="7"/>
        <v/>
      </c>
      <c r="AF7" s="34" t="str">
        <f t="shared" si="7"/>
        <v/>
      </c>
      <c r="AG7" s="34" t="str">
        <f t="shared" si="7"/>
        <v/>
      </c>
      <c r="AH7" s="34" t="str">
        <f t="shared" si="7"/>
        <v/>
      </c>
      <c r="AI7" s="34" t="str">
        <f t="shared" si="7"/>
        <v/>
      </c>
      <c r="AJ7" s="34" t="str">
        <f t="shared" si="7"/>
        <v/>
      </c>
      <c r="AK7" s="34" t="str">
        <f t="shared" si="7"/>
        <v/>
      </c>
      <c r="AL7" s="34" t="str">
        <f t="shared" si="7"/>
        <v/>
      </c>
      <c r="AM7" s="34" t="str">
        <f t="shared" si="7"/>
        <v/>
      </c>
      <c r="AN7" s="34" t="str">
        <f t="shared" si="7"/>
        <v/>
      </c>
      <c r="AO7" s="34" t="str">
        <f t="shared" si="7"/>
        <v/>
      </c>
      <c r="AP7" s="34" t="str">
        <f t="shared" si="7"/>
        <v/>
      </c>
      <c r="AQ7" s="76" t="s">
        <v>29</v>
      </c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8"/>
    </row>
    <row r="8">
      <c r="A8" s="79" t="s">
        <v>69</v>
      </c>
      <c r="B8" s="79" t="b">
        <v>0</v>
      </c>
      <c r="C8" s="79" t="b">
        <f t="shared" si="3"/>
        <v>1</v>
      </c>
      <c r="D8" s="80" t="s">
        <v>824</v>
      </c>
      <c r="E8" s="81" t="s">
        <v>1041</v>
      </c>
      <c r="F8" s="82" t="s">
        <v>1043</v>
      </c>
      <c r="G8" s="35" t="s">
        <v>284</v>
      </c>
      <c r="H8" s="37">
        <v>7.763699217159989</v>
      </c>
      <c r="I8" s="37">
        <v>12.801765237343073</v>
      </c>
      <c r="J8" s="83" t="s">
        <v>1048</v>
      </c>
      <c r="K8" s="35">
        <v>29.9</v>
      </c>
      <c r="L8" s="79">
        <v>78.47455882352942</v>
      </c>
      <c r="M8" s="84">
        <v>28.0</v>
      </c>
      <c r="N8" s="84">
        <v>6.0</v>
      </c>
      <c r="O8" s="85">
        <v>1.4217886937589694</v>
      </c>
      <c r="P8" s="85">
        <v>2.3391319834912823</v>
      </c>
      <c r="Q8" s="85">
        <v>2.2457452478768754</v>
      </c>
      <c r="R8" s="85">
        <v>-1.721744037824786</v>
      </c>
      <c r="S8" s="85">
        <v>2.036011454151941</v>
      </c>
      <c r="T8" s="85">
        <v>0.5785377253333976</v>
      </c>
      <c r="U8" s="85">
        <v>2.481601713711307</v>
      </c>
      <c r="V8" s="85">
        <v>1.536500914248712</v>
      </c>
      <c r="W8" s="85">
        <v>-1.957799696664236</v>
      </c>
      <c r="X8" s="85">
        <v>-1.1960747809234744</v>
      </c>
      <c r="Y8" s="50" t="s">
        <v>69</v>
      </c>
      <c r="Z8" s="50" t="s">
        <v>69</v>
      </c>
      <c r="AA8" s="50" t="s">
        <v>69</v>
      </c>
      <c r="AB8" s="50" t="s">
        <v>69</v>
      </c>
      <c r="AC8" s="34" t="str">
        <f t="shared" ref="AC8:AP8" si="8">LET(
  skater, IFERROR(INDEX(AllProj, MATCH($E8, AllProjNames, 0), MATCH(AC$2, AllProjCats, 0) + 1), ""),
  goalie, IFERROR(INDEX(AllGProj, MATCH($E8, AllGProjNames, 0), MATCH(AC$2, AllGProjCats, 0) + 1), ""),
  val, IF(skater &lt;&gt; "", skater, goalie),
  IF(OR($E8="", AC$2="", val=""), "", val * AC$1)
)</f>
        <v/>
      </c>
      <c r="AD8" s="34" t="str">
        <f t="shared" si="8"/>
        <v/>
      </c>
      <c r="AE8" s="34" t="str">
        <f t="shared" si="8"/>
        <v/>
      </c>
      <c r="AF8" s="34" t="str">
        <f t="shared" si="8"/>
        <v/>
      </c>
      <c r="AG8" s="34" t="str">
        <f t="shared" si="8"/>
        <v/>
      </c>
      <c r="AH8" s="34" t="str">
        <f t="shared" si="8"/>
        <v/>
      </c>
      <c r="AI8" s="34" t="str">
        <f t="shared" si="8"/>
        <v/>
      </c>
      <c r="AJ8" s="34" t="str">
        <f t="shared" si="8"/>
        <v/>
      </c>
      <c r="AK8" s="34" t="str">
        <f t="shared" si="8"/>
        <v/>
      </c>
      <c r="AL8" s="34" t="str">
        <f t="shared" si="8"/>
        <v/>
      </c>
      <c r="AM8" s="34" t="str">
        <f t="shared" si="8"/>
        <v/>
      </c>
      <c r="AN8" s="34" t="str">
        <f t="shared" si="8"/>
        <v/>
      </c>
      <c r="AO8" s="34" t="str">
        <f t="shared" si="8"/>
        <v/>
      </c>
      <c r="AP8" s="34" t="str">
        <f t="shared" si="8"/>
        <v/>
      </c>
      <c r="AQ8" s="76" t="s">
        <v>30</v>
      </c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8"/>
    </row>
    <row r="9">
      <c r="A9" s="41" t="s">
        <v>69</v>
      </c>
      <c r="B9" s="41" t="b">
        <v>0</v>
      </c>
      <c r="C9" s="41" t="b">
        <f t="shared" si="3"/>
        <v>1</v>
      </c>
      <c r="D9" s="42" t="s">
        <v>826</v>
      </c>
      <c r="E9" s="43" t="s">
        <v>1167</v>
      </c>
      <c r="F9" s="44" t="s">
        <v>279</v>
      </c>
      <c r="G9" s="29" t="s">
        <v>837</v>
      </c>
      <c r="H9" s="32">
        <v>7.658699583368087</v>
      </c>
      <c r="I9" s="32">
        <v>13.188558355296987</v>
      </c>
      <c r="J9" s="45" t="s">
        <v>1172</v>
      </c>
      <c r="K9" s="29">
        <v>27.9</v>
      </c>
      <c r="L9" s="41">
        <v>81.00220588235294</v>
      </c>
      <c r="M9" s="46">
        <v>34.0</v>
      </c>
      <c r="N9" s="46">
        <v>7.0</v>
      </c>
      <c r="O9" s="47">
        <v>0.2490673540471721</v>
      </c>
      <c r="P9" s="47">
        <v>2.6617060408366795</v>
      </c>
      <c r="Q9" s="47">
        <v>3.2021492007004118</v>
      </c>
      <c r="R9" s="47">
        <v>-1.4937141318574851</v>
      </c>
      <c r="S9" s="47">
        <v>2.2985638193411146</v>
      </c>
      <c r="T9" s="47">
        <v>-0.04146466950389072</v>
      </c>
      <c r="U9" s="47">
        <v>1.3874201709977838</v>
      </c>
      <c r="V9" s="47">
        <v>0.0</v>
      </c>
      <c r="W9" s="47">
        <v>-1.7749024766734585</v>
      </c>
      <c r="X9" s="47">
        <v>1.1698742754797598</v>
      </c>
      <c r="Y9" s="50" t="s">
        <v>69</v>
      </c>
      <c r="Z9" s="50" t="s">
        <v>69</v>
      </c>
      <c r="AA9" s="50" t="s">
        <v>69</v>
      </c>
      <c r="AB9" s="50" t="s">
        <v>69</v>
      </c>
      <c r="AC9" s="34" t="str">
        <f t="shared" ref="AC9:AP9" si="9">LET(
  skater, IFERROR(INDEX(AllProj, MATCH($E9, AllProjNames, 0), MATCH(AC$2, AllProjCats, 0) + 1), ""),
  goalie, IFERROR(INDEX(AllGProj, MATCH($E9, AllGProjNames, 0), MATCH(AC$2, AllGProjCats, 0) + 1), ""),
  val, IF(skater &lt;&gt; "", skater, goalie),
  IF(OR($E9="", AC$2="", val=""), "", val * AC$1)
)</f>
        <v/>
      </c>
      <c r="AD9" s="34" t="str">
        <f t="shared" si="9"/>
        <v/>
      </c>
      <c r="AE9" s="34" t="str">
        <f t="shared" si="9"/>
        <v/>
      </c>
      <c r="AF9" s="34" t="str">
        <f t="shared" si="9"/>
        <v/>
      </c>
      <c r="AG9" s="34" t="str">
        <f t="shared" si="9"/>
        <v/>
      </c>
      <c r="AH9" s="34" t="str">
        <f t="shared" si="9"/>
        <v/>
      </c>
      <c r="AI9" s="34" t="str">
        <f t="shared" si="9"/>
        <v/>
      </c>
      <c r="AJ9" s="34" t="str">
        <f t="shared" si="9"/>
        <v/>
      </c>
      <c r="AK9" s="34" t="str">
        <f t="shared" si="9"/>
        <v/>
      </c>
      <c r="AL9" s="34" t="str">
        <f t="shared" si="9"/>
        <v/>
      </c>
      <c r="AM9" s="34" t="str">
        <f t="shared" si="9"/>
        <v/>
      </c>
      <c r="AN9" s="34" t="str">
        <f t="shared" si="9"/>
        <v/>
      </c>
      <c r="AO9" s="34" t="str">
        <f t="shared" si="9"/>
        <v/>
      </c>
      <c r="AP9" s="34" t="str">
        <f t="shared" si="9"/>
        <v/>
      </c>
      <c r="AQ9" s="76" t="s">
        <v>32</v>
      </c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8"/>
    </row>
    <row r="10">
      <c r="A10" s="79" t="s">
        <v>69</v>
      </c>
      <c r="B10" s="79" t="b">
        <v>0</v>
      </c>
      <c r="C10" s="79" t="b">
        <f t="shared" si="3"/>
        <v>1</v>
      </c>
      <c r="D10" s="80" t="s">
        <v>826</v>
      </c>
      <c r="E10" s="81" t="s">
        <v>1297</v>
      </c>
      <c r="F10" s="82" t="s">
        <v>1299</v>
      </c>
      <c r="G10" s="35" t="s">
        <v>284</v>
      </c>
      <c r="H10" s="37">
        <v>7.107389514988817</v>
      </c>
      <c r="I10" s="37">
        <v>12.145455535171902</v>
      </c>
      <c r="J10" s="83" t="s">
        <v>1304</v>
      </c>
      <c r="K10" s="35">
        <v>20.3</v>
      </c>
      <c r="L10" s="79">
        <v>81.60823529411765</v>
      </c>
      <c r="M10" s="84">
        <v>31.0</v>
      </c>
      <c r="N10" s="84">
        <v>7.0</v>
      </c>
      <c r="O10" s="85">
        <v>2.760485914337498</v>
      </c>
      <c r="P10" s="85">
        <v>2.5373475483045462</v>
      </c>
      <c r="Q10" s="85">
        <v>-1.4763048087110708</v>
      </c>
      <c r="R10" s="85">
        <v>-0.3507397877220061</v>
      </c>
      <c r="S10" s="85">
        <v>2.1792333056617617</v>
      </c>
      <c r="T10" s="85">
        <v>-0.7411546347808676</v>
      </c>
      <c r="U10" s="85">
        <v>3.0181910341185283</v>
      </c>
      <c r="V10" s="85">
        <v>1.7160572853855527</v>
      </c>
      <c r="W10" s="85">
        <v>-1.5742538568815505</v>
      </c>
      <c r="X10" s="85">
        <v>-0.9614724847235743</v>
      </c>
      <c r="Y10" s="50" t="s">
        <v>69</v>
      </c>
      <c r="Z10" s="50" t="s">
        <v>69</v>
      </c>
      <c r="AA10" s="50" t="s">
        <v>69</v>
      </c>
      <c r="AB10" s="50" t="s">
        <v>69</v>
      </c>
      <c r="AC10" s="34" t="str">
        <f t="shared" ref="AC10:AP10" si="10">LET(
  skater, IFERROR(INDEX(AllProj, MATCH($E10, AllProjNames, 0), MATCH(AC$2, AllProjCats, 0) + 1), ""),
  goalie, IFERROR(INDEX(AllGProj, MATCH($E10, AllGProjNames, 0), MATCH(AC$2, AllGProjCats, 0) + 1), ""),
  val, IF(skater &lt;&gt; "", skater, goalie),
  IF(OR($E10="", AC$2="", val=""), "", val * AC$1)
)</f>
        <v/>
      </c>
      <c r="AD10" s="34" t="str">
        <f t="shared" si="10"/>
        <v/>
      </c>
      <c r="AE10" s="34" t="str">
        <f t="shared" si="10"/>
        <v/>
      </c>
      <c r="AF10" s="34" t="str">
        <f t="shared" si="10"/>
        <v/>
      </c>
      <c r="AG10" s="34" t="str">
        <f t="shared" si="10"/>
        <v/>
      </c>
      <c r="AH10" s="34" t="str">
        <f t="shared" si="10"/>
        <v/>
      </c>
      <c r="AI10" s="34" t="str">
        <f t="shared" si="10"/>
        <v/>
      </c>
      <c r="AJ10" s="34" t="str">
        <f t="shared" si="10"/>
        <v/>
      </c>
      <c r="AK10" s="34" t="str">
        <f t="shared" si="10"/>
        <v/>
      </c>
      <c r="AL10" s="34" t="str">
        <f t="shared" si="10"/>
        <v/>
      </c>
      <c r="AM10" s="34" t="str">
        <f t="shared" si="10"/>
        <v/>
      </c>
      <c r="AN10" s="34" t="str">
        <f t="shared" si="10"/>
        <v/>
      </c>
      <c r="AO10" s="34" t="str">
        <f t="shared" si="10"/>
        <v/>
      </c>
      <c r="AP10" s="34" t="str">
        <f t="shared" si="10"/>
        <v/>
      </c>
      <c r="AQ10" s="76" t="s">
        <v>33</v>
      </c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8"/>
    </row>
    <row r="11">
      <c r="A11" s="41" t="s">
        <v>69</v>
      </c>
      <c r="B11" s="41" t="b">
        <v>0</v>
      </c>
      <c r="C11" s="41" t="b">
        <f t="shared" si="3"/>
        <v>1</v>
      </c>
      <c r="D11" s="42" t="s">
        <v>22</v>
      </c>
      <c r="E11" s="43" t="s">
        <v>1400</v>
      </c>
      <c r="F11" s="44" t="s">
        <v>1401</v>
      </c>
      <c r="G11" s="29" t="s">
        <v>284</v>
      </c>
      <c r="H11" s="32">
        <v>6.717993737143817</v>
      </c>
      <c r="I11" s="32">
        <v>11.756059757326902</v>
      </c>
      <c r="J11" s="45" t="s">
        <v>1402</v>
      </c>
      <c r="K11" s="29">
        <v>29.0</v>
      </c>
      <c r="L11" s="41">
        <v>76.40514705882353</v>
      </c>
      <c r="M11" s="46">
        <v>25.0</v>
      </c>
      <c r="N11" s="46">
        <v>7.0</v>
      </c>
      <c r="O11" s="47">
        <v>2.816127465131218</v>
      </c>
      <c r="P11" s="47">
        <v>0.6372605769505756</v>
      </c>
      <c r="Q11" s="47">
        <v>-0.04799214609486553</v>
      </c>
      <c r="R11" s="47">
        <v>-1.4931878579498703</v>
      </c>
      <c r="S11" s="47">
        <v>1.129032635471388</v>
      </c>
      <c r="T11" s="47">
        <v>-0.4161755789513003</v>
      </c>
      <c r="U11" s="47">
        <v>3.180124938882018</v>
      </c>
      <c r="V11" s="47">
        <v>2.1966512939079204</v>
      </c>
      <c r="W11" s="47">
        <v>-1.4619676070847842</v>
      </c>
      <c r="X11" s="47">
        <v>0.17812001688151743</v>
      </c>
      <c r="Y11" s="50" t="s">
        <v>69</v>
      </c>
      <c r="Z11" s="50" t="s">
        <v>69</v>
      </c>
      <c r="AA11" s="50" t="s">
        <v>69</v>
      </c>
      <c r="AB11" s="50" t="s">
        <v>69</v>
      </c>
      <c r="AC11" s="34" t="str">
        <f t="shared" ref="AC11:AP11" si="11">LET(
  skater, IFERROR(INDEX(AllProj, MATCH($E11, AllProjNames, 0), MATCH(AC$2, AllProjCats, 0) + 1), ""),
  goalie, IFERROR(INDEX(AllGProj, MATCH($E11, AllGProjNames, 0), MATCH(AC$2, AllGProjCats, 0) + 1), ""),
  val, IF(skater &lt;&gt; "", skater, goalie),
  IF(OR($E11="", AC$2="", val=""), "", val * AC$1)
)</f>
        <v/>
      </c>
      <c r="AD11" s="34" t="str">
        <f t="shared" si="11"/>
        <v/>
      </c>
      <c r="AE11" s="34" t="str">
        <f t="shared" si="11"/>
        <v/>
      </c>
      <c r="AF11" s="34" t="str">
        <f t="shared" si="11"/>
        <v/>
      </c>
      <c r="AG11" s="34" t="str">
        <f t="shared" si="11"/>
        <v/>
      </c>
      <c r="AH11" s="34" t="str">
        <f t="shared" si="11"/>
        <v/>
      </c>
      <c r="AI11" s="34" t="str">
        <f t="shared" si="11"/>
        <v/>
      </c>
      <c r="AJ11" s="34" t="str">
        <f t="shared" si="11"/>
        <v/>
      </c>
      <c r="AK11" s="34" t="str">
        <f t="shared" si="11"/>
        <v/>
      </c>
      <c r="AL11" s="34" t="str">
        <f t="shared" si="11"/>
        <v/>
      </c>
      <c r="AM11" s="34" t="str">
        <f t="shared" si="11"/>
        <v/>
      </c>
      <c r="AN11" s="34" t="str">
        <f t="shared" si="11"/>
        <v/>
      </c>
      <c r="AO11" s="34" t="str">
        <f t="shared" si="11"/>
        <v/>
      </c>
      <c r="AP11" s="34" t="str">
        <f t="shared" si="11"/>
        <v/>
      </c>
      <c r="AQ11" s="76" t="s">
        <v>34</v>
      </c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8"/>
    </row>
    <row r="12">
      <c r="A12" s="79" t="s">
        <v>69</v>
      </c>
      <c r="B12" s="79" t="b">
        <v>0</v>
      </c>
      <c r="C12" s="79" t="b">
        <f t="shared" si="3"/>
        <v>1</v>
      </c>
      <c r="D12" s="80" t="s">
        <v>502</v>
      </c>
      <c r="E12" s="81" t="s">
        <v>1403</v>
      </c>
      <c r="F12" s="82" t="s">
        <v>854</v>
      </c>
      <c r="G12" s="35" t="s">
        <v>836</v>
      </c>
      <c r="H12" s="37">
        <v>6.467006220265363</v>
      </c>
      <c r="I12" s="37">
        <v>11.90914382899322</v>
      </c>
      <c r="J12" s="83" t="s">
        <v>1404</v>
      </c>
      <c r="K12" s="35">
        <v>28.1</v>
      </c>
      <c r="L12" s="79">
        <v>80.4254411764706</v>
      </c>
      <c r="M12" s="84">
        <v>16.0</v>
      </c>
      <c r="N12" s="84">
        <v>6.0</v>
      </c>
      <c r="O12" s="85">
        <v>2.0021345494680753</v>
      </c>
      <c r="P12" s="85">
        <v>1.1574303492242004</v>
      </c>
      <c r="Q12" s="85">
        <v>3.159420467158063</v>
      </c>
      <c r="R12" s="85">
        <v>0.7572693932652896</v>
      </c>
      <c r="S12" s="85">
        <v>-0.07163221135816406</v>
      </c>
      <c r="T12" s="85">
        <v>0.9832341316182881</v>
      </c>
      <c r="U12" s="85">
        <v>1.3490961178799252</v>
      </c>
      <c r="V12" s="85">
        <v>0.0</v>
      </c>
      <c r="W12" s="85">
        <v>-1.594107863069647</v>
      </c>
      <c r="X12" s="85">
        <v>-1.2758387139206666</v>
      </c>
      <c r="Y12" s="50" t="s">
        <v>69</v>
      </c>
      <c r="Z12" s="50" t="s">
        <v>69</v>
      </c>
      <c r="AA12" s="50" t="s">
        <v>69</v>
      </c>
      <c r="AB12" s="50" t="s">
        <v>69</v>
      </c>
      <c r="AC12" s="34" t="str">
        <f t="shared" ref="AC12:AP12" si="12">LET(
  skater, IFERROR(INDEX(AllProj, MATCH($E12, AllProjNames, 0), MATCH(AC$2, AllProjCats, 0) + 1), ""),
  goalie, IFERROR(INDEX(AllGProj, MATCH($E12, AllGProjNames, 0), MATCH(AC$2, AllGProjCats, 0) + 1), ""),
  val, IF(skater &lt;&gt; "", skater, goalie),
  IF(OR($E12="", AC$2="", val=""), "", val * AC$1)
)</f>
        <v/>
      </c>
      <c r="AD12" s="34" t="str">
        <f t="shared" si="12"/>
        <v/>
      </c>
      <c r="AE12" s="34" t="str">
        <f t="shared" si="12"/>
        <v/>
      </c>
      <c r="AF12" s="34" t="str">
        <f t="shared" si="12"/>
        <v/>
      </c>
      <c r="AG12" s="34" t="str">
        <f t="shared" si="12"/>
        <v/>
      </c>
      <c r="AH12" s="34" t="str">
        <f t="shared" si="12"/>
        <v/>
      </c>
      <c r="AI12" s="34" t="str">
        <f t="shared" si="12"/>
        <v/>
      </c>
      <c r="AJ12" s="34" t="str">
        <f t="shared" si="12"/>
        <v/>
      </c>
      <c r="AK12" s="34" t="str">
        <f t="shared" si="12"/>
        <v/>
      </c>
      <c r="AL12" s="34" t="str">
        <f t="shared" si="12"/>
        <v/>
      </c>
      <c r="AM12" s="34" t="str">
        <f t="shared" si="12"/>
        <v/>
      </c>
      <c r="AN12" s="34" t="str">
        <f t="shared" si="12"/>
        <v/>
      </c>
      <c r="AO12" s="34" t="str">
        <f t="shared" si="12"/>
        <v/>
      </c>
      <c r="AP12" s="34" t="str">
        <f t="shared" si="12"/>
        <v/>
      </c>
      <c r="AQ12" s="76" t="s">
        <v>35</v>
      </c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8"/>
    </row>
    <row r="13">
      <c r="A13" s="41" t="s">
        <v>69</v>
      </c>
      <c r="B13" s="41" t="b">
        <v>0</v>
      </c>
      <c r="C13" s="41" t="b">
        <f t="shared" si="3"/>
        <v>1</v>
      </c>
      <c r="D13" s="42" t="s">
        <v>824</v>
      </c>
      <c r="E13" s="43" t="s">
        <v>1410</v>
      </c>
      <c r="F13" s="44" t="s">
        <v>1411</v>
      </c>
      <c r="G13" s="29" t="s">
        <v>6</v>
      </c>
      <c r="H13" s="32">
        <v>6.455623312617196</v>
      </c>
      <c r="I13" s="32">
        <v>10.79384629108731</v>
      </c>
      <c r="J13" s="45" t="s">
        <v>1412</v>
      </c>
      <c r="K13" s="29">
        <v>29.6</v>
      </c>
      <c r="L13" s="41">
        <v>56.4</v>
      </c>
      <c r="M13" s="46">
        <v>33.0</v>
      </c>
      <c r="N13" s="46">
        <v>8.0</v>
      </c>
      <c r="O13" s="94" t="s">
        <v>69</v>
      </c>
      <c r="P13" s="94" t="s">
        <v>69</v>
      </c>
      <c r="Q13" s="94" t="s">
        <v>69</v>
      </c>
      <c r="R13" s="94" t="s">
        <v>69</v>
      </c>
      <c r="S13" s="94" t="s">
        <v>69</v>
      </c>
      <c r="T13" s="94" t="s">
        <v>69</v>
      </c>
      <c r="U13" s="94" t="s">
        <v>69</v>
      </c>
      <c r="V13" s="94" t="s">
        <v>69</v>
      </c>
      <c r="W13" s="94" t="s">
        <v>69</v>
      </c>
      <c r="X13" s="94" t="s">
        <v>69</v>
      </c>
      <c r="Y13" s="95">
        <v>1.8745719704079356</v>
      </c>
      <c r="Z13" s="95">
        <v>1.8637553361078611</v>
      </c>
      <c r="AA13" s="95">
        <v>2.1818723268232665</v>
      </c>
      <c r="AB13" s="95">
        <v>0.535423679278133</v>
      </c>
      <c r="AC13" s="34" t="str">
        <f t="shared" ref="AC13:AP13" si="13">LET(
  skater, IFERROR(INDEX(AllProj, MATCH($E13, AllProjNames, 0), MATCH(AC$2, AllProjCats, 0) + 1), ""),
  goalie, IFERROR(INDEX(AllGProj, MATCH($E13, AllGProjNames, 0), MATCH(AC$2, AllGProjCats, 0) + 1), ""),
  val, IF(skater &lt;&gt; "", skater, goalie),
  IF(OR($E13="", AC$2="", val=""), "", val * AC$1)
)</f>
        <v/>
      </c>
      <c r="AD13" s="34" t="str">
        <f t="shared" si="13"/>
        <v/>
      </c>
      <c r="AE13" s="34" t="str">
        <f t="shared" si="13"/>
        <v/>
      </c>
      <c r="AF13" s="34" t="str">
        <f t="shared" si="13"/>
        <v/>
      </c>
      <c r="AG13" s="34" t="str">
        <f t="shared" si="13"/>
        <v/>
      </c>
      <c r="AH13" s="34" t="str">
        <f t="shared" si="13"/>
        <v/>
      </c>
      <c r="AI13" s="34" t="str">
        <f t="shared" si="13"/>
        <v/>
      </c>
      <c r="AJ13" s="34" t="str">
        <f t="shared" si="13"/>
        <v/>
      </c>
      <c r="AK13" s="34" t="str">
        <f t="shared" si="13"/>
        <v/>
      </c>
      <c r="AL13" s="34" t="str">
        <f t="shared" si="13"/>
        <v/>
      </c>
      <c r="AM13" s="34" t="str">
        <f t="shared" si="13"/>
        <v/>
      </c>
      <c r="AN13" s="34" t="str">
        <f t="shared" si="13"/>
        <v/>
      </c>
      <c r="AO13" s="34" t="str">
        <f t="shared" si="13"/>
        <v/>
      </c>
      <c r="AP13" s="34" t="str">
        <f t="shared" si="13"/>
        <v/>
      </c>
      <c r="AQ13" s="76" t="s">
        <v>36</v>
      </c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8"/>
    </row>
    <row r="14">
      <c r="A14" s="79" t="s">
        <v>69</v>
      </c>
      <c r="B14" s="79" t="b">
        <v>0</v>
      </c>
      <c r="C14" s="79" t="b">
        <f t="shared" si="3"/>
        <v>1</v>
      </c>
      <c r="D14" s="80" t="s">
        <v>254</v>
      </c>
      <c r="E14" s="81" t="s">
        <v>1413</v>
      </c>
      <c r="F14" s="82" t="s">
        <v>849</v>
      </c>
      <c r="G14" s="35" t="s">
        <v>837</v>
      </c>
      <c r="H14" s="37">
        <v>6.439618865716711</v>
      </c>
      <c r="I14" s="37">
        <v>11.969477637645612</v>
      </c>
      <c r="J14" s="83" t="s">
        <v>1414</v>
      </c>
      <c r="K14" s="35">
        <v>26.9</v>
      </c>
      <c r="L14" s="79">
        <v>83.57588235294118</v>
      </c>
      <c r="M14" s="84">
        <v>29.0</v>
      </c>
      <c r="N14" s="84">
        <v>6.0</v>
      </c>
      <c r="O14" s="85">
        <v>-0.3695578067209339</v>
      </c>
      <c r="P14" s="85">
        <v>2.711639068309754</v>
      </c>
      <c r="Q14" s="85">
        <v>2.8945979412619667</v>
      </c>
      <c r="R14" s="85">
        <v>-0.8685750285110599</v>
      </c>
      <c r="S14" s="85">
        <v>2.074770615572833</v>
      </c>
      <c r="T14" s="85">
        <v>-0.01841341560197418</v>
      </c>
      <c r="U14" s="85">
        <v>1.3330760075188348</v>
      </c>
      <c r="V14" s="85">
        <v>0.0</v>
      </c>
      <c r="W14" s="85">
        <v>-1.8084223112514448</v>
      </c>
      <c r="X14" s="85">
        <v>0.49050379513873477</v>
      </c>
      <c r="Y14" s="50" t="s">
        <v>69</v>
      </c>
      <c r="Z14" s="50" t="s">
        <v>69</v>
      </c>
      <c r="AA14" s="50" t="s">
        <v>69</v>
      </c>
      <c r="AB14" s="50" t="s">
        <v>69</v>
      </c>
      <c r="AC14" s="34" t="str">
        <f t="shared" ref="AC14:AP14" si="14">LET(
  skater, IFERROR(INDEX(AllProj, MATCH($E14, AllProjNames, 0), MATCH(AC$2, AllProjCats, 0) + 1), ""),
  goalie, IFERROR(INDEX(AllGProj, MATCH($E14, AllGProjNames, 0), MATCH(AC$2, AllGProjCats, 0) + 1), ""),
  val, IF(skater &lt;&gt; "", skater, goalie),
  IF(OR($E14="", AC$2="", val=""), "", val * AC$1)
)</f>
        <v/>
      </c>
      <c r="AD14" s="34" t="str">
        <f t="shared" si="14"/>
        <v/>
      </c>
      <c r="AE14" s="34" t="str">
        <f t="shared" si="14"/>
        <v/>
      </c>
      <c r="AF14" s="34" t="str">
        <f t="shared" si="14"/>
        <v/>
      </c>
      <c r="AG14" s="34" t="str">
        <f t="shared" si="14"/>
        <v/>
      </c>
      <c r="AH14" s="34" t="str">
        <f t="shared" si="14"/>
        <v/>
      </c>
      <c r="AI14" s="34" t="str">
        <f t="shared" si="14"/>
        <v/>
      </c>
      <c r="AJ14" s="34" t="str">
        <f t="shared" si="14"/>
        <v/>
      </c>
      <c r="AK14" s="34" t="str">
        <f t="shared" si="14"/>
        <v/>
      </c>
      <c r="AL14" s="34" t="str">
        <f t="shared" si="14"/>
        <v/>
      </c>
      <c r="AM14" s="34" t="str">
        <f t="shared" si="14"/>
        <v/>
      </c>
      <c r="AN14" s="34" t="str">
        <f t="shared" si="14"/>
        <v/>
      </c>
      <c r="AO14" s="34" t="str">
        <f t="shared" si="14"/>
        <v/>
      </c>
      <c r="AP14" s="34" t="str">
        <f t="shared" si="14"/>
        <v/>
      </c>
      <c r="AQ14" s="76" t="s">
        <v>37</v>
      </c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8"/>
    </row>
    <row r="15">
      <c r="A15" s="41" t="s">
        <v>69</v>
      </c>
      <c r="B15" s="41" t="b">
        <v>0</v>
      </c>
      <c r="C15" s="41" t="b">
        <f t="shared" si="3"/>
        <v>1</v>
      </c>
      <c r="D15" s="42" t="s">
        <v>254</v>
      </c>
      <c r="E15" s="43" t="s">
        <v>1415</v>
      </c>
      <c r="F15" s="44" t="s">
        <v>1416</v>
      </c>
      <c r="G15" s="29" t="s">
        <v>284</v>
      </c>
      <c r="H15" s="32">
        <v>6.291448235339322</v>
      </c>
      <c r="I15" s="32">
        <v>11.329514255522408</v>
      </c>
      <c r="J15" s="45" t="s">
        <v>1417</v>
      </c>
      <c r="K15" s="29">
        <v>27.1</v>
      </c>
      <c r="L15" s="41">
        <v>83.77</v>
      </c>
      <c r="M15" s="46">
        <v>29.0</v>
      </c>
      <c r="N15" s="46">
        <v>7.0</v>
      </c>
      <c r="O15" s="47">
        <v>1.2120767921852125</v>
      </c>
      <c r="P15" s="47">
        <v>2.29446979999957</v>
      </c>
      <c r="Q15" s="47">
        <v>1.524742369528804</v>
      </c>
      <c r="R15" s="47">
        <v>-1.4698801511352368</v>
      </c>
      <c r="S15" s="47">
        <v>2.4017431142097596</v>
      </c>
      <c r="T15" s="47">
        <v>-0.15279660351538285</v>
      </c>
      <c r="U15" s="47">
        <v>0.4113436551680331</v>
      </c>
      <c r="V15" s="47">
        <v>2.166357129075405</v>
      </c>
      <c r="W15" s="47">
        <v>-1.3132599238368716</v>
      </c>
      <c r="X15" s="47">
        <v>-0.78334794633997</v>
      </c>
      <c r="Y15" s="50" t="s">
        <v>69</v>
      </c>
      <c r="Z15" s="50" t="s">
        <v>69</v>
      </c>
      <c r="AA15" s="50" t="s">
        <v>69</v>
      </c>
      <c r="AB15" s="50" t="s">
        <v>69</v>
      </c>
      <c r="AC15" s="34" t="str">
        <f t="shared" ref="AC15:AP15" si="15">LET(
  skater, IFERROR(INDEX(AllProj, MATCH($E15, AllProjNames, 0), MATCH(AC$2, AllProjCats, 0) + 1), ""),
  goalie, IFERROR(INDEX(AllGProj, MATCH($E15, AllGProjNames, 0), MATCH(AC$2, AllGProjCats, 0) + 1), ""),
  val, IF(skater &lt;&gt; "", skater, goalie),
  IF(OR($E15="", AC$2="", val=""), "", val * AC$1)
)</f>
        <v/>
      </c>
      <c r="AD15" s="34" t="str">
        <f t="shared" si="15"/>
        <v/>
      </c>
      <c r="AE15" s="34" t="str">
        <f t="shared" si="15"/>
        <v/>
      </c>
      <c r="AF15" s="34" t="str">
        <f t="shared" si="15"/>
        <v/>
      </c>
      <c r="AG15" s="34" t="str">
        <f t="shared" si="15"/>
        <v/>
      </c>
      <c r="AH15" s="34" t="str">
        <f t="shared" si="15"/>
        <v/>
      </c>
      <c r="AI15" s="34" t="str">
        <f t="shared" si="15"/>
        <v/>
      </c>
      <c r="AJ15" s="34" t="str">
        <f t="shared" si="15"/>
        <v/>
      </c>
      <c r="AK15" s="34" t="str">
        <f t="shared" si="15"/>
        <v/>
      </c>
      <c r="AL15" s="34" t="str">
        <f t="shared" si="15"/>
        <v/>
      </c>
      <c r="AM15" s="34" t="str">
        <f t="shared" si="15"/>
        <v/>
      </c>
      <c r="AN15" s="34" t="str">
        <f t="shared" si="15"/>
        <v/>
      </c>
      <c r="AO15" s="34" t="str">
        <f t="shared" si="15"/>
        <v/>
      </c>
      <c r="AP15" s="34" t="str">
        <f t="shared" si="15"/>
        <v/>
      </c>
      <c r="AQ15" s="76" t="s">
        <v>38</v>
      </c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8"/>
    </row>
    <row r="16">
      <c r="A16" s="79" t="s">
        <v>69</v>
      </c>
      <c r="B16" s="79" t="b">
        <v>0</v>
      </c>
      <c r="C16" s="79" t="b">
        <f t="shared" si="3"/>
        <v>1</v>
      </c>
      <c r="D16" s="80" t="s">
        <v>826</v>
      </c>
      <c r="E16" s="81" t="s">
        <v>1418</v>
      </c>
      <c r="F16" s="82" t="s">
        <v>1419</v>
      </c>
      <c r="G16" s="35" t="s">
        <v>284</v>
      </c>
      <c r="H16" s="37">
        <v>6.199475728042201</v>
      </c>
      <c r="I16" s="37">
        <v>11.237541748225286</v>
      </c>
      <c r="J16" s="83" t="s">
        <v>1420</v>
      </c>
      <c r="K16" s="35">
        <v>29.1</v>
      </c>
      <c r="L16" s="79">
        <v>81.17970588235295</v>
      </c>
      <c r="M16" s="84">
        <v>23.0</v>
      </c>
      <c r="N16" s="84">
        <v>7.0</v>
      </c>
      <c r="O16" s="85">
        <v>1.1673638199477454</v>
      </c>
      <c r="P16" s="85">
        <v>1.3958380047183043</v>
      </c>
      <c r="Q16" s="85">
        <v>1.0907935618130793</v>
      </c>
      <c r="R16" s="85">
        <v>-0.26209697635497686</v>
      </c>
      <c r="S16" s="85">
        <v>1.3562781800937798</v>
      </c>
      <c r="T16" s="85">
        <v>2.226895324454266</v>
      </c>
      <c r="U16" s="85">
        <v>0.8419864989545881</v>
      </c>
      <c r="V16" s="85">
        <v>1.7068544890038784</v>
      </c>
      <c r="W16" s="85">
        <v>-1.4046397134335726</v>
      </c>
      <c r="X16" s="85">
        <v>-1.91979746115489</v>
      </c>
      <c r="Y16" s="50" t="s">
        <v>69</v>
      </c>
      <c r="Z16" s="50" t="s">
        <v>69</v>
      </c>
      <c r="AA16" s="50" t="s">
        <v>69</v>
      </c>
      <c r="AB16" s="50" t="s">
        <v>69</v>
      </c>
      <c r="AC16" s="34" t="str">
        <f t="shared" ref="AC16:AP16" si="16">LET(
  skater, IFERROR(INDEX(AllProj, MATCH($E16, AllProjNames, 0), MATCH(AC$2, AllProjCats, 0) + 1), ""),
  goalie, IFERROR(INDEX(AllGProj, MATCH($E16, AllGProjNames, 0), MATCH(AC$2, AllGProjCats, 0) + 1), ""),
  val, IF(skater &lt;&gt; "", skater, goalie),
  IF(OR($E16="", AC$2="", val=""), "", val * AC$1)
)</f>
        <v/>
      </c>
      <c r="AD16" s="34" t="str">
        <f t="shared" si="16"/>
        <v/>
      </c>
      <c r="AE16" s="34" t="str">
        <f t="shared" si="16"/>
        <v/>
      </c>
      <c r="AF16" s="34" t="str">
        <f t="shared" si="16"/>
        <v/>
      </c>
      <c r="AG16" s="34" t="str">
        <f t="shared" si="16"/>
        <v/>
      </c>
      <c r="AH16" s="34" t="str">
        <f t="shared" si="16"/>
        <v/>
      </c>
      <c r="AI16" s="34" t="str">
        <f t="shared" si="16"/>
        <v/>
      </c>
      <c r="AJ16" s="34" t="str">
        <f t="shared" si="16"/>
        <v/>
      </c>
      <c r="AK16" s="34" t="str">
        <f t="shared" si="16"/>
        <v/>
      </c>
      <c r="AL16" s="34" t="str">
        <f t="shared" si="16"/>
        <v/>
      </c>
      <c r="AM16" s="34" t="str">
        <f t="shared" si="16"/>
        <v/>
      </c>
      <c r="AN16" s="34" t="str">
        <f t="shared" si="16"/>
        <v/>
      </c>
      <c r="AO16" s="34" t="str">
        <f t="shared" si="16"/>
        <v/>
      </c>
      <c r="AP16" s="34" t="str">
        <f t="shared" si="16"/>
        <v/>
      </c>
      <c r="AQ16" s="76" t="s">
        <v>39</v>
      </c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8"/>
    </row>
    <row r="17">
      <c r="A17" s="41" t="s">
        <v>69</v>
      </c>
      <c r="B17" s="41" t="b">
        <v>0</v>
      </c>
      <c r="C17" s="41" t="b">
        <f t="shared" si="3"/>
        <v>1</v>
      </c>
      <c r="D17" s="42" t="s">
        <v>773</v>
      </c>
      <c r="E17" s="43" t="s">
        <v>1421</v>
      </c>
      <c r="F17" s="44" t="s">
        <v>854</v>
      </c>
      <c r="G17" s="29" t="s">
        <v>6</v>
      </c>
      <c r="H17" s="32">
        <v>6.151307603402573</v>
      </c>
      <c r="I17" s="32">
        <v>10.489530581872687</v>
      </c>
      <c r="J17" s="45" t="s">
        <v>1422</v>
      </c>
      <c r="K17" s="29">
        <v>32.1</v>
      </c>
      <c r="L17" s="41">
        <v>58.4</v>
      </c>
      <c r="M17" s="46">
        <v>16.0</v>
      </c>
      <c r="N17" s="46">
        <v>6.0</v>
      </c>
      <c r="O17" s="94" t="s">
        <v>69</v>
      </c>
      <c r="P17" s="94" t="s">
        <v>69</v>
      </c>
      <c r="Q17" s="94" t="s">
        <v>69</v>
      </c>
      <c r="R17" s="94" t="s">
        <v>69</v>
      </c>
      <c r="S17" s="94" t="s">
        <v>69</v>
      </c>
      <c r="T17" s="94" t="s">
        <v>69</v>
      </c>
      <c r="U17" s="94" t="s">
        <v>69</v>
      </c>
      <c r="V17" s="94" t="s">
        <v>69</v>
      </c>
      <c r="W17" s="94" t="s">
        <v>69</v>
      </c>
      <c r="X17" s="94" t="s">
        <v>69</v>
      </c>
      <c r="Y17" s="95">
        <v>2.263725149771413</v>
      </c>
      <c r="Z17" s="95">
        <v>1.892873184212281</v>
      </c>
      <c r="AA17" s="95">
        <v>1.464949802235589</v>
      </c>
      <c r="AB17" s="95">
        <v>0.5297594671832909</v>
      </c>
      <c r="AC17" s="34" t="str">
        <f t="shared" ref="AC17:AP17" si="17">LET(
  skater, IFERROR(INDEX(AllProj, MATCH($E17, AllProjNames, 0), MATCH(AC$2, AllProjCats, 0) + 1), ""),
  goalie, IFERROR(INDEX(AllGProj, MATCH($E17, AllGProjNames, 0), MATCH(AC$2, AllGProjCats, 0) + 1), ""),
  val, IF(skater &lt;&gt; "", skater, goalie),
  IF(OR($E17="", AC$2="", val=""), "", val * AC$1)
)</f>
        <v/>
      </c>
      <c r="AD17" s="34" t="str">
        <f t="shared" si="17"/>
        <v/>
      </c>
      <c r="AE17" s="34" t="str">
        <f t="shared" si="17"/>
        <v/>
      </c>
      <c r="AF17" s="34" t="str">
        <f t="shared" si="17"/>
        <v/>
      </c>
      <c r="AG17" s="34" t="str">
        <f t="shared" si="17"/>
        <v/>
      </c>
      <c r="AH17" s="34" t="str">
        <f t="shared" si="17"/>
        <v/>
      </c>
      <c r="AI17" s="34" t="str">
        <f t="shared" si="17"/>
        <v/>
      </c>
      <c r="AJ17" s="34" t="str">
        <f t="shared" si="17"/>
        <v/>
      </c>
      <c r="AK17" s="34" t="str">
        <f t="shared" si="17"/>
        <v/>
      </c>
      <c r="AL17" s="34" t="str">
        <f t="shared" si="17"/>
        <v/>
      </c>
      <c r="AM17" s="34" t="str">
        <f t="shared" si="17"/>
        <v/>
      </c>
      <c r="AN17" s="34" t="str">
        <f t="shared" si="17"/>
        <v/>
      </c>
      <c r="AO17" s="34" t="str">
        <f t="shared" si="17"/>
        <v/>
      </c>
      <c r="AP17" s="34" t="str">
        <f t="shared" si="17"/>
        <v/>
      </c>
      <c r="AQ17" s="76" t="s">
        <v>40</v>
      </c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8"/>
    </row>
    <row r="18">
      <c r="A18" s="79" t="s">
        <v>69</v>
      </c>
      <c r="B18" s="79" t="b">
        <v>0</v>
      </c>
      <c r="C18" s="79" t="b">
        <f t="shared" si="3"/>
        <v>1</v>
      </c>
      <c r="D18" s="80" t="s">
        <v>824</v>
      </c>
      <c r="E18" s="81" t="s">
        <v>1423</v>
      </c>
      <c r="F18" s="82" t="s">
        <v>1411</v>
      </c>
      <c r="G18" s="35" t="s">
        <v>832</v>
      </c>
      <c r="H18" s="37">
        <v>6.030752815722314</v>
      </c>
      <c r="I18" s="37">
        <v>11.47289042445017</v>
      </c>
      <c r="J18" s="83" t="s">
        <v>1424</v>
      </c>
      <c r="K18" s="35">
        <v>32.5</v>
      </c>
      <c r="L18" s="79">
        <v>79.35014705882352</v>
      </c>
      <c r="M18" s="84">
        <v>33.0</v>
      </c>
      <c r="N18" s="84">
        <v>8.0</v>
      </c>
      <c r="O18" s="85">
        <v>0.8997908370613434</v>
      </c>
      <c r="P18" s="85">
        <v>-0.1303145489440652</v>
      </c>
      <c r="Q18" s="85">
        <v>0.3570391780859479</v>
      </c>
      <c r="R18" s="85">
        <v>3.510963538740614</v>
      </c>
      <c r="S18" s="85">
        <v>-0.10904605866479396</v>
      </c>
      <c r="T18" s="85">
        <v>0.6569050631233003</v>
      </c>
      <c r="U18" s="85">
        <v>0.01937679281654085</v>
      </c>
      <c r="V18" s="85">
        <v>0.0</v>
      </c>
      <c r="W18" s="85">
        <v>1.5292630673218774</v>
      </c>
      <c r="X18" s="85">
        <v>-0.7032250538184504</v>
      </c>
      <c r="Y18" s="50" t="s">
        <v>69</v>
      </c>
      <c r="Z18" s="50" t="s">
        <v>69</v>
      </c>
      <c r="AA18" s="50" t="s">
        <v>69</v>
      </c>
      <c r="AB18" s="50" t="s">
        <v>69</v>
      </c>
      <c r="AC18" s="34" t="str">
        <f t="shared" ref="AC18:AP18" si="18">LET(
  skater, IFERROR(INDEX(AllProj, MATCH($E18, AllProjNames, 0), MATCH(AC$2, AllProjCats, 0) + 1), ""),
  goalie, IFERROR(INDEX(AllGProj, MATCH($E18, AllGProjNames, 0), MATCH(AC$2, AllGProjCats, 0) + 1), ""),
  val, IF(skater &lt;&gt; "", skater, goalie),
  IF(OR($E18="", AC$2="", val=""), "", val * AC$1)
)</f>
        <v/>
      </c>
      <c r="AD18" s="34" t="str">
        <f t="shared" si="18"/>
        <v/>
      </c>
      <c r="AE18" s="34" t="str">
        <f t="shared" si="18"/>
        <v/>
      </c>
      <c r="AF18" s="34" t="str">
        <f t="shared" si="18"/>
        <v/>
      </c>
      <c r="AG18" s="34" t="str">
        <f t="shared" si="18"/>
        <v/>
      </c>
      <c r="AH18" s="34" t="str">
        <f t="shared" si="18"/>
        <v/>
      </c>
      <c r="AI18" s="34" t="str">
        <f t="shared" si="18"/>
        <v/>
      </c>
      <c r="AJ18" s="34" t="str">
        <f t="shared" si="18"/>
        <v/>
      </c>
      <c r="AK18" s="34" t="str">
        <f t="shared" si="18"/>
        <v/>
      </c>
      <c r="AL18" s="34" t="str">
        <f t="shared" si="18"/>
        <v/>
      </c>
      <c r="AM18" s="34" t="str">
        <f t="shared" si="18"/>
        <v/>
      </c>
      <c r="AN18" s="34" t="str">
        <f t="shared" si="18"/>
        <v/>
      </c>
      <c r="AO18" s="34" t="str">
        <f t="shared" si="18"/>
        <v/>
      </c>
      <c r="AP18" s="34" t="str">
        <f t="shared" si="18"/>
        <v/>
      </c>
      <c r="AQ18" s="76" t="s">
        <v>42</v>
      </c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8"/>
    </row>
    <row r="19">
      <c r="A19" s="41" t="s">
        <v>69</v>
      </c>
      <c r="B19" s="41" t="b">
        <v>0</v>
      </c>
      <c r="C19" s="41" t="b">
        <f t="shared" si="3"/>
        <v>1</v>
      </c>
      <c r="D19" s="42" t="s">
        <v>825</v>
      </c>
      <c r="E19" s="43" t="s">
        <v>1425</v>
      </c>
      <c r="F19" s="44" t="s">
        <v>1426</v>
      </c>
      <c r="G19" s="29" t="s">
        <v>832</v>
      </c>
      <c r="H19" s="32">
        <v>5.588932910020007</v>
      </c>
      <c r="I19" s="32">
        <v>11.031070518747864</v>
      </c>
      <c r="J19" s="45" t="s">
        <v>1427</v>
      </c>
      <c r="K19" s="29">
        <v>30.3</v>
      </c>
      <c r="L19" s="41">
        <v>81.84867647058823</v>
      </c>
      <c r="M19" s="46">
        <v>23.0</v>
      </c>
      <c r="N19" s="46">
        <v>6.0</v>
      </c>
      <c r="O19" s="47">
        <v>2.0272754580946004</v>
      </c>
      <c r="P19" s="47">
        <v>2.6135822018070636</v>
      </c>
      <c r="Q19" s="47">
        <v>-0.5800188207589102</v>
      </c>
      <c r="R19" s="47">
        <v>0.3090169442169672</v>
      </c>
      <c r="S19" s="47">
        <v>1.9016144306570215</v>
      </c>
      <c r="T19" s="47">
        <v>-0.7811265356766948</v>
      </c>
      <c r="U19" s="47">
        <v>3.035803072873275</v>
      </c>
      <c r="V19" s="47">
        <v>0.0</v>
      </c>
      <c r="W19" s="47">
        <v>-1.0967532725519107</v>
      </c>
      <c r="X19" s="47">
        <v>-1.8404605686414064</v>
      </c>
      <c r="Y19" s="50" t="s">
        <v>69</v>
      </c>
      <c r="Z19" s="50" t="s">
        <v>69</v>
      </c>
      <c r="AA19" s="50" t="s">
        <v>69</v>
      </c>
      <c r="AB19" s="50" t="s">
        <v>69</v>
      </c>
      <c r="AC19" s="34" t="str">
        <f t="shared" ref="AC19:AP19" si="19">LET(
  skater, IFERROR(INDEX(AllProj, MATCH($E19, AllProjNames, 0), MATCH(AC$2, AllProjCats, 0) + 1), ""),
  goalie, IFERROR(INDEX(AllGProj, MATCH($E19, AllGProjNames, 0), MATCH(AC$2, AllGProjCats, 0) + 1), ""),
  val, IF(skater &lt;&gt; "", skater, goalie),
  IF(OR($E19="", AC$2="", val=""), "", val * AC$1)
)</f>
        <v/>
      </c>
      <c r="AD19" s="34" t="str">
        <f t="shared" si="19"/>
        <v/>
      </c>
      <c r="AE19" s="34" t="str">
        <f t="shared" si="19"/>
        <v/>
      </c>
      <c r="AF19" s="34" t="str">
        <f t="shared" si="19"/>
        <v/>
      </c>
      <c r="AG19" s="34" t="str">
        <f t="shared" si="19"/>
        <v/>
      </c>
      <c r="AH19" s="34" t="str">
        <f t="shared" si="19"/>
        <v/>
      </c>
      <c r="AI19" s="34" t="str">
        <f t="shared" si="19"/>
        <v/>
      </c>
      <c r="AJ19" s="34" t="str">
        <f t="shared" si="19"/>
        <v/>
      </c>
      <c r="AK19" s="34" t="str">
        <f t="shared" si="19"/>
        <v/>
      </c>
      <c r="AL19" s="34" t="str">
        <f t="shared" si="19"/>
        <v/>
      </c>
      <c r="AM19" s="34" t="str">
        <f t="shared" si="19"/>
        <v/>
      </c>
      <c r="AN19" s="34" t="str">
        <f t="shared" si="19"/>
        <v/>
      </c>
      <c r="AO19" s="34" t="str">
        <f t="shared" si="19"/>
        <v/>
      </c>
      <c r="AP19" s="34" t="str">
        <f t="shared" si="19"/>
        <v/>
      </c>
      <c r="AQ19" s="76" t="s">
        <v>43</v>
      </c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8"/>
    </row>
    <row r="20">
      <c r="A20" s="79" t="s">
        <v>69</v>
      </c>
      <c r="B20" s="79" t="b">
        <v>0</v>
      </c>
      <c r="C20" s="79" t="b">
        <f t="shared" si="3"/>
        <v>1</v>
      </c>
      <c r="D20" s="80" t="s">
        <v>22</v>
      </c>
      <c r="E20" s="81" t="s">
        <v>1428</v>
      </c>
      <c r="F20" s="82" t="s">
        <v>1429</v>
      </c>
      <c r="G20" s="35" t="s">
        <v>836</v>
      </c>
      <c r="H20" s="37">
        <v>5.483201366012651</v>
      </c>
      <c r="I20" s="37">
        <v>10.925338974740509</v>
      </c>
      <c r="J20" s="83" t="s">
        <v>1430</v>
      </c>
      <c r="K20" s="35">
        <v>25.4</v>
      </c>
      <c r="L20" s="79">
        <v>81.75264705882353</v>
      </c>
      <c r="M20" s="84">
        <v>24.0</v>
      </c>
      <c r="N20" s="84">
        <v>7.0</v>
      </c>
      <c r="O20" s="85">
        <v>2.1412889800588863</v>
      </c>
      <c r="P20" s="85">
        <v>1.1200099372032926</v>
      </c>
      <c r="Q20" s="85">
        <v>0.4199669291978956</v>
      </c>
      <c r="R20" s="85">
        <v>-0.36865007151273604</v>
      </c>
      <c r="S20" s="85">
        <v>1.6873594414902606</v>
      </c>
      <c r="T20" s="85">
        <v>0.4983677221430908</v>
      </c>
      <c r="U20" s="85">
        <v>2.2738524530256883</v>
      </c>
      <c r="V20" s="85">
        <v>0.0</v>
      </c>
      <c r="W20" s="85">
        <v>-1.431935548358198</v>
      </c>
      <c r="X20" s="85">
        <v>-0.8570584772355305</v>
      </c>
      <c r="Y20" s="50" t="s">
        <v>69</v>
      </c>
      <c r="Z20" s="50" t="s">
        <v>69</v>
      </c>
      <c r="AA20" s="50" t="s">
        <v>69</v>
      </c>
      <c r="AB20" s="50" t="s">
        <v>69</v>
      </c>
      <c r="AC20" s="34" t="str">
        <f t="shared" ref="AC20:AP20" si="20">LET(
  skater, IFERROR(INDEX(AllProj, MATCH($E20, AllProjNames, 0), MATCH(AC$2, AllProjCats, 0) + 1), ""),
  goalie, IFERROR(INDEX(AllGProj, MATCH($E20, AllGProjNames, 0), MATCH(AC$2, AllGProjCats, 0) + 1), ""),
  val, IF(skater &lt;&gt; "", skater, goalie),
  IF(OR($E20="", AC$2="", val=""), "", val * AC$1)
)</f>
        <v/>
      </c>
      <c r="AD20" s="34" t="str">
        <f t="shared" si="20"/>
        <v/>
      </c>
      <c r="AE20" s="34" t="str">
        <f t="shared" si="20"/>
        <v/>
      </c>
      <c r="AF20" s="34" t="str">
        <f t="shared" si="20"/>
        <v/>
      </c>
      <c r="AG20" s="34" t="str">
        <f t="shared" si="20"/>
        <v/>
      </c>
      <c r="AH20" s="34" t="str">
        <f t="shared" si="20"/>
        <v/>
      </c>
      <c r="AI20" s="34" t="str">
        <f t="shared" si="20"/>
        <v/>
      </c>
      <c r="AJ20" s="34" t="str">
        <f t="shared" si="20"/>
        <v/>
      </c>
      <c r="AK20" s="34" t="str">
        <f t="shared" si="20"/>
        <v/>
      </c>
      <c r="AL20" s="34" t="str">
        <f t="shared" si="20"/>
        <v/>
      </c>
      <c r="AM20" s="34" t="str">
        <f t="shared" si="20"/>
        <v/>
      </c>
      <c r="AN20" s="34" t="str">
        <f t="shared" si="20"/>
        <v/>
      </c>
      <c r="AO20" s="34" t="str">
        <f t="shared" si="20"/>
        <v/>
      </c>
      <c r="AP20" s="34" t="str">
        <f t="shared" si="20"/>
        <v/>
      </c>
      <c r="AQ20" s="76" t="s">
        <v>44</v>
      </c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8"/>
    </row>
    <row r="21">
      <c r="A21" s="41" t="s">
        <v>69</v>
      </c>
      <c r="B21" s="41" t="b">
        <v>0</v>
      </c>
      <c r="C21" s="41" t="b">
        <f t="shared" si="3"/>
        <v>1</v>
      </c>
      <c r="D21" s="42" t="s">
        <v>773</v>
      </c>
      <c r="E21" s="43" t="s">
        <v>1431</v>
      </c>
      <c r="F21" s="44" t="s">
        <v>930</v>
      </c>
      <c r="G21" s="29" t="s">
        <v>284</v>
      </c>
      <c r="H21" s="32">
        <v>5.460002711242491</v>
      </c>
      <c r="I21" s="32">
        <v>10.498068731425576</v>
      </c>
      <c r="J21" s="45" t="s">
        <v>1432</v>
      </c>
      <c r="K21" s="29">
        <v>31.0</v>
      </c>
      <c r="L21" s="41">
        <v>76.61235294117648</v>
      </c>
      <c r="M21" s="46">
        <v>29.0</v>
      </c>
      <c r="N21" s="46">
        <v>7.0</v>
      </c>
      <c r="O21" s="47">
        <v>0.2762276745253235</v>
      </c>
      <c r="P21" s="47">
        <v>2.00460002734181</v>
      </c>
      <c r="Q21" s="47">
        <v>1.4298323069024117</v>
      </c>
      <c r="R21" s="47">
        <v>-1.5662078626074325</v>
      </c>
      <c r="S21" s="47">
        <v>1.7573102117041943</v>
      </c>
      <c r="T21" s="47">
        <v>1.0584344805790047</v>
      </c>
      <c r="U21" s="47">
        <v>0.3472736323779487</v>
      </c>
      <c r="V21" s="47">
        <v>1.8915001886106475</v>
      </c>
      <c r="W21" s="47">
        <v>-0.7847673165523907</v>
      </c>
      <c r="X21" s="47">
        <v>-0.9542006316390259</v>
      </c>
      <c r="Y21" s="50" t="s">
        <v>69</v>
      </c>
      <c r="Z21" s="50" t="s">
        <v>69</v>
      </c>
      <c r="AA21" s="50" t="s">
        <v>69</v>
      </c>
      <c r="AB21" s="50" t="s">
        <v>69</v>
      </c>
      <c r="AC21" s="34" t="str">
        <f t="shared" ref="AC21:AP21" si="21">LET(
  skater, IFERROR(INDEX(AllProj, MATCH($E21, AllProjNames, 0), MATCH(AC$2, AllProjCats, 0) + 1), ""),
  goalie, IFERROR(INDEX(AllGProj, MATCH($E21, AllGProjNames, 0), MATCH(AC$2, AllGProjCats, 0) + 1), ""),
  val, IF(skater &lt;&gt; "", skater, goalie),
  IF(OR($E21="", AC$2="", val=""), "", val * AC$1)
)</f>
        <v/>
      </c>
      <c r="AD21" s="34" t="str">
        <f t="shared" si="21"/>
        <v/>
      </c>
      <c r="AE21" s="34" t="str">
        <f t="shared" si="21"/>
        <v/>
      </c>
      <c r="AF21" s="34" t="str">
        <f t="shared" si="21"/>
        <v/>
      </c>
      <c r="AG21" s="34" t="str">
        <f t="shared" si="21"/>
        <v/>
      </c>
      <c r="AH21" s="34" t="str">
        <f t="shared" si="21"/>
        <v/>
      </c>
      <c r="AI21" s="34" t="str">
        <f t="shared" si="21"/>
        <v/>
      </c>
      <c r="AJ21" s="34" t="str">
        <f t="shared" si="21"/>
        <v/>
      </c>
      <c r="AK21" s="34" t="str">
        <f t="shared" si="21"/>
        <v/>
      </c>
      <c r="AL21" s="34" t="str">
        <f t="shared" si="21"/>
        <v/>
      </c>
      <c r="AM21" s="34" t="str">
        <f t="shared" si="21"/>
        <v/>
      </c>
      <c r="AN21" s="34" t="str">
        <f t="shared" si="21"/>
        <v/>
      </c>
      <c r="AO21" s="34" t="str">
        <f t="shared" si="21"/>
        <v/>
      </c>
      <c r="AP21" s="34" t="str">
        <f t="shared" si="21"/>
        <v/>
      </c>
      <c r="AQ21" s="76" t="s">
        <v>45</v>
      </c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8"/>
    </row>
    <row r="22">
      <c r="A22" s="79" t="s">
        <v>69</v>
      </c>
      <c r="B22" s="79" t="b">
        <v>0</v>
      </c>
      <c r="C22" s="79" t="b">
        <f t="shared" si="3"/>
        <v>1</v>
      </c>
      <c r="D22" s="80" t="s">
        <v>22</v>
      </c>
      <c r="E22" s="81" t="s">
        <v>1433</v>
      </c>
      <c r="F22" s="82" t="s">
        <v>1429</v>
      </c>
      <c r="G22" s="35" t="s">
        <v>835</v>
      </c>
      <c r="H22" s="37">
        <v>5.259732007449462</v>
      </c>
      <c r="I22" s="37">
        <v>10.647612132362202</v>
      </c>
      <c r="J22" s="83" t="s">
        <v>1434</v>
      </c>
      <c r="K22" s="35">
        <v>29.4</v>
      </c>
      <c r="L22" s="79">
        <v>78.93808823529412</v>
      </c>
      <c r="M22" s="84">
        <v>24.0</v>
      </c>
      <c r="N22" s="84">
        <v>7.0</v>
      </c>
      <c r="O22" s="85">
        <v>3.0832591303252808</v>
      </c>
      <c r="P22" s="85">
        <v>1.499507151892531</v>
      </c>
      <c r="Q22" s="85">
        <v>1.176681052544302</v>
      </c>
      <c r="R22" s="85">
        <v>-0.8771352085755438</v>
      </c>
      <c r="S22" s="85">
        <v>2.1319001105783864</v>
      </c>
      <c r="T22" s="85">
        <v>-0.7856387537723395</v>
      </c>
      <c r="U22" s="85">
        <v>2.37632554495066</v>
      </c>
      <c r="V22" s="85">
        <v>0.0</v>
      </c>
      <c r="W22" s="85">
        <v>-1.5922660557317543</v>
      </c>
      <c r="X22" s="85">
        <v>-1.7529009647620601</v>
      </c>
      <c r="Y22" s="50" t="s">
        <v>69</v>
      </c>
      <c r="Z22" s="50" t="s">
        <v>69</v>
      </c>
      <c r="AA22" s="50" t="s">
        <v>69</v>
      </c>
      <c r="AB22" s="50" t="s">
        <v>69</v>
      </c>
      <c r="AC22" s="34" t="str">
        <f t="shared" ref="AC22:AP22" si="22">LET(
  skater, IFERROR(INDEX(AllProj, MATCH($E22, AllProjNames, 0), MATCH(AC$2, AllProjCats, 0) + 1), ""),
  goalie, IFERROR(INDEX(AllGProj, MATCH($E22, AllGProjNames, 0), MATCH(AC$2, AllGProjCats, 0) + 1), ""),
  val, IF(skater &lt;&gt; "", skater, goalie),
  IF(OR($E22="", AC$2="", val=""), "", val * AC$1)
)</f>
        <v/>
      </c>
      <c r="AD22" s="34" t="str">
        <f t="shared" si="22"/>
        <v/>
      </c>
      <c r="AE22" s="34" t="str">
        <f t="shared" si="22"/>
        <v/>
      </c>
      <c r="AF22" s="34" t="str">
        <f t="shared" si="22"/>
        <v/>
      </c>
      <c r="AG22" s="34" t="str">
        <f t="shared" si="22"/>
        <v/>
      </c>
      <c r="AH22" s="34" t="str">
        <f t="shared" si="22"/>
        <v/>
      </c>
      <c r="AI22" s="34" t="str">
        <f t="shared" si="22"/>
        <v/>
      </c>
      <c r="AJ22" s="34" t="str">
        <f t="shared" si="22"/>
        <v/>
      </c>
      <c r="AK22" s="34" t="str">
        <f t="shared" si="22"/>
        <v/>
      </c>
      <c r="AL22" s="34" t="str">
        <f t="shared" si="22"/>
        <v/>
      </c>
      <c r="AM22" s="34" t="str">
        <f t="shared" si="22"/>
        <v/>
      </c>
      <c r="AN22" s="34" t="str">
        <f t="shared" si="22"/>
        <v/>
      </c>
      <c r="AO22" s="34" t="str">
        <f t="shared" si="22"/>
        <v/>
      </c>
      <c r="AP22" s="34" t="str">
        <f t="shared" si="22"/>
        <v/>
      </c>
      <c r="AQ22" s="76" t="s">
        <v>46</v>
      </c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8"/>
    </row>
    <row r="23">
      <c r="A23" s="41" t="s">
        <v>69</v>
      </c>
      <c r="B23" s="41" t="b">
        <v>0</v>
      </c>
      <c r="C23" s="41" t="b">
        <f t="shared" si="3"/>
        <v>1</v>
      </c>
      <c r="D23" s="42" t="s">
        <v>825</v>
      </c>
      <c r="E23" s="43" t="s">
        <v>1435</v>
      </c>
      <c r="F23" s="44" t="s">
        <v>1436</v>
      </c>
      <c r="G23" s="29" t="s">
        <v>6</v>
      </c>
      <c r="H23" s="32">
        <v>5.24339087049087</v>
      </c>
      <c r="I23" s="32">
        <v>9.581613848960984</v>
      </c>
      <c r="J23" s="45" t="s">
        <v>1437</v>
      </c>
      <c r="K23" s="29">
        <v>33.3</v>
      </c>
      <c r="L23" s="41">
        <v>60.0</v>
      </c>
      <c r="M23" s="46">
        <v>26.0</v>
      </c>
      <c r="N23" s="46">
        <v>5.0</v>
      </c>
      <c r="O23" s="94" t="s">
        <v>69</v>
      </c>
      <c r="P23" s="94" t="s">
        <v>69</v>
      </c>
      <c r="Q23" s="94" t="s">
        <v>69</v>
      </c>
      <c r="R23" s="94" t="s">
        <v>69</v>
      </c>
      <c r="S23" s="94" t="s">
        <v>69</v>
      </c>
      <c r="T23" s="94" t="s">
        <v>69</v>
      </c>
      <c r="U23" s="94" t="s">
        <v>69</v>
      </c>
      <c r="V23" s="94" t="s">
        <v>69</v>
      </c>
      <c r="W23" s="94" t="s">
        <v>69</v>
      </c>
      <c r="X23" s="94" t="s">
        <v>69</v>
      </c>
      <c r="Y23" s="95">
        <v>1.6023352367632702</v>
      </c>
      <c r="Z23" s="95">
        <v>2.1258159690476184</v>
      </c>
      <c r="AA23" s="95">
        <v>0.6928793911411105</v>
      </c>
      <c r="AB23" s="95">
        <v>0.8223602735388716</v>
      </c>
      <c r="AC23" s="34" t="str">
        <f t="shared" ref="AC23:AP23" si="23">LET(
  skater, IFERROR(INDEX(AllProj, MATCH($E23, AllProjNames, 0), MATCH(AC$2, AllProjCats, 0) + 1), ""),
  goalie, IFERROR(INDEX(AllGProj, MATCH($E23, AllGProjNames, 0), MATCH(AC$2, AllGProjCats, 0) + 1), ""),
  val, IF(skater &lt;&gt; "", skater, goalie),
  IF(OR($E23="", AC$2="", val=""), "", val * AC$1)
)</f>
        <v/>
      </c>
      <c r="AD23" s="34" t="str">
        <f t="shared" si="23"/>
        <v/>
      </c>
      <c r="AE23" s="34" t="str">
        <f t="shared" si="23"/>
        <v/>
      </c>
      <c r="AF23" s="34" t="str">
        <f t="shared" si="23"/>
        <v/>
      </c>
      <c r="AG23" s="34" t="str">
        <f t="shared" si="23"/>
        <v/>
      </c>
      <c r="AH23" s="34" t="str">
        <f t="shared" si="23"/>
        <v/>
      </c>
      <c r="AI23" s="34" t="str">
        <f t="shared" si="23"/>
        <v/>
      </c>
      <c r="AJ23" s="34" t="str">
        <f t="shared" si="23"/>
        <v/>
      </c>
      <c r="AK23" s="34" t="str">
        <f t="shared" si="23"/>
        <v/>
      </c>
      <c r="AL23" s="34" t="str">
        <f t="shared" si="23"/>
        <v/>
      </c>
      <c r="AM23" s="34" t="str">
        <f t="shared" si="23"/>
        <v/>
      </c>
      <c r="AN23" s="34" t="str">
        <f t="shared" si="23"/>
        <v/>
      </c>
      <c r="AO23" s="34" t="str">
        <f t="shared" si="23"/>
        <v/>
      </c>
      <c r="AP23" s="34" t="str">
        <f t="shared" si="23"/>
        <v/>
      </c>
      <c r="AQ23" s="76" t="s">
        <v>47</v>
      </c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8"/>
    </row>
    <row r="24">
      <c r="A24" s="79" t="s">
        <v>69</v>
      </c>
      <c r="B24" s="79" t="b">
        <v>0</v>
      </c>
      <c r="C24" s="79" t="b">
        <f t="shared" si="3"/>
        <v>1</v>
      </c>
      <c r="D24" s="80" t="s">
        <v>22</v>
      </c>
      <c r="E24" s="81" t="s">
        <v>1438</v>
      </c>
      <c r="F24" s="82" t="s">
        <v>1439</v>
      </c>
      <c r="G24" s="35" t="s">
        <v>836</v>
      </c>
      <c r="H24" s="37">
        <v>5.191564502700178</v>
      </c>
      <c r="I24" s="37">
        <v>10.633702111428036</v>
      </c>
      <c r="J24" s="83" t="s">
        <v>1440</v>
      </c>
      <c r="K24" s="35">
        <v>27.1</v>
      </c>
      <c r="L24" s="79">
        <v>83.53470588235294</v>
      </c>
      <c r="M24" s="84">
        <v>25.0</v>
      </c>
      <c r="N24" s="84">
        <v>6.0</v>
      </c>
      <c r="O24" s="85">
        <v>2.522060097898771</v>
      </c>
      <c r="P24" s="85">
        <v>1.5533556711052852</v>
      </c>
      <c r="Q24" s="85">
        <v>1.439764168594793</v>
      </c>
      <c r="R24" s="85">
        <v>-1.2270994282675765</v>
      </c>
      <c r="S24" s="85">
        <v>2.328955844531936</v>
      </c>
      <c r="T24" s="85">
        <v>-0.7823979023029072</v>
      </c>
      <c r="U24" s="85">
        <v>2.4084522054515265</v>
      </c>
      <c r="V24" s="85">
        <v>0.0</v>
      </c>
      <c r="W24" s="85">
        <v>-1.4953475863929684</v>
      </c>
      <c r="X24" s="85">
        <v>-1.556178567918682</v>
      </c>
      <c r="Y24" s="50" t="s">
        <v>69</v>
      </c>
      <c r="Z24" s="50" t="s">
        <v>69</v>
      </c>
      <c r="AA24" s="50" t="s">
        <v>69</v>
      </c>
      <c r="AB24" s="50" t="s">
        <v>69</v>
      </c>
      <c r="AC24" s="34" t="str">
        <f t="shared" ref="AC24:AP24" si="24">LET(
  skater, IFERROR(INDEX(AllProj, MATCH($E24, AllProjNames, 0), MATCH(AC$2, AllProjCats, 0) + 1), ""),
  goalie, IFERROR(INDEX(AllGProj, MATCH($E24, AllGProjNames, 0), MATCH(AC$2, AllGProjCats, 0) + 1), ""),
  val, IF(skater &lt;&gt; "", skater, goalie),
  IF(OR($E24="", AC$2="", val=""), "", val * AC$1)
)</f>
        <v/>
      </c>
      <c r="AD24" s="34" t="str">
        <f t="shared" si="24"/>
        <v/>
      </c>
      <c r="AE24" s="34" t="str">
        <f t="shared" si="24"/>
        <v/>
      </c>
      <c r="AF24" s="34" t="str">
        <f t="shared" si="24"/>
        <v/>
      </c>
      <c r="AG24" s="34" t="str">
        <f t="shared" si="24"/>
        <v/>
      </c>
      <c r="AH24" s="34" t="str">
        <f t="shared" si="24"/>
        <v/>
      </c>
      <c r="AI24" s="34" t="str">
        <f t="shared" si="24"/>
        <v/>
      </c>
      <c r="AJ24" s="34" t="str">
        <f t="shared" si="24"/>
        <v/>
      </c>
      <c r="AK24" s="34" t="str">
        <f t="shared" si="24"/>
        <v/>
      </c>
      <c r="AL24" s="34" t="str">
        <f t="shared" si="24"/>
        <v/>
      </c>
      <c r="AM24" s="34" t="str">
        <f t="shared" si="24"/>
        <v/>
      </c>
      <c r="AN24" s="34" t="str">
        <f t="shared" si="24"/>
        <v/>
      </c>
      <c r="AO24" s="34" t="str">
        <f t="shared" si="24"/>
        <v/>
      </c>
      <c r="AP24" s="34" t="str">
        <f t="shared" si="24"/>
        <v/>
      </c>
      <c r="AQ24" s="76" t="s">
        <v>49</v>
      </c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8"/>
    </row>
    <row r="25">
      <c r="A25" s="41" t="s">
        <v>69</v>
      </c>
      <c r="B25" s="41" t="b">
        <v>0</v>
      </c>
      <c r="C25" s="41" t="b">
        <f t="shared" si="3"/>
        <v>1</v>
      </c>
      <c r="D25" s="42" t="s">
        <v>825</v>
      </c>
      <c r="E25" s="43" t="s">
        <v>1441</v>
      </c>
      <c r="F25" s="44" t="s">
        <v>279</v>
      </c>
      <c r="G25" s="29" t="s">
        <v>6</v>
      </c>
      <c r="H25" s="32">
        <v>5.140679933657476</v>
      </c>
      <c r="I25" s="32">
        <v>9.478902912127591</v>
      </c>
      <c r="J25" s="45" t="s">
        <v>1442</v>
      </c>
      <c r="K25" s="29">
        <v>34.1</v>
      </c>
      <c r="L25" s="41">
        <v>41.8</v>
      </c>
      <c r="M25" s="46">
        <v>34.0</v>
      </c>
      <c r="N25" s="46">
        <v>7.0</v>
      </c>
      <c r="O25" s="94" t="s">
        <v>69</v>
      </c>
      <c r="P25" s="94" t="s">
        <v>69</v>
      </c>
      <c r="Q25" s="94" t="s">
        <v>69</v>
      </c>
      <c r="R25" s="94" t="s">
        <v>69</v>
      </c>
      <c r="S25" s="94" t="s">
        <v>69</v>
      </c>
      <c r="T25" s="94" t="s">
        <v>69</v>
      </c>
      <c r="U25" s="94" t="s">
        <v>69</v>
      </c>
      <c r="V25" s="94" t="s">
        <v>69</v>
      </c>
      <c r="W25" s="94" t="s">
        <v>69</v>
      </c>
      <c r="X25" s="94" t="s">
        <v>69</v>
      </c>
      <c r="Y25" s="95">
        <v>0.231666607230594</v>
      </c>
      <c r="Z25" s="95">
        <v>2.32964090577854</v>
      </c>
      <c r="AA25" s="95">
        <v>2.512759645863766</v>
      </c>
      <c r="AB25" s="95">
        <v>0.06661277478457615</v>
      </c>
      <c r="AC25" s="34" t="str">
        <f t="shared" ref="AC25:AP25" si="25">LET(
  skater, IFERROR(INDEX(AllProj, MATCH($E25, AllProjNames, 0), MATCH(AC$2, AllProjCats, 0) + 1), ""),
  goalie, IFERROR(INDEX(AllGProj, MATCH($E25, AllGProjNames, 0), MATCH(AC$2, AllGProjCats, 0) + 1), ""),
  val, IF(skater &lt;&gt; "", skater, goalie),
  IF(OR($E25="", AC$2="", val=""), "", val * AC$1)
)</f>
        <v/>
      </c>
      <c r="AD25" s="34" t="str">
        <f t="shared" si="25"/>
        <v/>
      </c>
      <c r="AE25" s="34" t="str">
        <f t="shared" si="25"/>
        <v/>
      </c>
      <c r="AF25" s="34" t="str">
        <f t="shared" si="25"/>
        <v/>
      </c>
      <c r="AG25" s="34" t="str">
        <f t="shared" si="25"/>
        <v/>
      </c>
      <c r="AH25" s="34" t="str">
        <f t="shared" si="25"/>
        <v/>
      </c>
      <c r="AI25" s="34" t="str">
        <f t="shared" si="25"/>
        <v/>
      </c>
      <c r="AJ25" s="34" t="str">
        <f t="shared" si="25"/>
        <v/>
      </c>
      <c r="AK25" s="34" t="str">
        <f t="shared" si="25"/>
        <v/>
      </c>
      <c r="AL25" s="34" t="str">
        <f t="shared" si="25"/>
        <v/>
      </c>
      <c r="AM25" s="34" t="str">
        <f t="shared" si="25"/>
        <v/>
      </c>
      <c r="AN25" s="34" t="str">
        <f t="shared" si="25"/>
        <v/>
      </c>
      <c r="AO25" s="34" t="str">
        <f t="shared" si="25"/>
        <v/>
      </c>
      <c r="AP25" s="34" t="str">
        <f t="shared" si="25"/>
        <v/>
      </c>
      <c r="AQ25" s="76" t="s">
        <v>50</v>
      </c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8"/>
    </row>
    <row r="26">
      <c r="A26" s="79" t="s">
        <v>69</v>
      </c>
      <c r="B26" s="79" t="b">
        <v>0</v>
      </c>
      <c r="C26" s="79" t="b">
        <f t="shared" si="3"/>
        <v>1</v>
      </c>
      <c r="D26" s="80" t="s">
        <v>22</v>
      </c>
      <c r="E26" s="81" t="s">
        <v>1443</v>
      </c>
      <c r="F26" s="82" t="s">
        <v>1444</v>
      </c>
      <c r="G26" s="35" t="s">
        <v>6</v>
      </c>
      <c r="H26" s="37">
        <v>4.453703794715979</v>
      </c>
      <c r="I26" s="37">
        <v>8.791926773186093</v>
      </c>
      <c r="J26" s="83" t="s">
        <v>1445</v>
      </c>
      <c r="K26" s="35">
        <v>30.7</v>
      </c>
      <c r="L26" s="79">
        <v>57.3</v>
      </c>
      <c r="M26" s="84">
        <v>33.0</v>
      </c>
      <c r="N26" s="84">
        <v>6.0</v>
      </c>
      <c r="O26" s="96" t="s">
        <v>69</v>
      </c>
      <c r="P26" s="96" t="s">
        <v>69</v>
      </c>
      <c r="Q26" s="96" t="s">
        <v>69</v>
      </c>
      <c r="R26" s="96" t="s">
        <v>69</v>
      </c>
      <c r="S26" s="96" t="s">
        <v>69</v>
      </c>
      <c r="T26" s="96" t="s">
        <v>69</v>
      </c>
      <c r="U26" s="96" t="s">
        <v>69</v>
      </c>
      <c r="V26" s="96" t="s">
        <v>69</v>
      </c>
      <c r="W26" s="96" t="s">
        <v>69</v>
      </c>
      <c r="X26" s="96" t="s">
        <v>69</v>
      </c>
      <c r="Y26" s="95">
        <v>1.0053222056340791</v>
      </c>
      <c r="Z26" s="95">
        <v>1.3687519183327665</v>
      </c>
      <c r="AA26" s="95">
        <v>1.5200976887423285</v>
      </c>
      <c r="AB26" s="95">
        <v>0.5595319820068041</v>
      </c>
      <c r="AC26" s="34" t="str">
        <f t="shared" ref="AC26:AP26" si="26">LET(
  skater, IFERROR(INDEX(AllProj, MATCH($E26, AllProjNames, 0), MATCH(AC$2, AllProjCats, 0) + 1), ""),
  goalie, IFERROR(INDEX(AllGProj, MATCH($E26, AllGProjNames, 0), MATCH(AC$2, AllGProjCats, 0) + 1), ""),
  val, IF(skater &lt;&gt; "", skater, goalie),
  IF(OR($E26="", AC$2="", val=""), "", val * AC$1)
)</f>
        <v/>
      </c>
      <c r="AD26" s="34" t="str">
        <f t="shared" si="26"/>
        <v/>
      </c>
      <c r="AE26" s="34" t="str">
        <f t="shared" si="26"/>
        <v/>
      </c>
      <c r="AF26" s="34" t="str">
        <f t="shared" si="26"/>
        <v/>
      </c>
      <c r="AG26" s="34" t="str">
        <f t="shared" si="26"/>
        <v/>
      </c>
      <c r="AH26" s="34" t="str">
        <f t="shared" si="26"/>
        <v/>
      </c>
      <c r="AI26" s="34" t="str">
        <f t="shared" si="26"/>
        <v/>
      </c>
      <c r="AJ26" s="34" t="str">
        <f t="shared" si="26"/>
        <v/>
      </c>
      <c r="AK26" s="34" t="str">
        <f t="shared" si="26"/>
        <v/>
      </c>
      <c r="AL26" s="34" t="str">
        <f t="shared" si="26"/>
        <v/>
      </c>
      <c r="AM26" s="34" t="str">
        <f t="shared" si="26"/>
        <v/>
      </c>
      <c r="AN26" s="34" t="str">
        <f t="shared" si="26"/>
        <v/>
      </c>
      <c r="AO26" s="34" t="str">
        <f t="shared" si="26"/>
        <v/>
      </c>
      <c r="AP26" s="34" t="str">
        <f t="shared" si="26"/>
        <v/>
      </c>
      <c r="AQ26" s="76" t="s">
        <v>52</v>
      </c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8"/>
    </row>
    <row r="27">
      <c r="A27" s="41" t="s">
        <v>69</v>
      </c>
      <c r="B27" s="41" t="b">
        <v>0</v>
      </c>
      <c r="C27" s="41" t="b">
        <f t="shared" si="3"/>
        <v>1</v>
      </c>
      <c r="D27" s="42" t="s">
        <v>22</v>
      </c>
      <c r="E27" s="43" t="s">
        <v>1446</v>
      </c>
      <c r="F27" s="44" t="s">
        <v>279</v>
      </c>
      <c r="G27" s="29" t="s">
        <v>832</v>
      </c>
      <c r="H27" s="32">
        <v>4.275891808467318</v>
      </c>
      <c r="I27" s="32">
        <v>9.718029417195176</v>
      </c>
      <c r="J27" s="45" t="s">
        <v>1447</v>
      </c>
      <c r="K27" s="29">
        <v>27.7</v>
      </c>
      <c r="L27" s="41">
        <v>81.18955882352941</v>
      </c>
      <c r="M27" s="46">
        <v>34.0</v>
      </c>
      <c r="N27" s="46">
        <v>7.0</v>
      </c>
      <c r="O27" s="47">
        <v>1.6810272381303522</v>
      </c>
      <c r="P27" s="47">
        <v>2.1570630959115866</v>
      </c>
      <c r="Q27" s="47">
        <v>2.2858842671571873</v>
      </c>
      <c r="R27" s="47">
        <v>-1.0314795837521369</v>
      </c>
      <c r="S27" s="47">
        <v>1.5257207163361832</v>
      </c>
      <c r="T27" s="47">
        <v>-0.7860729240019204</v>
      </c>
      <c r="U27" s="47">
        <v>1.2714880433378988</v>
      </c>
      <c r="V27" s="47">
        <v>0.0</v>
      </c>
      <c r="W27" s="47">
        <v>-0.9795534468928643</v>
      </c>
      <c r="X27" s="47">
        <v>-1.8481855977589694</v>
      </c>
      <c r="Y27" s="50" t="s">
        <v>69</v>
      </c>
      <c r="Z27" s="50" t="s">
        <v>69</v>
      </c>
      <c r="AA27" s="50" t="s">
        <v>69</v>
      </c>
      <c r="AB27" s="50" t="s">
        <v>69</v>
      </c>
      <c r="AC27" s="34" t="str">
        <f t="shared" ref="AC27:AP27" si="27">LET(
  skater, IFERROR(INDEX(AllProj, MATCH($E27, AllProjNames, 0), MATCH(AC$2, AllProjCats, 0) + 1), ""),
  goalie, IFERROR(INDEX(AllGProj, MATCH($E27, AllGProjNames, 0), MATCH(AC$2, AllGProjCats, 0) + 1), ""),
  val, IF(skater &lt;&gt; "", skater, goalie),
  IF(OR($E27="", AC$2="", val=""), "", val * AC$1)
)</f>
        <v/>
      </c>
      <c r="AD27" s="34" t="str">
        <f t="shared" si="27"/>
        <v/>
      </c>
      <c r="AE27" s="34" t="str">
        <f t="shared" si="27"/>
        <v/>
      </c>
      <c r="AF27" s="34" t="str">
        <f t="shared" si="27"/>
        <v/>
      </c>
      <c r="AG27" s="34" t="str">
        <f t="shared" si="27"/>
        <v/>
      </c>
      <c r="AH27" s="34" t="str">
        <f t="shared" si="27"/>
        <v/>
      </c>
      <c r="AI27" s="34" t="str">
        <f t="shared" si="27"/>
        <v/>
      </c>
      <c r="AJ27" s="34" t="str">
        <f t="shared" si="27"/>
        <v/>
      </c>
      <c r="AK27" s="34" t="str">
        <f t="shared" si="27"/>
        <v/>
      </c>
      <c r="AL27" s="34" t="str">
        <f t="shared" si="27"/>
        <v/>
      </c>
      <c r="AM27" s="34" t="str">
        <f t="shared" si="27"/>
        <v/>
      </c>
      <c r="AN27" s="34" t="str">
        <f t="shared" si="27"/>
        <v/>
      </c>
      <c r="AO27" s="34" t="str">
        <f t="shared" si="27"/>
        <v/>
      </c>
      <c r="AP27" s="34" t="str">
        <f t="shared" si="27"/>
        <v/>
      </c>
      <c r="AQ27" s="76" t="s">
        <v>53</v>
      </c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8"/>
    </row>
    <row r="28">
      <c r="A28" s="79" t="s">
        <v>69</v>
      </c>
      <c r="B28" s="79" t="b">
        <v>0</v>
      </c>
      <c r="C28" s="79" t="b">
        <f t="shared" si="3"/>
        <v>1</v>
      </c>
      <c r="D28" s="80" t="s">
        <v>502</v>
      </c>
      <c r="E28" s="81" t="s">
        <v>1448</v>
      </c>
      <c r="F28" s="82" t="s">
        <v>1439</v>
      </c>
      <c r="G28" s="35" t="s">
        <v>836</v>
      </c>
      <c r="H28" s="37">
        <v>4.102878290755689</v>
      </c>
      <c r="I28" s="37">
        <v>9.545015899483547</v>
      </c>
      <c r="J28" s="83" t="s">
        <v>1449</v>
      </c>
      <c r="K28" s="35">
        <v>29.9</v>
      </c>
      <c r="L28" s="79">
        <v>78.87676470588235</v>
      </c>
      <c r="M28" s="84">
        <v>25.0</v>
      </c>
      <c r="N28" s="84">
        <v>6.0</v>
      </c>
      <c r="O28" s="85">
        <v>1.1058843822494866</v>
      </c>
      <c r="P28" s="85">
        <v>2.076946546056948</v>
      </c>
      <c r="Q28" s="85">
        <v>0.4737688487227533</v>
      </c>
      <c r="R28" s="85">
        <v>1.4228477572699052</v>
      </c>
      <c r="S28" s="85">
        <v>2.3461838690983443</v>
      </c>
      <c r="T28" s="85">
        <v>-0.7850865681419781</v>
      </c>
      <c r="U28" s="85">
        <v>0.5092602424763873</v>
      </c>
      <c r="V28" s="85">
        <v>0.0</v>
      </c>
      <c r="W28" s="85">
        <v>-1.5580198162678303</v>
      </c>
      <c r="X28" s="85">
        <v>-1.488906970708328</v>
      </c>
      <c r="Y28" s="50" t="s">
        <v>69</v>
      </c>
      <c r="Z28" s="50" t="s">
        <v>69</v>
      </c>
      <c r="AA28" s="50" t="s">
        <v>69</v>
      </c>
      <c r="AB28" s="50" t="s">
        <v>69</v>
      </c>
      <c r="AC28" s="34" t="str">
        <f t="shared" ref="AC28:AP28" si="28">LET(
  skater, IFERROR(INDEX(AllProj, MATCH($E28, AllProjNames, 0), MATCH(AC$2, AllProjCats, 0) + 1), ""),
  goalie, IFERROR(INDEX(AllGProj, MATCH($E28, AllGProjNames, 0), MATCH(AC$2, AllGProjCats, 0) + 1), ""),
  val, IF(skater &lt;&gt; "", skater, goalie),
  IF(OR($E28="", AC$2="", val=""), "", val * AC$1)
)</f>
        <v/>
      </c>
      <c r="AD28" s="34" t="str">
        <f t="shared" si="28"/>
        <v/>
      </c>
      <c r="AE28" s="34" t="str">
        <f t="shared" si="28"/>
        <v/>
      </c>
      <c r="AF28" s="34" t="str">
        <f t="shared" si="28"/>
        <v/>
      </c>
      <c r="AG28" s="34" t="str">
        <f t="shared" si="28"/>
        <v/>
      </c>
      <c r="AH28" s="34" t="str">
        <f t="shared" si="28"/>
        <v/>
      </c>
      <c r="AI28" s="34" t="str">
        <f t="shared" si="28"/>
        <v/>
      </c>
      <c r="AJ28" s="34" t="str">
        <f t="shared" si="28"/>
        <v/>
      </c>
      <c r="AK28" s="34" t="str">
        <f t="shared" si="28"/>
        <v/>
      </c>
      <c r="AL28" s="34" t="str">
        <f t="shared" si="28"/>
        <v/>
      </c>
      <c r="AM28" s="34" t="str">
        <f t="shared" si="28"/>
        <v/>
      </c>
      <c r="AN28" s="34" t="str">
        <f t="shared" si="28"/>
        <v/>
      </c>
      <c r="AO28" s="34" t="str">
        <f t="shared" si="28"/>
        <v/>
      </c>
      <c r="AP28" s="34" t="str">
        <f t="shared" si="28"/>
        <v/>
      </c>
      <c r="AQ28" s="76" t="s">
        <v>54</v>
      </c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8"/>
    </row>
    <row r="29">
      <c r="A29" s="41" t="s">
        <v>69</v>
      </c>
      <c r="B29" s="41" t="b">
        <v>0</v>
      </c>
      <c r="C29" s="41" t="b">
        <f t="shared" si="3"/>
        <v>1</v>
      </c>
      <c r="D29" s="42" t="s">
        <v>773</v>
      </c>
      <c r="E29" s="43" t="s">
        <v>1450</v>
      </c>
      <c r="F29" s="44" t="s">
        <v>1451</v>
      </c>
      <c r="G29" s="29" t="s">
        <v>837</v>
      </c>
      <c r="H29" s="32">
        <v>3.9030150101250776</v>
      </c>
      <c r="I29" s="32">
        <v>9.432873782053978</v>
      </c>
      <c r="J29" s="45" t="s">
        <v>1452</v>
      </c>
      <c r="K29" s="29">
        <v>25.4</v>
      </c>
      <c r="L29" s="41">
        <v>83.4170588235294</v>
      </c>
      <c r="M29" s="46">
        <v>29.0</v>
      </c>
      <c r="N29" s="46">
        <v>7.0</v>
      </c>
      <c r="O29" s="47">
        <v>-1.4067301533208691</v>
      </c>
      <c r="P29" s="47">
        <v>1.0178430173571718</v>
      </c>
      <c r="Q29" s="47">
        <v>-0.24702923036737204</v>
      </c>
      <c r="R29" s="47">
        <v>0.23865673430634587</v>
      </c>
      <c r="S29" s="47">
        <v>1.262821732864935</v>
      </c>
      <c r="T29" s="47">
        <v>-0.7072834098004751</v>
      </c>
      <c r="U29" s="47">
        <v>0.24664825688318937</v>
      </c>
      <c r="V29" s="47">
        <v>0.0</v>
      </c>
      <c r="W29" s="47">
        <v>0.6207178107148751</v>
      </c>
      <c r="X29" s="47">
        <v>2.8773702514872768</v>
      </c>
      <c r="Y29" s="50" t="s">
        <v>69</v>
      </c>
      <c r="Z29" s="50" t="s">
        <v>69</v>
      </c>
      <c r="AA29" s="50" t="s">
        <v>69</v>
      </c>
      <c r="AB29" s="50" t="s">
        <v>69</v>
      </c>
      <c r="AC29" s="34" t="str">
        <f t="shared" ref="AC29:AP29" si="29">LET(
  skater, IFERROR(INDEX(AllProj, MATCH($E29, AllProjNames, 0), MATCH(AC$2, AllProjCats, 0) + 1), ""),
  goalie, IFERROR(INDEX(AllGProj, MATCH($E29, AllGProjNames, 0), MATCH(AC$2, AllGProjCats, 0) + 1), ""),
  val, IF(skater &lt;&gt; "", skater, goalie),
  IF(OR($E29="", AC$2="", val=""), "", val * AC$1)
)</f>
        <v/>
      </c>
      <c r="AD29" s="34" t="str">
        <f t="shared" si="29"/>
        <v/>
      </c>
      <c r="AE29" s="34" t="str">
        <f t="shared" si="29"/>
        <v/>
      </c>
      <c r="AF29" s="34" t="str">
        <f t="shared" si="29"/>
        <v/>
      </c>
      <c r="AG29" s="34" t="str">
        <f t="shared" si="29"/>
        <v/>
      </c>
      <c r="AH29" s="34" t="str">
        <f t="shared" si="29"/>
        <v/>
      </c>
      <c r="AI29" s="34" t="str">
        <f t="shared" si="29"/>
        <v/>
      </c>
      <c r="AJ29" s="34" t="str">
        <f t="shared" si="29"/>
        <v/>
      </c>
      <c r="AK29" s="34" t="str">
        <f t="shared" si="29"/>
        <v/>
      </c>
      <c r="AL29" s="34" t="str">
        <f t="shared" si="29"/>
        <v/>
      </c>
      <c r="AM29" s="34" t="str">
        <f t="shared" si="29"/>
        <v/>
      </c>
      <c r="AN29" s="34" t="str">
        <f t="shared" si="29"/>
        <v/>
      </c>
      <c r="AO29" s="34" t="str">
        <f t="shared" si="29"/>
        <v/>
      </c>
      <c r="AP29" s="34" t="str">
        <f t="shared" si="29"/>
        <v/>
      </c>
      <c r="AQ29" s="76" t="s">
        <v>56</v>
      </c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8"/>
    </row>
    <row r="30">
      <c r="A30" s="79" t="s">
        <v>69</v>
      </c>
      <c r="B30" s="79" t="b">
        <v>0</v>
      </c>
      <c r="C30" s="79" t="b">
        <f t="shared" si="3"/>
        <v>1</v>
      </c>
      <c r="D30" s="80" t="s">
        <v>825</v>
      </c>
      <c r="E30" s="81" t="s">
        <v>1453</v>
      </c>
      <c r="F30" s="82" t="s">
        <v>1454</v>
      </c>
      <c r="G30" s="35" t="s">
        <v>837</v>
      </c>
      <c r="H30" s="37">
        <v>3.872050171889528</v>
      </c>
      <c r="I30" s="37">
        <v>9.40190894381843</v>
      </c>
      <c r="J30" s="83" t="s">
        <v>1455</v>
      </c>
      <c r="K30" s="35">
        <v>26.4</v>
      </c>
      <c r="L30" s="79">
        <v>80.7814705882353</v>
      </c>
      <c r="M30" s="84">
        <v>25.0</v>
      </c>
      <c r="N30" s="84">
        <v>6.0</v>
      </c>
      <c r="O30" s="85">
        <v>-0.23666196634422546</v>
      </c>
      <c r="P30" s="85">
        <v>1.7559533740516127</v>
      </c>
      <c r="Q30" s="85">
        <v>0.3499794716505902</v>
      </c>
      <c r="R30" s="85">
        <v>1.2339458792632376</v>
      </c>
      <c r="S30" s="85">
        <v>1.0255114049541996</v>
      </c>
      <c r="T30" s="85">
        <v>-0.6761825812211225</v>
      </c>
      <c r="U30" s="85">
        <v>0.9421964738598575</v>
      </c>
      <c r="V30" s="85">
        <v>0.0</v>
      </c>
      <c r="W30" s="85">
        <v>-0.7573541950740018</v>
      </c>
      <c r="X30" s="85">
        <v>0.234662310749381</v>
      </c>
      <c r="Y30" s="50" t="s">
        <v>69</v>
      </c>
      <c r="Z30" s="50" t="s">
        <v>69</v>
      </c>
      <c r="AA30" s="50" t="s">
        <v>69</v>
      </c>
      <c r="AB30" s="50" t="s">
        <v>69</v>
      </c>
      <c r="AC30" s="34" t="str">
        <f t="shared" ref="AC30:AP30" si="30">LET(
  skater, IFERROR(INDEX(AllProj, MATCH($E30, AllProjNames, 0), MATCH(AC$2, AllProjCats, 0) + 1), ""),
  goalie, IFERROR(INDEX(AllGProj, MATCH($E30, AllGProjNames, 0), MATCH(AC$2, AllGProjCats, 0) + 1), ""),
  val, IF(skater &lt;&gt; "", skater, goalie),
  IF(OR($E30="", AC$2="", val=""), "", val * AC$1)
)</f>
        <v/>
      </c>
      <c r="AD30" s="34" t="str">
        <f t="shared" si="30"/>
        <v/>
      </c>
      <c r="AE30" s="34" t="str">
        <f t="shared" si="30"/>
        <v/>
      </c>
      <c r="AF30" s="34" t="str">
        <f t="shared" si="30"/>
        <v/>
      </c>
      <c r="AG30" s="34" t="str">
        <f t="shared" si="30"/>
        <v/>
      </c>
      <c r="AH30" s="34" t="str">
        <f t="shared" si="30"/>
        <v/>
      </c>
      <c r="AI30" s="34" t="str">
        <f t="shared" si="30"/>
        <v/>
      </c>
      <c r="AJ30" s="34" t="str">
        <f t="shared" si="30"/>
        <v/>
      </c>
      <c r="AK30" s="34" t="str">
        <f t="shared" si="30"/>
        <v/>
      </c>
      <c r="AL30" s="34" t="str">
        <f t="shared" si="30"/>
        <v/>
      </c>
      <c r="AM30" s="34" t="str">
        <f t="shared" si="30"/>
        <v/>
      </c>
      <c r="AN30" s="34" t="str">
        <f t="shared" si="30"/>
        <v/>
      </c>
      <c r="AO30" s="34" t="str">
        <f t="shared" si="30"/>
        <v/>
      </c>
      <c r="AP30" s="34" t="str">
        <f t="shared" si="30"/>
        <v/>
      </c>
      <c r="AQ30" s="76" t="s">
        <v>57</v>
      </c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8"/>
    </row>
    <row r="31">
      <c r="A31" s="41" t="s">
        <v>69</v>
      </c>
      <c r="B31" s="41" t="b">
        <v>0</v>
      </c>
      <c r="C31" s="41" t="b">
        <f t="shared" si="3"/>
        <v>1</v>
      </c>
      <c r="D31" s="42" t="s">
        <v>827</v>
      </c>
      <c r="E31" s="43" t="s">
        <v>1456</v>
      </c>
      <c r="F31" s="44" t="s">
        <v>930</v>
      </c>
      <c r="G31" s="29" t="s">
        <v>836</v>
      </c>
      <c r="H31" s="32">
        <v>3.759452199681345</v>
      </c>
      <c r="I31" s="32">
        <v>9.201589808409203</v>
      </c>
      <c r="J31" s="45" t="s">
        <v>1457</v>
      </c>
      <c r="K31" s="29">
        <v>28.8</v>
      </c>
      <c r="L31" s="41">
        <v>75.68205882352942</v>
      </c>
      <c r="M31" s="46">
        <v>29.0</v>
      </c>
      <c r="N31" s="46">
        <v>7.0</v>
      </c>
      <c r="O31" s="47">
        <v>1.0146777255025046</v>
      </c>
      <c r="P31" s="47">
        <v>1.527936414499926</v>
      </c>
      <c r="Q31" s="47">
        <v>-0.04820361500060045</v>
      </c>
      <c r="R31" s="47">
        <v>1.786490087801849</v>
      </c>
      <c r="S31" s="47">
        <v>1.6477929071282995</v>
      </c>
      <c r="T31" s="47">
        <v>-0.7689461889438562</v>
      </c>
      <c r="U31" s="47">
        <v>1.3419767269752467</v>
      </c>
      <c r="V31" s="47">
        <v>0.0</v>
      </c>
      <c r="W31" s="47">
        <v>-0.6640936309890483</v>
      </c>
      <c r="X31" s="47">
        <v>-2.078178227292976</v>
      </c>
      <c r="Y31" s="50" t="s">
        <v>69</v>
      </c>
      <c r="Z31" s="50" t="s">
        <v>69</v>
      </c>
      <c r="AA31" s="50" t="s">
        <v>69</v>
      </c>
      <c r="AB31" s="50" t="s">
        <v>69</v>
      </c>
      <c r="AC31" s="34" t="str">
        <f t="shared" ref="AC31:AP31" si="31">LET(
  skater, IFERROR(INDEX(AllProj, MATCH($E31, AllProjNames, 0), MATCH(AC$2, AllProjCats, 0) + 1), ""),
  goalie, IFERROR(INDEX(AllGProj, MATCH($E31, AllGProjNames, 0), MATCH(AC$2, AllGProjCats, 0) + 1), ""),
  val, IF(skater &lt;&gt; "", skater, goalie),
  IF(OR($E31="", AC$2="", val=""), "", val * AC$1)
)</f>
        <v/>
      </c>
      <c r="AD31" s="34" t="str">
        <f t="shared" si="31"/>
        <v/>
      </c>
      <c r="AE31" s="34" t="str">
        <f t="shared" si="31"/>
        <v/>
      </c>
      <c r="AF31" s="34" t="str">
        <f t="shared" si="31"/>
        <v/>
      </c>
      <c r="AG31" s="34" t="str">
        <f t="shared" si="31"/>
        <v/>
      </c>
      <c r="AH31" s="34" t="str">
        <f t="shared" si="31"/>
        <v/>
      </c>
      <c r="AI31" s="34" t="str">
        <f t="shared" si="31"/>
        <v/>
      </c>
      <c r="AJ31" s="34" t="str">
        <f t="shared" si="31"/>
        <v/>
      </c>
      <c r="AK31" s="34" t="str">
        <f t="shared" si="31"/>
        <v/>
      </c>
      <c r="AL31" s="34" t="str">
        <f t="shared" si="31"/>
        <v/>
      </c>
      <c r="AM31" s="34" t="str">
        <f t="shared" si="31"/>
        <v/>
      </c>
      <c r="AN31" s="34" t="str">
        <f t="shared" si="31"/>
        <v/>
      </c>
      <c r="AO31" s="34" t="str">
        <f t="shared" si="31"/>
        <v/>
      </c>
      <c r="AP31" s="34" t="str">
        <f t="shared" si="31"/>
        <v/>
      </c>
      <c r="AQ31" s="76" t="s">
        <v>58</v>
      </c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8"/>
    </row>
    <row r="32">
      <c r="A32" s="79" t="s">
        <v>69</v>
      </c>
      <c r="B32" s="79" t="b">
        <v>0</v>
      </c>
      <c r="C32" s="79" t="b">
        <f t="shared" si="3"/>
        <v>1</v>
      </c>
      <c r="D32" s="80" t="s">
        <v>22</v>
      </c>
      <c r="E32" s="81" t="s">
        <v>1458</v>
      </c>
      <c r="F32" s="82" t="s">
        <v>1439</v>
      </c>
      <c r="G32" s="35" t="s">
        <v>829</v>
      </c>
      <c r="H32" s="37">
        <v>3.4259022779040302</v>
      </c>
      <c r="I32" s="37">
        <v>8.868039886631887</v>
      </c>
      <c r="J32" s="83" t="s">
        <v>1459</v>
      </c>
      <c r="K32" s="35">
        <v>23.3</v>
      </c>
      <c r="L32" s="79">
        <v>83.4170588235294</v>
      </c>
      <c r="M32" s="84">
        <v>25.0</v>
      </c>
      <c r="N32" s="84">
        <v>6.0</v>
      </c>
      <c r="O32" s="85">
        <v>2.447692659511293</v>
      </c>
      <c r="P32" s="85">
        <v>0.8697807960840092</v>
      </c>
      <c r="Q32" s="85">
        <v>-0.31244479973079964</v>
      </c>
      <c r="R32" s="85">
        <v>-0.9636996893966187</v>
      </c>
      <c r="S32" s="85">
        <v>2.300947918725916</v>
      </c>
      <c r="T32" s="85">
        <v>-0.3856893362317885</v>
      </c>
      <c r="U32" s="85">
        <v>1.2442560327873105</v>
      </c>
      <c r="V32" s="85">
        <v>0.8402765818690755</v>
      </c>
      <c r="W32" s="85">
        <v>-1.529289169738301</v>
      </c>
      <c r="X32" s="85">
        <v>-1.0859287159760678</v>
      </c>
      <c r="Y32" s="50" t="s">
        <v>69</v>
      </c>
      <c r="Z32" s="50" t="s">
        <v>69</v>
      </c>
      <c r="AA32" s="50" t="s">
        <v>69</v>
      </c>
      <c r="AB32" s="50" t="s">
        <v>69</v>
      </c>
      <c r="AC32" s="34" t="str">
        <f t="shared" ref="AC32:AP32" si="32">LET(
  skater, IFERROR(INDEX(AllProj, MATCH($E32, AllProjNames, 0), MATCH(AC$2, AllProjCats, 0) + 1), ""),
  goalie, IFERROR(INDEX(AllGProj, MATCH($E32, AllGProjNames, 0), MATCH(AC$2, AllGProjCats, 0) + 1), ""),
  val, IF(skater &lt;&gt; "", skater, goalie),
  IF(OR($E32="", AC$2="", val=""), "", val * AC$1)
)</f>
        <v/>
      </c>
      <c r="AD32" s="34" t="str">
        <f t="shared" si="32"/>
        <v/>
      </c>
      <c r="AE32" s="34" t="str">
        <f t="shared" si="32"/>
        <v/>
      </c>
      <c r="AF32" s="34" t="str">
        <f t="shared" si="32"/>
        <v/>
      </c>
      <c r="AG32" s="34" t="str">
        <f t="shared" si="32"/>
        <v/>
      </c>
      <c r="AH32" s="34" t="str">
        <f t="shared" si="32"/>
        <v/>
      </c>
      <c r="AI32" s="34" t="str">
        <f t="shared" si="32"/>
        <v/>
      </c>
      <c r="AJ32" s="34" t="str">
        <f t="shared" si="32"/>
        <v/>
      </c>
      <c r="AK32" s="34" t="str">
        <f t="shared" si="32"/>
        <v/>
      </c>
      <c r="AL32" s="34" t="str">
        <f t="shared" si="32"/>
        <v/>
      </c>
      <c r="AM32" s="34" t="str">
        <f t="shared" si="32"/>
        <v/>
      </c>
      <c r="AN32" s="34" t="str">
        <f t="shared" si="32"/>
        <v/>
      </c>
      <c r="AO32" s="34" t="str">
        <f t="shared" si="32"/>
        <v/>
      </c>
      <c r="AP32" s="34" t="str">
        <f t="shared" si="32"/>
        <v/>
      </c>
      <c r="AQ32" s="76" t="s">
        <v>60</v>
      </c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8"/>
    </row>
    <row r="33">
      <c r="A33" s="41" t="s">
        <v>69</v>
      </c>
      <c r="B33" s="41" t="b">
        <v>0</v>
      </c>
      <c r="C33" s="41" t="b">
        <f t="shared" si="3"/>
        <v>1</v>
      </c>
      <c r="D33" s="42" t="s">
        <v>502</v>
      </c>
      <c r="E33" s="43" t="s">
        <v>1460</v>
      </c>
      <c r="F33" s="44" t="s">
        <v>1461</v>
      </c>
      <c r="G33" s="29" t="s">
        <v>837</v>
      </c>
      <c r="H33" s="32">
        <v>3.3300284407388427</v>
      </c>
      <c r="I33" s="32">
        <v>8.859887212667743</v>
      </c>
      <c r="J33" s="45" t="s">
        <v>1462</v>
      </c>
      <c r="K33" s="29">
        <v>29.2</v>
      </c>
      <c r="L33" s="41">
        <v>80.37352941176471</v>
      </c>
      <c r="M33" s="46">
        <v>23.0</v>
      </c>
      <c r="N33" s="46">
        <v>6.0</v>
      </c>
      <c r="O33" s="47">
        <v>0.0342075849108795</v>
      </c>
      <c r="P33" s="47">
        <v>2.247744604158418</v>
      </c>
      <c r="Q33" s="47">
        <v>0.22019606472230427</v>
      </c>
      <c r="R33" s="47">
        <v>-1.2658753935787583</v>
      </c>
      <c r="S33" s="47">
        <v>1.0056457604036504</v>
      </c>
      <c r="T33" s="47">
        <v>-0.08352472785992249</v>
      </c>
      <c r="U33" s="47">
        <v>2.4413467296151734</v>
      </c>
      <c r="V33" s="47">
        <v>0.0</v>
      </c>
      <c r="W33" s="47">
        <v>-2.051948548969422</v>
      </c>
      <c r="X33" s="47">
        <v>0.7822363673365187</v>
      </c>
      <c r="Y33" s="50" t="s">
        <v>69</v>
      </c>
      <c r="Z33" s="50" t="s">
        <v>69</v>
      </c>
      <c r="AA33" s="50" t="s">
        <v>69</v>
      </c>
      <c r="AB33" s="50" t="s">
        <v>69</v>
      </c>
      <c r="AC33" s="34" t="str">
        <f t="shared" ref="AC33:AP33" si="33">LET(
  skater, IFERROR(INDEX(AllProj, MATCH($E33, AllProjNames, 0), MATCH(AC$2, AllProjCats, 0) + 1), ""),
  goalie, IFERROR(INDEX(AllGProj, MATCH($E33, AllGProjNames, 0), MATCH(AC$2, AllGProjCats, 0) + 1), ""),
  val, IF(skater &lt;&gt; "", skater, goalie),
  IF(OR($E33="", AC$2="", val=""), "", val * AC$1)
)</f>
        <v/>
      </c>
      <c r="AD33" s="34" t="str">
        <f t="shared" si="33"/>
        <v/>
      </c>
      <c r="AE33" s="34" t="str">
        <f t="shared" si="33"/>
        <v/>
      </c>
      <c r="AF33" s="34" t="str">
        <f t="shared" si="33"/>
        <v/>
      </c>
      <c r="AG33" s="34" t="str">
        <f t="shared" si="33"/>
        <v/>
      </c>
      <c r="AH33" s="34" t="str">
        <f t="shared" si="33"/>
        <v/>
      </c>
      <c r="AI33" s="34" t="str">
        <f t="shared" si="33"/>
        <v/>
      </c>
      <c r="AJ33" s="34" t="str">
        <f t="shared" si="33"/>
        <v/>
      </c>
      <c r="AK33" s="34" t="str">
        <f t="shared" si="33"/>
        <v/>
      </c>
      <c r="AL33" s="34" t="str">
        <f t="shared" si="33"/>
        <v/>
      </c>
      <c r="AM33" s="34" t="str">
        <f t="shared" si="33"/>
        <v/>
      </c>
      <c r="AN33" s="34" t="str">
        <f t="shared" si="33"/>
        <v/>
      </c>
      <c r="AO33" s="34" t="str">
        <f t="shared" si="33"/>
        <v/>
      </c>
      <c r="AP33" s="34" t="str">
        <f t="shared" si="33"/>
        <v/>
      </c>
      <c r="AQ33" s="76" t="s">
        <v>62</v>
      </c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8"/>
    </row>
    <row r="34">
      <c r="A34" s="79" t="s">
        <v>69</v>
      </c>
      <c r="B34" s="79" t="b">
        <v>0</v>
      </c>
      <c r="C34" s="79" t="b">
        <f t="shared" si="3"/>
        <v>1</v>
      </c>
      <c r="D34" s="80" t="s">
        <v>824</v>
      </c>
      <c r="E34" s="81" t="s">
        <v>1463</v>
      </c>
      <c r="F34" s="82" t="s">
        <v>1464</v>
      </c>
      <c r="G34" s="35" t="s">
        <v>284</v>
      </c>
      <c r="H34" s="37">
        <v>3.2929153712588155</v>
      </c>
      <c r="I34" s="37">
        <v>8.3309813914419</v>
      </c>
      <c r="J34" s="83" t="s">
        <v>1465</v>
      </c>
      <c r="K34" s="35">
        <v>27.7</v>
      </c>
      <c r="L34" s="79">
        <v>80.81779411764705</v>
      </c>
      <c r="M34" s="84">
        <v>24.0</v>
      </c>
      <c r="N34" s="84">
        <v>7.0</v>
      </c>
      <c r="O34" s="85">
        <v>1.259164110488489</v>
      </c>
      <c r="P34" s="85">
        <v>0.6514500092093112</v>
      </c>
      <c r="Q34" s="85">
        <v>-0.3864792192826405</v>
      </c>
      <c r="R34" s="85">
        <v>-1.4333792455973282</v>
      </c>
      <c r="S34" s="85">
        <v>1.1715801622613506</v>
      </c>
      <c r="T34" s="85">
        <v>0.2969591383376394</v>
      </c>
      <c r="U34" s="85">
        <v>0.8615317961728224</v>
      </c>
      <c r="V34" s="85">
        <v>3.333518309688799</v>
      </c>
      <c r="W34" s="85">
        <v>-1.5782920358699597</v>
      </c>
      <c r="X34" s="85">
        <v>-0.8831376541496676</v>
      </c>
      <c r="Y34" s="50" t="s">
        <v>69</v>
      </c>
      <c r="Z34" s="50" t="s">
        <v>69</v>
      </c>
      <c r="AA34" s="50" t="s">
        <v>69</v>
      </c>
      <c r="AB34" s="50" t="s">
        <v>69</v>
      </c>
      <c r="AC34" s="34" t="str">
        <f t="shared" ref="AC34:AP34" si="34">LET(
  skater, IFERROR(INDEX(AllProj, MATCH($E34, AllProjNames, 0), MATCH(AC$2, AllProjCats, 0) + 1), ""),
  goalie, IFERROR(INDEX(AllGProj, MATCH($E34, AllGProjNames, 0), MATCH(AC$2, AllGProjCats, 0) + 1), ""),
  val, IF(skater &lt;&gt; "", skater, goalie),
  IF(OR($E34="", AC$2="", val=""), "", val * AC$1)
)</f>
        <v/>
      </c>
      <c r="AD34" s="34" t="str">
        <f t="shared" si="34"/>
        <v/>
      </c>
      <c r="AE34" s="34" t="str">
        <f t="shared" si="34"/>
        <v/>
      </c>
      <c r="AF34" s="34" t="str">
        <f t="shared" si="34"/>
        <v/>
      </c>
      <c r="AG34" s="34" t="str">
        <f t="shared" si="34"/>
        <v/>
      </c>
      <c r="AH34" s="34" t="str">
        <f t="shared" si="34"/>
        <v/>
      </c>
      <c r="AI34" s="34" t="str">
        <f t="shared" si="34"/>
        <v/>
      </c>
      <c r="AJ34" s="34" t="str">
        <f t="shared" si="34"/>
        <v/>
      </c>
      <c r="AK34" s="34" t="str">
        <f t="shared" si="34"/>
        <v/>
      </c>
      <c r="AL34" s="34" t="str">
        <f t="shared" si="34"/>
        <v/>
      </c>
      <c r="AM34" s="34" t="str">
        <f t="shared" si="34"/>
        <v/>
      </c>
      <c r="AN34" s="34" t="str">
        <f t="shared" si="34"/>
        <v/>
      </c>
      <c r="AO34" s="34" t="str">
        <f t="shared" si="34"/>
        <v/>
      </c>
      <c r="AP34" s="34" t="str">
        <f t="shared" si="34"/>
        <v/>
      </c>
      <c r="AQ34" s="76" t="s">
        <v>63</v>
      </c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8"/>
    </row>
    <row r="35">
      <c r="A35" s="41" t="s">
        <v>69</v>
      </c>
      <c r="B35" s="41" t="b">
        <v>0</v>
      </c>
      <c r="C35" s="41" t="b">
        <f t="shared" si="3"/>
        <v>1</v>
      </c>
      <c r="D35" s="42" t="s">
        <v>826</v>
      </c>
      <c r="E35" s="43" t="s">
        <v>1466</v>
      </c>
      <c r="F35" s="44" t="s">
        <v>854</v>
      </c>
      <c r="G35" s="29" t="s">
        <v>835</v>
      </c>
      <c r="H35" s="32">
        <v>3.0913986572583547</v>
      </c>
      <c r="I35" s="32">
        <v>8.479278782171093</v>
      </c>
      <c r="J35" s="45" t="s">
        <v>1467</v>
      </c>
      <c r="K35" s="29">
        <v>31.9</v>
      </c>
      <c r="L35" s="41">
        <v>81.19014705882353</v>
      </c>
      <c r="M35" s="46">
        <v>16.0</v>
      </c>
      <c r="N35" s="46">
        <v>6.0</v>
      </c>
      <c r="O35" s="47">
        <v>1.8365365995546712</v>
      </c>
      <c r="P35" s="47">
        <v>1.1370602607853688</v>
      </c>
      <c r="Q35" s="47">
        <v>1.6478511382852685</v>
      </c>
      <c r="R35" s="47">
        <v>-0.5979118022238747</v>
      </c>
      <c r="S35" s="47">
        <v>1.575174203429822</v>
      </c>
      <c r="T35" s="47">
        <v>-0.36723617933370095</v>
      </c>
      <c r="U35" s="47">
        <v>1.1314502818117107</v>
      </c>
      <c r="V35" s="47">
        <v>0.0</v>
      </c>
      <c r="W35" s="47">
        <v>-1.8680486607826816</v>
      </c>
      <c r="X35" s="47">
        <v>-1.4034771842682292</v>
      </c>
      <c r="Y35" s="50" t="s">
        <v>69</v>
      </c>
      <c r="Z35" s="50" t="s">
        <v>69</v>
      </c>
      <c r="AA35" s="50" t="s">
        <v>69</v>
      </c>
      <c r="AB35" s="50" t="s">
        <v>69</v>
      </c>
      <c r="AC35" s="34" t="str">
        <f t="shared" ref="AC35:AP35" si="35">LET(
  skater, IFERROR(INDEX(AllProj, MATCH($E35, AllProjNames, 0), MATCH(AC$2, AllProjCats, 0) + 1), ""),
  goalie, IFERROR(INDEX(AllGProj, MATCH($E35, AllGProjNames, 0), MATCH(AC$2, AllGProjCats, 0) + 1), ""),
  val, IF(skater &lt;&gt; "", skater, goalie),
  IF(OR($E35="", AC$2="", val=""), "", val * AC$1)
)</f>
        <v/>
      </c>
      <c r="AD35" s="34" t="str">
        <f t="shared" si="35"/>
        <v/>
      </c>
      <c r="AE35" s="34" t="str">
        <f t="shared" si="35"/>
        <v/>
      </c>
      <c r="AF35" s="34" t="str">
        <f t="shared" si="35"/>
        <v/>
      </c>
      <c r="AG35" s="34" t="str">
        <f t="shared" si="35"/>
        <v/>
      </c>
      <c r="AH35" s="34" t="str">
        <f t="shared" si="35"/>
        <v/>
      </c>
      <c r="AI35" s="34" t="str">
        <f t="shared" si="35"/>
        <v/>
      </c>
      <c r="AJ35" s="34" t="str">
        <f t="shared" si="35"/>
        <v/>
      </c>
      <c r="AK35" s="34" t="str">
        <f t="shared" si="35"/>
        <v/>
      </c>
      <c r="AL35" s="34" t="str">
        <f t="shared" si="35"/>
        <v/>
      </c>
      <c r="AM35" s="34" t="str">
        <f t="shared" si="35"/>
        <v/>
      </c>
      <c r="AN35" s="34" t="str">
        <f t="shared" si="35"/>
        <v/>
      </c>
      <c r="AO35" s="34" t="str">
        <f t="shared" si="35"/>
        <v/>
      </c>
      <c r="AP35" s="34" t="str">
        <f t="shared" si="35"/>
        <v/>
      </c>
      <c r="AQ35" s="76" t="s">
        <v>65</v>
      </c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8"/>
    </row>
    <row r="36">
      <c r="A36" s="79" t="s">
        <v>69</v>
      </c>
      <c r="B36" s="79" t="b">
        <v>0</v>
      </c>
      <c r="C36" s="79" t="b">
        <f t="shared" si="3"/>
        <v>1</v>
      </c>
      <c r="D36" s="80" t="s">
        <v>773</v>
      </c>
      <c r="E36" s="81" t="s">
        <v>1468</v>
      </c>
      <c r="F36" s="82" t="s">
        <v>930</v>
      </c>
      <c r="G36" s="35" t="s">
        <v>829</v>
      </c>
      <c r="H36" s="37">
        <v>2.9720295667953973</v>
      </c>
      <c r="I36" s="37">
        <v>8.414167175523254</v>
      </c>
      <c r="J36" s="83" t="s">
        <v>1469</v>
      </c>
      <c r="K36" s="35">
        <v>30.9</v>
      </c>
      <c r="L36" s="79">
        <v>80.19220588235294</v>
      </c>
      <c r="M36" s="84">
        <v>29.0</v>
      </c>
      <c r="N36" s="84">
        <v>7.0</v>
      </c>
      <c r="O36" s="85">
        <v>2.3133389328862095</v>
      </c>
      <c r="P36" s="85">
        <v>0.5056186425851618</v>
      </c>
      <c r="Q36" s="85">
        <v>-0.5644177498637016</v>
      </c>
      <c r="R36" s="85">
        <v>-1.5491103523188527</v>
      </c>
      <c r="S36" s="85">
        <v>1.6151260308864468</v>
      </c>
      <c r="T36" s="85">
        <v>1.699643339631382</v>
      </c>
      <c r="U36" s="85">
        <v>0.9999007310131535</v>
      </c>
      <c r="V36" s="85">
        <v>0.0</v>
      </c>
      <c r="W36" s="85">
        <v>-0.9817727080538414</v>
      </c>
      <c r="X36" s="85">
        <v>-1.0662972999705602</v>
      </c>
      <c r="Y36" s="50" t="s">
        <v>69</v>
      </c>
      <c r="Z36" s="50" t="s">
        <v>69</v>
      </c>
      <c r="AA36" s="50" t="s">
        <v>69</v>
      </c>
      <c r="AB36" s="50" t="s">
        <v>69</v>
      </c>
      <c r="AC36" s="34" t="str">
        <f t="shared" ref="AC36:AP36" si="36">LET(
  skater, IFERROR(INDEX(AllProj, MATCH($E36, AllProjNames, 0), MATCH(AC$2, AllProjCats, 0) + 1), ""),
  goalie, IFERROR(INDEX(AllGProj, MATCH($E36, AllGProjNames, 0), MATCH(AC$2, AllGProjCats, 0) + 1), ""),
  val, IF(skater &lt;&gt; "", skater, goalie),
  IF(OR($E36="", AC$2="", val=""), "", val * AC$1)
)</f>
        <v/>
      </c>
      <c r="AD36" s="34" t="str">
        <f t="shared" si="36"/>
        <v/>
      </c>
      <c r="AE36" s="34" t="str">
        <f t="shared" si="36"/>
        <v/>
      </c>
      <c r="AF36" s="34" t="str">
        <f t="shared" si="36"/>
        <v/>
      </c>
      <c r="AG36" s="34" t="str">
        <f t="shared" si="36"/>
        <v/>
      </c>
      <c r="AH36" s="34" t="str">
        <f t="shared" si="36"/>
        <v/>
      </c>
      <c r="AI36" s="34" t="str">
        <f t="shared" si="36"/>
        <v/>
      </c>
      <c r="AJ36" s="34" t="str">
        <f t="shared" si="36"/>
        <v/>
      </c>
      <c r="AK36" s="34" t="str">
        <f t="shared" si="36"/>
        <v/>
      </c>
      <c r="AL36" s="34" t="str">
        <f t="shared" si="36"/>
        <v/>
      </c>
      <c r="AM36" s="34" t="str">
        <f t="shared" si="36"/>
        <v/>
      </c>
      <c r="AN36" s="34" t="str">
        <f t="shared" si="36"/>
        <v/>
      </c>
      <c r="AO36" s="34" t="str">
        <f t="shared" si="36"/>
        <v/>
      </c>
      <c r="AP36" s="34" t="str">
        <f t="shared" si="36"/>
        <v/>
      </c>
      <c r="AQ36" s="76" t="s">
        <v>66</v>
      </c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8"/>
    </row>
    <row r="37">
      <c r="A37" s="41" t="s">
        <v>69</v>
      </c>
      <c r="B37" s="41" t="b">
        <v>0</v>
      </c>
      <c r="C37" s="41" t="b">
        <f t="shared" si="3"/>
        <v>1</v>
      </c>
      <c r="D37" s="42" t="s">
        <v>773</v>
      </c>
      <c r="E37" s="43" t="s">
        <v>1470</v>
      </c>
      <c r="F37" s="44" t="s">
        <v>1411</v>
      </c>
      <c r="G37" s="29" t="s">
        <v>832</v>
      </c>
      <c r="H37" s="32">
        <v>2.9497660934689676</v>
      </c>
      <c r="I37" s="32">
        <v>8.391903702196824</v>
      </c>
      <c r="J37" s="45" t="s">
        <v>1471</v>
      </c>
      <c r="K37" s="29">
        <v>30.3</v>
      </c>
      <c r="L37" s="41">
        <v>81.43485294117647</v>
      </c>
      <c r="M37" s="46">
        <v>33.0</v>
      </c>
      <c r="N37" s="46">
        <v>8.0</v>
      </c>
      <c r="O37" s="47">
        <v>1.1231609105952134</v>
      </c>
      <c r="P37" s="47">
        <v>0.008673092640809503</v>
      </c>
      <c r="Q37" s="47">
        <v>0.6513881887805258</v>
      </c>
      <c r="R37" s="47">
        <v>0.20175644574181456</v>
      </c>
      <c r="S37" s="47">
        <v>-0.5381384398754413</v>
      </c>
      <c r="T37" s="47">
        <v>1.8552575118204164</v>
      </c>
      <c r="U37" s="47">
        <v>0.627634749188296</v>
      </c>
      <c r="V37" s="47">
        <v>0.0</v>
      </c>
      <c r="W37" s="47">
        <v>-1.059661985900353</v>
      </c>
      <c r="X37" s="47">
        <v>0.0796956204776864</v>
      </c>
      <c r="Y37" s="50" t="s">
        <v>69</v>
      </c>
      <c r="Z37" s="50" t="s">
        <v>69</v>
      </c>
      <c r="AA37" s="50" t="s">
        <v>69</v>
      </c>
      <c r="AB37" s="50" t="s">
        <v>69</v>
      </c>
      <c r="AC37" s="34" t="str">
        <f t="shared" ref="AC37:AP37" si="37">LET(
  skater, IFERROR(INDEX(AllProj, MATCH($E37, AllProjNames, 0), MATCH(AC$2, AllProjCats, 0) + 1), ""),
  goalie, IFERROR(INDEX(AllGProj, MATCH($E37, AllGProjNames, 0), MATCH(AC$2, AllGProjCats, 0) + 1), ""),
  val, IF(skater &lt;&gt; "", skater, goalie),
  IF(OR($E37="", AC$2="", val=""), "", val * AC$1)
)</f>
        <v/>
      </c>
      <c r="AD37" s="34" t="str">
        <f t="shared" si="37"/>
        <v/>
      </c>
      <c r="AE37" s="34" t="str">
        <f t="shared" si="37"/>
        <v/>
      </c>
      <c r="AF37" s="34" t="str">
        <f t="shared" si="37"/>
        <v/>
      </c>
      <c r="AG37" s="34" t="str">
        <f t="shared" si="37"/>
        <v/>
      </c>
      <c r="AH37" s="34" t="str">
        <f t="shared" si="37"/>
        <v/>
      </c>
      <c r="AI37" s="34" t="str">
        <f t="shared" si="37"/>
        <v/>
      </c>
      <c r="AJ37" s="34" t="str">
        <f t="shared" si="37"/>
        <v/>
      </c>
      <c r="AK37" s="34" t="str">
        <f t="shared" si="37"/>
        <v/>
      </c>
      <c r="AL37" s="34" t="str">
        <f t="shared" si="37"/>
        <v/>
      </c>
      <c r="AM37" s="34" t="str">
        <f t="shared" si="37"/>
        <v/>
      </c>
      <c r="AN37" s="34" t="str">
        <f t="shared" si="37"/>
        <v/>
      </c>
      <c r="AO37" s="34" t="str">
        <f t="shared" si="37"/>
        <v/>
      </c>
      <c r="AP37" s="34" t="str">
        <f t="shared" si="37"/>
        <v/>
      </c>
      <c r="AQ37" s="76" t="s">
        <v>68</v>
      </c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8"/>
    </row>
    <row r="38">
      <c r="A38" s="79" t="s">
        <v>69</v>
      </c>
      <c r="B38" s="79" t="b">
        <v>0</v>
      </c>
      <c r="C38" s="79" t="b">
        <f t="shared" si="3"/>
        <v>1</v>
      </c>
      <c r="D38" s="80" t="s">
        <v>827</v>
      </c>
      <c r="E38" s="81" t="s">
        <v>1472</v>
      </c>
      <c r="F38" s="82" t="s">
        <v>1473</v>
      </c>
      <c r="G38" s="35" t="s">
        <v>6</v>
      </c>
      <c r="H38" s="37">
        <v>2.9379889670135726</v>
      </c>
      <c r="I38" s="37">
        <v>7.276211945483686</v>
      </c>
      <c r="J38" s="83" t="s">
        <v>1474</v>
      </c>
      <c r="K38" s="35">
        <v>31.1</v>
      </c>
      <c r="L38" s="79">
        <v>58.0</v>
      </c>
      <c r="M38" s="84">
        <v>25.0</v>
      </c>
      <c r="N38" s="84">
        <v>6.0</v>
      </c>
      <c r="O38" s="96" t="s">
        <v>69</v>
      </c>
      <c r="P38" s="96" t="s">
        <v>69</v>
      </c>
      <c r="Q38" s="96" t="s">
        <v>69</v>
      </c>
      <c r="R38" s="96" t="s">
        <v>69</v>
      </c>
      <c r="S38" s="96" t="s">
        <v>69</v>
      </c>
      <c r="T38" s="96" t="s">
        <v>69</v>
      </c>
      <c r="U38" s="96" t="s">
        <v>69</v>
      </c>
      <c r="V38" s="96" t="s">
        <v>69</v>
      </c>
      <c r="W38" s="96" t="s">
        <v>69</v>
      </c>
      <c r="X38" s="96" t="s">
        <v>69</v>
      </c>
      <c r="Y38" s="95">
        <v>0.8474553296888792</v>
      </c>
      <c r="Z38" s="95">
        <v>-0.20361187930576785</v>
      </c>
      <c r="AA38" s="95">
        <v>0.9134709371681305</v>
      </c>
      <c r="AB38" s="95">
        <v>1.3806745794623307</v>
      </c>
      <c r="AC38" s="34" t="str">
        <f t="shared" ref="AC38:AP38" si="38">LET(
  skater, IFERROR(INDEX(AllProj, MATCH($E38, AllProjNames, 0), MATCH(AC$2, AllProjCats, 0) + 1), ""),
  goalie, IFERROR(INDEX(AllGProj, MATCH($E38, AllGProjNames, 0), MATCH(AC$2, AllGProjCats, 0) + 1), ""),
  val, IF(skater &lt;&gt; "", skater, goalie),
  IF(OR($E38="", AC$2="", val=""), "", val * AC$1)
)</f>
        <v/>
      </c>
      <c r="AD38" s="34" t="str">
        <f t="shared" si="38"/>
        <v/>
      </c>
      <c r="AE38" s="34" t="str">
        <f t="shared" si="38"/>
        <v/>
      </c>
      <c r="AF38" s="34" t="str">
        <f t="shared" si="38"/>
        <v/>
      </c>
      <c r="AG38" s="34" t="str">
        <f t="shared" si="38"/>
        <v/>
      </c>
      <c r="AH38" s="34" t="str">
        <f t="shared" si="38"/>
        <v/>
      </c>
      <c r="AI38" s="34" t="str">
        <f t="shared" si="38"/>
        <v/>
      </c>
      <c r="AJ38" s="34" t="str">
        <f t="shared" si="38"/>
        <v/>
      </c>
      <c r="AK38" s="34" t="str">
        <f t="shared" si="38"/>
        <v/>
      </c>
      <c r="AL38" s="34" t="str">
        <f t="shared" si="38"/>
        <v/>
      </c>
      <c r="AM38" s="34" t="str">
        <f t="shared" si="38"/>
        <v/>
      </c>
      <c r="AN38" s="34" t="str">
        <f t="shared" si="38"/>
        <v/>
      </c>
      <c r="AO38" s="34" t="str">
        <f t="shared" si="38"/>
        <v/>
      </c>
      <c r="AP38" s="34" t="str">
        <f t="shared" si="38"/>
        <v/>
      </c>
      <c r="AQ38" s="76" t="s">
        <v>70</v>
      </c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8"/>
    </row>
    <row r="39">
      <c r="A39" s="41" t="s">
        <v>69</v>
      </c>
      <c r="B39" s="41" t="b">
        <v>0</v>
      </c>
      <c r="C39" s="41" t="b">
        <f t="shared" si="3"/>
        <v>1</v>
      </c>
      <c r="D39" s="42" t="s">
        <v>502</v>
      </c>
      <c r="E39" s="43" t="s">
        <v>1475</v>
      </c>
      <c r="F39" s="44" t="s">
        <v>1426</v>
      </c>
      <c r="G39" s="29" t="s">
        <v>6</v>
      </c>
      <c r="H39" s="32">
        <v>2.8511711819418277</v>
      </c>
      <c r="I39" s="32">
        <v>7.189394160411942</v>
      </c>
      <c r="J39" s="45" t="s">
        <v>1476</v>
      </c>
      <c r="K39" s="29">
        <v>27.8</v>
      </c>
      <c r="L39" s="41">
        <v>56.2</v>
      </c>
      <c r="M39" s="46">
        <v>23.0</v>
      </c>
      <c r="N39" s="46">
        <v>6.0</v>
      </c>
      <c r="O39" s="94" t="s">
        <v>69</v>
      </c>
      <c r="P39" s="94" t="s">
        <v>69</v>
      </c>
      <c r="Q39" s="94" t="s">
        <v>69</v>
      </c>
      <c r="R39" s="94" t="s">
        <v>69</v>
      </c>
      <c r="S39" s="94" t="s">
        <v>69</v>
      </c>
      <c r="T39" s="94" t="s">
        <v>69</v>
      </c>
      <c r="U39" s="94" t="s">
        <v>69</v>
      </c>
      <c r="V39" s="94" t="s">
        <v>69</v>
      </c>
      <c r="W39" s="94" t="s">
        <v>69</v>
      </c>
      <c r="X39" s="94" t="s">
        <v>69</v>
      </c>
      <c r="Y39" s="95">
        <v>0.823392231031477</v>
      </c>
      <c r="Z39" s="95">
        <v>0.5534521714090794</v>
      </c>
      <c r="AA39" s="95">
        <v>0.9410448804215005</v>
      </c>
      <c r="AB39" s="95">
        <v>0.5332818990797707</v>
      </c>
      <c r="AC39" s="34" t="str">
        <f t="shared" ref="AC39:AP39" si="39">LET(
  skater, IFERROR(INDEX(AllProj, MATCH($E39, AllProjNames, 0), MATCH(AC$2, AllProjCats, 0) + 1), ""),
  goalie, IFERROR(INDEX(AllGProj, MATCH($E39, AllGProjNames, 0), MATCH(AC$2, AllGProjCats, 0) + 1), ""),
  val, IF(skater &lt;&gt; "", skater, goalie),
  IF(OR($E39="", AC$2="", val=""), "", val * AC$1)
)</f>
        <v/>
      </c>
      <c r="AD39" s="34" t="str">
        <f t="shared" si="39"/>
        <v/>
      </c>
      <c r="AE39" s="34" t="str">
        <f t="shared" si="39"/>
        <v/>
      </c>
      <c r="AF39" s="34" t="str">
        <f t="shared" si="39"/>
        <v/>
      </c>
      <c r="AG39" s="34" t="str">
        <f t="shared" si="39"/>
        <v/>
      </c>
      <c r="AH39" s="34" t="str">
        <f t="shared" si="39"/>
        <v/>
      </c>
      <c r="AI39" s="34" t="str">
        <f t="shared" si="39"/>
        <v/>
      </c>
      <c r="AJ39" s="34" t="str">
        <f t="shared" si="39"/>
        <v/>
      </c>
      <c r="AK39" s="34" t="str">
        <f t="shared" si="39"/>
        <v/>
      </c>
      <c r="AL39" s="34" t="str">
        <f t="shared" si="39"/>
        <v/>
      </c>
      <c r="AM39" s="34" t="str">
        <f t="shared" si="39"/>
        <v/>
      </c>
      <c r="AN39" s="34" t="str">
        <f t="shared" si="39"/>
        <v/>
      </c>
      <c r="AO39" s="34" t="str">
        <f t="shared" si="39"/>
        <v/>
      </c>
      <c r="AP39" s="34" t="str">
        <f t="shared" si="39"/>
        <v/>
      </c>
      <c r="AQ39" s="76" t="s">
        <v>72</v>
      </c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8"/>
    </row>
    <row r="40">
      <c r="A40" s="79" t="s">
        <v>69</v>
      </c>
      <c r="B40" s="79" t="b">
        <v>0</v>
      </c>
      <c r="C40" s="79" t="b">
        <f t="shared" si="3"/>
        <v>1</v>
      </c>
      <c r="D40" s="80" t="s">
        <v>824</v>
      </c>
      <c r="E40" s="81" t="s">
        <v>1477</v>
      </c>
      <c r="F40" s="82" t="s">
        <v>1464</v>
      </c>
      <c r="G40" s="35" t="s">
        <v>830</v>
      </c>
      <c r="H40" s="37">
        <v>2.767085592187155</v>
      </c>
      <c r="I40" s="37">
        <v>8.154965717099895</v>
      </c>
      <c r="J40" s="83" t="s">
        <v>1478</v>
      </c>
      <c r="K40" s="35">
        <v>25.3</v>
      </c>
      <c r="L40" s="79">
        <v>74.97985294117647</v>
      </c>
      <c r="M40" s="84">
        <v>24.0</v>
      </c>
      <c r="N40" s="84">
        <v>7.0</v>
      </c>
      <c r="O40" s="85">
        <v>1.761291498184038</v>
      </c>
      <c r="P40" s="85">
        <v>2.0763488092402365</v>
      </c>
      <c r="Q40" s="85">
        <v>0.3170093506768935</v>
      </c>
      <c r="R40" s="85">
        <v>-1.8118963182759293</v>
      </c>
      <c r="S40" s="85">
        <v>1.8832229718450886</v>
      </c>
      <c r="T40" s="85">
        <v>-0.13646455901025217</v>
      </c>
      <c r="U40" s="85">
        <v>2.724255452880507</v>
      </c>
      <c r="V40" s="85">
        <v>0.0</v>
      </c>
      <c r="W40" s="85">
        <v>-2.462099166155166</v>
      </c>
      <c r="X40" s="85">
        <v>-1.5845824471982606</v>
      </c>
      <c r="Y40" s="50" t="s">
        <v>69</v>
      </c>
      <c r="Z40" s="50" t="s">
        <v>69</v>
      </c>
      <c r="AA40" s="50" t="s">
        <v>69</v>
      </c>
      <c r="AB40" s="50" t="s">
        <v>69</v>
      </c>
      <c r="AC40" s="34" t="str">
        <f t="shared" ref="AC40:AP40" si="40">LET(
  skater, IFERROR(INDEX(AllProj, MATCH($E40, AllProjNames, 0), MATCH(AC$2, AllProjCats, 0) + 1), ""),
  goalie, IFERROR(INDEX(AllGProj, MATCH($E40, AllGProjNames, 0), MATCH(AC$2, AllGProjCats, 0) + 1), ""),
  val, IF(skater &lt;&gt; "", skater, goalie),
  IF(OR($E40="", AC$2="", val=""), "", val * AC$1)
)</f>
        <v/>
      </c>
      <c r="AD40" s="34" t="str">
        <f t="shared" si="40"/>
        <v/>
      </c>
      <c r="AE40" s="34" t="str">
        <f t="shared" si="40"/>
        <v/>
      </c>
      <c r="AF40" s="34" t="str">
        <f t="shared" si="40"/>
        <v/>
      </c>
      <c r="AG40" s="34" t="str">
        <f t="shared" si="40"/>
        <v/>
      </c>
      <c r="AH40" s="34" t="str">
        <f t="shared" si="40"/>
        <v/>
      </c>
      <c r="AI40" s="34" t="str">
        <f t="shared" si="40"/>
        <v/>
      </c>
      <c r="AJ40" s="34" t="str">
        <f t="shared" si="40"/>
        <v/>
      </c>
      <c r="AK40" s="34" t="str">
        <f t="shared" si="40"/>
        <v/>
      </c>
      <c r="AL40" s="34" t="str">
        <f t="shared" si="40"/>
        <v/>
      </c>
      <c r="AM40" s="34" t="str">
        <f t="shared" si="40"/>
        <v/>
      </c>
      <c r="AN40" s="34" t="str">
        <f t="shared" si="40"/>
        <v/>
      </c>
      <c r="AO40" s="34" t="str">
        <f t="shared" si="40"/>
        <v/>
      </c>
      <c r="AP40" s="34" t="str">
        <f t="shared" si="40"/>
        <v/>
      </c>
      <c r="AQ40" s="76" t="s">
        <v>73</v>
      </c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8"/>
    </row>
    <row r="41">
      <c r="A41" s="41" t="s">
        <v>69</v>
      </c>
      <c r="B41" s="41" t="b">
        <v>0</v>
      </c>
      <c r="C41" s="41" t="b">
        <f t="shared" si="3"/>
        <v>1</v>
      </c>
      <c r="D41" s="42" t="s">
        <v>827</v>
      </c>
      <c r="E41" s="43" t="s">
        <v>1479</v>
      </c>
      <c r="F41" s="44" t="s">
        <v>1429</v>
      </c>
      <c r="G41" s="29" t="s">
        <v>837</v>
      </c>
      <c r="H41" s="32">
        <v>2.705094351910342</v>
      </c>
      <c r="I41" s="32">
        <v>8.234953123839244</v>
      </c>
      <c r="J41" s="45" t="s">
        <v>1480</v>
      </c>
      <c r="K41" s="29">
        <v>26.9</v>
      </c>
      <c r="L41" s="41">
        <v>79.53264705882353</v>
      </c>
      <c r="M41" s="46">
        <v>24.0</v>
      </c>
      <c r="N41" s="46">
        <v>7.0</v>
      </c>
      <c r="O41" s="47">
        <v>-0.8615209473863136</v>
      </c>
      <c r="P41" s="47">
        <v>3.4844266523248897</v>
      </c>
      <c r="Q41" s="47">
        <v>0.49758507244961764</v>
      </c>
      <c r="R41" s="47">
        <v>-0.6596500383983602</v>
      </c>
      <c r="S41" s="47">
        <v>2.667140153050326</v>
      </c>
      <c r="T41" s="47">
        <v>-0.7846959897962925</v>
      </c>
      <c r="U41" s="47">
        <v>0.8541211243216247</v>
      </c>
      <c r="V41" s="47">
        <v>0.0</v>
      </c>
      <c r="W41" s="47">
        <v>-2.3720170625178025</v>
      </c>
      <c r="X41" s="47">
        <v>-0.12029461213734756</v>
      </c>
      <c r="Y41" s="50" t="s">
        <v>69</v>
      </c>
      <c r="Z41" s="50" t="s">
        <v>69</v>
      </c>
      <c r="AA41" s="50" t="s">
        <v>69</v>
      </c>
      <c r="AB41" s="50" t="s">
        <v>69</v>
      </c>
      <c r="AC41" s="34" t="str">
        <f t="shared" ref="AC41:AP41" si="41">LET(
  skater, IFERROR(INDEX(AllProj, MATCH($E41, AllProjNames, 0), MATCH(AC$2, AllProjCats, 0) + 1), ""),
  goalie, IFERROR(INDEX(AllGProj, MATCH($E41, AllGProjNames, 0), MATCH(AC$2, AllGProjCats, 0) + 1), ""),
  val, IF(skater &lt;&gt; "", skater, goalie),
  IF(OR($E41="", AC$2="", val=""), "", val * AC$1)
)</f>
        <v/>
      </c>
      <c r="AD41" s="34" t="str">
        <f t="shared" si="41"/>
        <v/>
      </c>
      <c r="AE41" s="34" t="str">
        <f t="shared" si="41"/>
        <v/>
      </c>
      <c r="AF41" s="34" t="str">
        <f t="shared" si="41"/>
        <v/>
      </c>
      <c r="AG41" s="34" t="str">
        <f t="shared" si="41"/>
        <v/>
      </c>
      <c r="AH41" s="34" t="str">
        <f t="shared" si="41"/>
        <v/>
      </c>
      <c r="AI41" s="34" t="str">
        <f t="shared" si="41"/>
        <v/>
      </c>
      <c r="AJ41" s="34" t="str">
        <f t="shared" si="41"/>
        <v/>
      </c>
      <c r="AK41" s="34" t="str">
        <f t="shared" si="41"/>
        <v/>
      </c>
      <c r="AL41" s="34" t="str">
        <f t="shared" si="41"/>
        <v/>
      </c>
      <c r="AM41" s="34" t="str">
        <f t="shared" si="41"/>
        <v/>
      </c>
      <c r="AN41" s="34" t="str">
        <f t="shared" si="41"/>
        <v/>
      </c>
      <c r="AO41" s="34" t="str">
        <f t="shared" si="41"/>
        <v/>
      </c>
      <c r="AP41" s="34" t="str">
        <f t="shared" si="41"/>
        <v/>
      </c>
      <c r="AQ41" s="76" t="s">
        <v>75</v>
      </c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8"/>
    </row>
    <row r="42">
      <c r="A42" s="79" t="s">
        <v>69</v>
      </c>
      <c r="B42" s="79" t="b">
        <v>0</v>
      </c>
      <c r="C42" s="79" t="b">
        <f t="shared" si="3"/>
        <v>1</v>
      </c>
      <c r="D42" s="80" t="s">
        <v>824</v>
      </c>
      <c r="E42" s="81" t="s">
        <v>1481</v>
      </c>
      <c r="F42" s="82" t="s">
        <v>1482</v>
      </c>
      <c r="G42" s="35" t="s">
        <v>830</v>
      </c>
      <c r="H42" s="37">
        <v>2.6417048415054714</v>
      </c>
      <c r="I42" s="37">
        <v>8.02958496641821</v>
      </c>
      <c r="J42" s="83" t="s">
        <v>1483</v>
      </c>
      <c r="K42" s="35">
        <v>24.7</v>
      </c>
      <c r="L42" s="79">
        <v>82.52499999999999</v>
      </c>
      <c r="M42" s="84">
        <v>27.0</v>
      </c>
      <c r="N42" s="84">
        <v>6.0</v>
      </c>
      <c r="O42" s="85">
        <v>1.0764032976705655</v>
      </c>
      <c r="P42" s="85">
        <v>1.5182533384126096</v>
      </c>
      <c r="Q42" s="85">
        <v>-0.6020814578982474</v>
      </c>
      <c r="R42" s="85">
        <v>-0.5586913485049537</v>
      </c>
      <c r="S42" s="85">
        <v>1.5909973279277585</v>
      </c>
      <c r="T42" s="85">
        <v>0.14707655945520595</v>
      </c>
      <c r="U42" s="85">
        <v>0.5986959010627652</v>
      </c>
      <c r="V42" s="85">
        <v>0.33195327377803735</v>
      </c>
      <c r="W42" s="85">
        <v>-0.13387566972638887</v>
      </c>
      <c r="X42" s="85">
        <v>-1.327026380671881</v>
      </c>
      <c r="Y42" s="50" t="s">
        <v>69</v>
      </c>
      <c r="Z42" s="50" t="s">
        <v>69</v>
      </c>
      <c r="AA42" s="50" t="s">
        <v>69</v>
      </c>
      <c r="AB42" s="50" t="s">
        <v>69</v>
      </c>
      <c r="AC42" s="34" t="str">
        <f t="shared" ref="AC42:AP42" si="42">LET(
  skater, IFERROR(INDEX(AllProj, MATCH($E42, AllProjNames, 0), MATCH(AC$2, AllProjCats, 0) + 1), ""),
  goalie, IFERROR(INDEX(AllGProj, MATCH($E42, AllGProjNames, 0), MATCH(AC$2, AllGProjCats, 0) + 1), ""),
  val, IF(skater &lt;&gt; "", skater, goalie),
  IF(OR($E42="", AC$2="", val=""), "", val * AC$1)
)</f>
        <v/>
      </c>
      <c r="AD42" s="34" t="str">
        <f t="shared" si="42"/>
        <v/>
      </c>
      <c r="AE42" s="34" t="str">
        <f t="shared" si="42"/>
        <v/>
      </c>
      <c r="AF42" s="34" t="str">
        <f t="shared" si="42"/>
        <v/>
      </c>
      <c r="AG42" s="34" t="str">
        <f t="shared" si="42"/>
        <v/>
      </c>
      <c r="AH42" s="34" t="str">
        <f t="shared" si="42"/>
        <v/>
      </c>
      <c r="AI42" s="34" t="str">
        <f t="shared" si="42"/>
        <v/>
      </c>
      <c r="AJ42" s="34" t="str">
        <f t="shared" si="42"/>
        <v/>
      </c>
      <c r="AK42" s="34" t="str">
        <f t="shared" si="42"/>
        <v/>
      </c>
      <c r="AL42" s="34" t="str">
        <f t="shared" si="42"/>
        <v/>
      </c>
      <c r="AM42" s="34" t="str">
        <f t="shared" si="42"/>
        <v/>
      </c>
      <c r="AN42" s="34" t="str">
        <f t="shared" si="42"/>
        <v/>
      </c>
      <c r="AO42" s="34" t="str">
        <f t="shared" si="42"/>
        <v/>
      </c>
      <c r="AP42" s="34" t="str">
        <f t="shared" si="42"/>
        <v/>
      </c>
      <c r="AQ42" s="76" t="s">
        <v>76</v>
      </c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8"/>
    </row>
    <row r="43">
      <c r="A43" s="41" t="s">
        <v>69</v>
      </c>
      <c r="B43" s="41" t="b">
        <v>0</v>
      </c>
      <c r="C43" s="41" t="b">
        <f t="shared" si="3"/>
        <v>1</v>
      </c>
      <c r="D43" s="42" t="s">
        <v>502</v>
      </c>
      <c r="E43" s="43" t="s">
        <v>1484</v>
      </c>
      <c r="F43" s="44" t="s">
        <v>1451</v>
      </c>
      <c r="G43" s="29" t="s">
        <v>284</v>
      </c>
      <c r="H43" s="32">
        <v>2.5731840725191972</v>
      </c>
      <c r="I43" s="32">
        <v>7.611250092702282</v>
      </c>
      <c r="J43" s="45" t="s">
        <v>1485</v>
      </c>
      <c r="K43" s="29">
        <v>30.1</v>
      </c>
      <c r="L43" s="41">
        <v>79.86058823529413</v>
      </c>
      <c r="M43" s="46">
        <v>29.0</v>
      </c>
      <c r="N43" s="46">
        <v>7.0</v>
      </c>
      <c r="O43" s="47">
        <v>1.5539246101680637</v>
      </c>
      <c r="P43" s="47">
        <v>0.3420158757229263</v>
      </c>
      <c r="Q43" s="47">
        <v>-1.431320507615519</v>
      </c>
      <c r="R43" s="47">
        <v>-0.24365850213948867</v>
      </c>
      <c r="S43" s="47">
        <v>1.2373475879185212</v>
      </c>
      <c r="T43" s="47">
        <v>0.1356486972714865</v>
      </c>
      <c r="U43" s="47">
        <v>1.5757981864979032</v>
      </c>
      <c r="V43" s="47">
        <v>2.6709435776033055</v>
      </c>
      <c r="W43" s="47">
        <v>-1.6467336174417786</v>
      </c>
      <c r="X43" s="47">
        <v>-1.6207818354662233</v>
      </c>
      <c r="Y43" s="50" t="s">
        <v>69</v>
      </c>
      <c r="Z43" s="50" t="s">
        <v>69</v>
      </c>
      <c r="AA43" s="50" t="s">
        <v>69</v>
      </c>
      <c r="AB43" s="50" t="s">
        <v>69</v>
      </c>
      <c r="AC43" s="34" t="str">
        <f t="shared" ref="AC43:AP43" si="43">LET(
  skater, IFERROR(INDEX(AllProj, MATCH($E43, AllProjNames, 0), MATCH(AC$2, AllProjCats, 0) + 1), ""),
  goalie, IFERROR(INDEX(AllGProj, MATCH($E43, AllGProjNames, 0), MATCH(AC$2, AllGProjCats, 0) + 1), ""),
  val, IF(skater &lt;&gt; "", skater, goalie),
  IF(OR($E43="", AC$2="", val=""), "", val * AC$1)
)</f>
        <v/>
      </c>
      <c r="AD43" s="34" t="str">
        <f t="shared" si="43"/>
        <v/>
      </c>
      <c r="AE43" s="34" t="str">
        <f t="shared" si="43"/>
        <v/>
      </c>
      <c r="AF43" s="34" t="str">
        <f t="shared" si="43"/>
        <v/>
      </c>
      <c r="AG43" s="34" t="str">
        <f t="shared" si="43"/>
        <v/>
      </c>
      <c r="AH43" s="34" t="str">
        <f t="shared" si="43"/>
        <v/>
      </c>
      <c r="AI43" s="34" t="str">
        <f t="shared" si="43"/>
        <v/>
      </c>
      <c r="AJ43" s="34" t="str">
        <f t="shared" si="43"/>
        <v/>
      </c>
      <c r="AK43" s="34" t="str">
        <f t="shared" si="43"/>
        <v/>
      </c>
      <c r="AL43" s="34" t="str">
        <f t="shared" si="43"/>
        <v/>
      </c>
      <c r="AM43" s="34" t="str">
        <f t="shared" si="43"/>
        <v/>
      </c>
      <c r="AN43" s="34" t="str">
        <f t="shared" si="43"/>
        <v/>
      </c>
      <c r="AO43" s="34" t="str">
        <f t="shared" si="43"/>
        <v/>
      </c>
      <c r="AP43" s="34" t="str">
        <f t="shared" si="43"/>
        <v/>
      </c>
      <c r="AQ43" s="76" t="s">
        <v>77</v>
      </c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8"/>
    </row>
    <row r="44">
      <c r="A44" s="79" t="s">
        <v>69</v>
      </c>
      <c r="B44" s="79" t="b">
        <v>0</v>
      </c>
      <c r="C44" s="79" t="b">
        <f t="shared" si="3"/>
        <v>1</v>
      </c>
      <c r="D44" s="80" t="s">
        <v>824</v>
      </c>
      <c r="E44" s="81" t="s">
        <v>1486</v>
      </c>
      <c r="F44" s="82" t="s">
        <v>1429</v>
      </c>
      <c r="G44" s="35" t="s">
        <v>284</v>
      </c>
      <c r="H44" s="37">
        <v>2.5535937140035454</v>
      </c>
      <c r="I44" s="37">
        <v>7.5916597341866305</v>
      </c>
      <c r="J44" s="83" t="s">
        <v>1487</v>
      </c>
      <c r="K44" s="35">
        <v>29.6</v>
      </c>
      <c r="L44" s="79">
        <v>77.02058823529411</v>
      </c>
      <c r="M44" s="84">
        <v>24.0</v>
      </c>
      <c r="N44" s="84">
        <v>7.0</v>
      </c>
      <c r="O44" s="85">
        <v>0.38820434950812494</v>
      </c>
      <c r="P44" s="85">
        <v>-0.1028107516759541</v>
      </c>
      <c r="Q44" s="85">
        <v>0.6137108877284114</v>
      </c>
      <c r="R44" s="85">
        <v>-0.47761383047460654</v>
      </c>
      <c r="S44" s="85">
        <v>0.3472826773112743</v>
      </c>
      <c r="T44" s="85">
        <v>-0.3530960675525055</v>
      </c>
      <c r="U44" s="85">
        <v>1.2220797784791495</v>
      </c>
      <c r="V44" s="85">
        <v>2.2407560738063776</v>
      </c>
      <c r="W44" s="85">
        <v>-0.06844100653932148</v>
      </c>
      <c r="X44" s="85">
        <v>-1.2564783965874047</v>
      </c>
      <c r="Y44" s="50" t="s">
        <v>69</v>
      </c>
      <c r="Z44" s="50" t="s">
        <v>69</v>
      </c>
      <c r="AA44" s="50" t="s">
        <v>69</v>
      </c>
      <c r="AB44" s="50" t="s">
        <v>69</v>
      </c>
      <c r="AC44" s="34" t="str">
        <f t="shared" ref="AC44:AP44" si="44">LET(
  skater, IFERROR(INDEX(AllProj, MATCH($E44, AllProjNames, 0), MATCH(AC$2, AllProjCats, 0) + 1), ""),
  goalie, IFERROR(INDEX(AllGProj, MATCH($E44, AllGProjNames, 0), MATCH(AC$2, AllGProjCats, 0) + 1), ""),
  val, IF(skater &lt;&gt; "", skater, goalie),
  IF(OR($E44="", AC$2="", val=""), "", val * AC$1)
)</f>
        <v/>
      </c>
      <c r="AD44" s="34" t="str">
        <f t="shared" si="44"/>
        <v/>
      </c>
      <c r="AE44" s="34" t="str">
        <f t="shared" si="44"/>
        <v/>
      </c>
      <c r="AF44" s="34" t="str">
        <f t="shared" si="44"/>
        <v/>
      </c>
      <c r="AG44" s="34" t="str">
        <f t="shared" si="44"/>
        <v/>
      </c>
      <c r="AH44" s="34" t="str">
        <f t="shared" si="44"/>
        <v/>
      </c>
      <c r="AI44" s="34" t="str">
        <f t="shared" si="44"/>
        <v/>
      </c>
      <c r="AJ44" s="34" t="str">
        <f t="shared" si="44"/>
        <v/>
      </c>
      <c r="AK44" s="34" t="str">
        <f t="shared" si="44"/>
        <v/>
      </c>
      <c r="AL44" s="34" t="str">
        <f t="shared" si="44"/>
        <v/>
      </c>
      <c r="AM44" s="34" t="str">
        <f t="shared" si="44"/>
        <v/>
      </c>
      <c r="AN44" s="34" t="str">
        <f t="shared" si="44"/>
        <v/>
      </c>
      <c r="AO44" s="34" t="str">
        <f t="shared" si="44"/>
        <v/>
      </c>
      <c r="AP44" s="34" t="str">
        <f t="shared" si="44"/>
        <v/>
      </c>
      <c r="AQ44" s="76" t="s">
        <v>78</v>
      </c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8"/>
    </row>
    <row r="45">
      <c r="A45" s="41" t="s">
        <v>69</v>
      </c>
      <c r="B45" s="41" t="b">
        <v>0</v>
      </c>
      <c r="C45" s="41" t="b">
        <f t="shared" si="3"/>
        <v>1</v>
      </c>
      <c r="D45" s="42" t="s">
        <v>22</v>
      </c>
      <c r="E45" s="43" t="s">
        <v>1488</v>
      </c>
      <c r="F45" s="44" t="s">
        <v>1489</v>
      </c>
      <c r="G45" s="29" t="s">
        <v>832</v>
      </c>
      <c r="H45" s="32">
        <v>2.5273283492903733</v>
      </c>
      <c r="I45" s="32">
        <v>7.9694659580182305</v>
      </c>
      <c r="J45" s="45" t="s">
        <v>1490</v>
      </c>
      <c r="K45" s="29">
        <v>30.0</v>
      </c>
      <c r="L45" s="41">
        <v>82.33205882352941</v>
      </c>
      <c r="M45" s="46">
        <v>28.0</v>
      </c>
      <c r="N45" s="46">
        <v>7.0</v>
      </c>
      <c r="O45" s="47">
        <v>1.7168250620759324</v>
      </c>
      <c r="P45" s="47">
        <v>0.47500089205101953</v>
      </c>
      <c r="Q45" s="47">
        <v>0.20409583592434485</v>
      </c>
      <c r="R45" s="47">
        <v>0.27009773244645063</v>
      </c>
      <c r="S45" s="47">
        <v>0.4690421766926004</v>
      </c>
      <c r="T45" s="47">
        <v>-0.30232016561950775</v>
      </c>
      <c r="U45" s="47">
        <v>1.5557401601331307</v>
      </c>
      <c r="V45" s="47">
        <v>0.0</v>
      </c>
      <c r="W45" s="47">
        <v>-0.27689201336420577</v>
      </c>
      <c r="X45" s="47">
        <v>-1.584261331049392</v>
      </c>
      <c r="Y45" s="50" t="s">
        <v>69</v>
      </c>
      <c r="Z45" s="50" t="s">
        <v>69</v>
      </c>
      <c r="AA45" s="50" t="s">
        <v>69</v>
      </c>
      <c r="AB45" s="50" t="s">
        <v>69</v>
      </c>
      <c r="AC45" s="34" t="str">
        <f t="shared" ref="AC45:AP45" si="45">LET(
  skater, IFERROR(INDEX(AllProj, MATCH($E45, AllProjNames, 0), MATCH(AC$2, AllProjCats, 0) + 1), ""),
  goalie, IFERROR(INDEX(AllGProj, MATCH($E45, AllGProjNames, 0), MATCH(AC$2, AllGProjCats, 0) + 1), ""),
  val, IF(skater &lt;&gt; "", skater, goalie),
  IF(OR($E45="", AC$2="", val=""), "", val * AC$1)
)</f>
        <v/>
      </c>
      <c r="AD45" s="34" t="str">
        <f t="shared" si="45"/>
        <v/>
      </c>
      <c r="AE45" s="34" t="str">
        <f t="shared" si="45"/>
        <v/>
      </c>
      <c r="AF45" s="34" t="str">
        <f t="shared" si="45"/>
        <v/>
      </c>
      <c r="AG45" s="34" t="str">
        <f t="shared" si="45"/>
        <v/>
      </c>
      <c r="AH45" s="34" t="str">
        <f t="shared" si="45"/>
        <v/>
      </c>
      <c r="AI45" s="34" t="str">
        <f t="shared" si="45"/>
        <v/>
      </c>
      <c r="AJ45" s="34" t="str">
        <f t="shared" si="45"/>
        <v/>
      </c>
      <c r="AK45" s="34" t="str">
        <f t="shared" si="45"/>
        <v/>
      </c>
      <c r="AL45" s="34" t="str">
        <f t="shared" si="45"/>
        <v/>
      </c>
      <c r="AM45" s="34" t="str">
        <f t="shared" si="45"/>
        <v/>
      </c>
      <c r="AN45" s="34" t="str">
        <f t="shared" si="45"/>
        <v/>
      </c>
      <c r="AO45" s="34" t="str">
        <f t="shared" si="45"/>
        <v/>
      </c>
      <c r="AP45" s="34" t="str">
        <f t="shared" si="45"/>
        <v/>
      </c>
      <c r="AQ45" s="76" t="s">
        <v>79</v>
      </c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8"/>
    </row>
    <row r="46">
      <c r="A46" s="79" t="s">
        <v>69</v>
      </c>
      <c r="B46" s="79" t="b">
        <v>0</v>
      </c>
      <c r="C46" s="79" t="b">
        <f t="shared" si="3"/>
        <v>1</v>
      </c>
      <c r="D46" s="80" t="s">
        <v>22</v>
      </c>
      <c r="E46" s="81" t="s">
        <v>1491</v>
      </c>
      <c r="F46" s="82" t="s">
        <v>1461</v>
      </c>
      <c r="G46" s="35" t="s">
        <v>6</v>
      </c>
      <c r="H46" s="37">
        <v>2.51890462499974</v>
      </c>
      <c r="I46" s="37">
        <v>6.857127603469854</v>
      </c>
      <c r="J46" s="83" t="s">
        <v>1492</v>
      </c>
      <c r="K46" s="35">
        <v>25.5</v>
      </c>
      <c r="L46" s="79">
        <v>54.8</v>
      </c>
      <c r="M46" s="84">
        <v>23.0</v>
      </c>
      <c r="N46" s="84">
        <v>6.0</v>
      </c>
      <c r="O46" s="96" t="s">
        <v>69</v>
      </c>
      <c r="P46" s="96" t="s">
        <v>69</v>
      </c>
      <c r="Q46" s="96" t="s">
        <v>69</v>
      </c>
      <c r="R46" s="96" t="s">
        <v>69</v>
      </c>
      <c r="S46" s="96" t="s">
        <v>69</v>
      </c>
      <c r="T46" s="96" t="s">
        <v>69</v>
      </c>
      <c r="U46" s="96" t="s">
        <v>69</v>
      </c>
      <c r="V46" s="96" t="s">
        <v>69</v>
      </c>
      <c r="W46" s="96" t="s">
        <v>69</v>
      </c>
      <c r="X46" s="96" t="s">
        <v>69</v>
      </c>
      <c r="Y46" s="95">
        <v>0.7601483650085913</v>
      </c>
      <c r="Z46" s="95">
        <v>0.23315584226048217</v>
      </c>
      <c r="AA46" s="95">
        <v>1.2443582562085689</v>
      </c>
      <c r="AB46" s="95">
        <v>0.2812421615220976</v>
      </c>
      <c r="AC46" s="34" t="str">
        <f t="shared" ref="AC46:AP46" si="46">LET(
  skater, IFERROR(INDEX(AllProj, MATCH($E46, AllProjNames, 0), MATCH(AC$2, AllProjCats, 0) + 1), ""),
  goalie, IFERROR(INDEX(AllGProj, MATCH($E46, AllGProjNames, 0), MATCH(AC$2, AllGProjCats, 0) + 1), ""),
  val, IF(skater &lt;&gt; "", skater, goalie),
  IF(OR($E46="", AC$2="", val=""), "", val * AC$1)
)</f>
        <v/>
      </c>
      <c r="AD46" s="34" t="str">
        <f t="shared" si="46"/>
        <v/>
      </c>
      <c r="AE46" s="34" t="str">
        <f t="shared" si="46"/>
        <v/>
      </c>
      <c r="AF46" s="34" t="str">
        <f t="shared" si="46"/>
        <v/>
      </c>
      <c r="AG46" s="34" t="str">
        <f t="shared" si="46"/>
        <v/>
      </c>
      <c r="AH46" s="34" t="str">
        <f t="shared" si="46"/>
        <v/>
      </c>
      <c r="AI46" s="34" t="str">
        <f t="shared" si="46"/>
        <v/>
      </c>
      <c r="AJ46" s="34" t="str">
        <f t="shared" si="46"/>
        <v/>
      </c>
      <c r="AK46" s="34" t="str">
        <f t="shared" si="46"/>
        <v/>
      </c>
      <c r="AL46" s="34" t="str">
        <f t="shared" si="46"/>
        <v/>
      </c>
      <c r="AM46" s="34" t="str">
        <f t="shared" si="46"/>
        <v/>
      </c>
      <c r="AN46" s="34" t="str">
        <f t="shared" si="46"/>
        <v/>
      </c>
      <c r="AO46" s="34" t="str">
        <f t="shared" si="46"/>
        <v/>
      </c>
      <c r="AP46" s="34" t="str">
        <f t="shared" si="46"/>
        <v/>
      </c>
      <c r="AQ46" s="76" t="s">
        <v>80</v>
      </c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8"/>
    </row>
    <row r="47">
      <c r="A47" s="41" t="s">
        <v>69</v>
      </c>
      <c r="B47" s="41" t="b">
        <v>0</v>
      </c>
      <c r="C47" s="41" t="b">
        <f t="shared" si="3"/>
        <v>1</v>
      </c>
      <c r="D47" s="42" t="s">
        <v>22</v>
      </c>
      <c r="E47" s="43" t="s">
        <v>1493</v>
      </c>
      <c r="F47" s="44" t="s">
        <v>1444</v>
      </c>
      <c r="G47" s="29" t="s">
        <v>829</v>
      </c>
      <c r="H47" s="32">
        <v>2.4425841229502065</v>
      </c>
      <c r="I47" s="32">
        <v>7.884721731678064</v>
      </c>
      <c r="J47" s="45" t="s">
        <v>1494</v>
      </c>
      <c r="K47" s="29">
        <v>33.5</v>
      </c>
      <c r="L47" s="41">
        <v>79.18882352941176</v>
      </c>
      <c r="M47" s="46">
        <v>33.0</v>
      </c>
      <c r="N47" s="46">
        <v>6.0</v>
      </c>
      <c r="O47" s="47">
        <v>0.3222377313636004</v>
      </c>
      <c r="P47" s="47">
        <v>1.2360214130515068</v>
      </c>
      <c r="Q47" s="47">
        <v>-2.0908471077752133</v>
      </c>
      <c r="R47" s="47">
        <v>-0.07240163988735847</v>
      </c>
      <c r="S47" s="47">
        <v>1.2609146823947732</v>
      </c>
      <c r="T47" s="47">
        <v>0.5198771405722935</v>
      </c>
      <c r="U47" s="47">
        <v>-0.018844806111358896</v>
      </c>
      <c r="V47" s="47">
        <v>1.9297656987628187</v>
      </c>
      <c r="W47" s="47">
        <v>0.6081575587706305</v>
      </c>
      <c r="X47" s="47">
        <v>-1.2522965481914856</v>
      </c>
      <c r="Y47" s="50" t="s">
        <v>69</v>
      </c>
      <c r="Z47" s="50" t="s">
        <v>69</v>
      </c>
      <c r="AA47" s="50" t="s">
        <v>69</v>
      </c>
      <c r="AB47" s="50" t="s">
        <v>69</v>
      </c>
      <c r="AC47" s="34" t="str">
        <f t="shared" ref="AC47:AP47" si="47">LET(
  skater, IFERROR(INDEX(AllProj, MATCH($E47, AllProjNames, 0), MATCH(AC$2, AllProjCats, 0) + 1), ""),
  goalie, IFERROR(INDEX(AllGProj, MATCH($E47, AllGProjNames, 0), MATCH(AC$2, AllGProjCats, 0) + 1), ""),
  val, IF(skater &lt;&gt; "", skater, goalie),
  IF(OR($E47="", AC$2="", val=""), "", val * AC$1)
)</f>
        <v/>
      </c>
      <c r="AD47" s="34" t="str">
        <f t="shared" si="47"/>
        <v/>
      </c>
      <c r="AE47" s="34" t="str">
        <f t="shared" si="47"/>
        <v/>
      </c>
      <c r="AF47" s="34" t="str">
        <f t="shared" si="47"/>
        <v/>
      </c>
      <c r="AG47" s="34" t="str">
        <f t="shared" si="47"/>
        <v/>
      </c>
      <c r="AH47" s="34" t="str">
        <f t="shared" si="47"/>
        <v/>
      </c>
      <c r="AI47" s="34" t="str">
        <f t="shared" si="47"/>
        <v/>
      </c>
      <c r="AJ47" s="34" t="str">
        <f t="shared" si="47"/>
        <v/>
      </c>
      <c r="AK47" s="34" t="str">
        <f t="shared" si="47"/>
        <v/>
      </c>
      <c r="AL47" s="34" t="str">
        <f t="shared" si="47"/>
        <v/>
      </c>
      <c r="AM47" s="34" t="str">
        <f t="shared" si="47"/>
        <v/>
      </c>
      <c r="AN47" s="34" t="str">
        <f t="shared" si="47"/>
        <v/>
      </c>
      <c r="AO47" s="34" t="str">
        <f t="shared" si="47"/>
        <v/>
      </c>
      <c r="AP47" s="34" t="str">
        <f t="shared" si="47"/>
        <v/>
      </c>
      <c r="AQ47" s="76" t="s">
        <v>81</v>
      </c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8"/>
    </row>
    <row r="48">
      <c r="A48" s="79" t="s">
        <v>69</v>
      </c>
      <c r="B48" s="79" t="b">
        <v>0</v>
      </c>
      <c r="C48" s="79" t="b">
        <f t="shared" si="3"/>
        <v>1</v>
      </c>
      <c r="D48" s="80" t="s">
        <v>825</v>
      </c>
      <c r="E48" s="81" t="s">
        <v>1495</v>
      </c>
      <c r="F48" s="82" t="s">
        <v>1419</v>
      </c>
      <c r="G48" s="35" t="s">
        <v>836</v>
      </c>
      <c r="H48" s="37">
        <v>2.333176829835954</v>
      </c>
      <c r="I48" s="37">
        <v>7.775314438563811</v>
      </c>
      <c r="J48" s="83" t="s">
        <v>1496</v>
      </c>
      <c r="K48" s="35">
        <v>26.5</v>
      </c>
      <c r="L48" s="79">
        <v>79.0275</v>
      </c>
      <c r="M48" s="84">
        <v>23.0</v>
      </c>
      <c r="N48" s="84">
        <v>7.0</v>
      </c>
      <c r="O48" s="85">
        <v>0.9208719747331372</v>
      </c>
      <c r="P48" s="85">
        <v>0.5251000985687259</v>
      </c>
      <c r="Q48" s="85">
        <v>-0.03028886521236131</v>
      </c>
      <c r="R48" s="85">
        <v>1.158081979328005</v>
      </c>
      <c r="S48" s="85">
        <v>1.2291566930335014</v>
      </c>
      <c r="T48" s="85">
        <v>-0.7865002374699135</v>
      </c>
      <c r="U48" s="85">
        <v>0.8323798497704833</v>
      </c>
      <c r="V48" s="85">
        <v>0.0</v>
      </c>
      <c r="W48" s="85">
        <v>0.5372119663336444</v>
      </c>
      <c r="X48" s="85">
        <v>-2.0528366292492684</v>
      </c>
      <c r="Y48" s="50" t="s">
        <v>69</v>
      </c>
      <c r="Z48" s="50" t="s">
        <v>69</v>
      </c>
      <c r="AA48" s="50" t="s">
        <v>69</v>
      </c>
      <c r="AB48" s="50" t="s">
        <v>69</v>
      </c>
      <c r="AC48" s="34" t="str">
        <f t="shared" ref="AC48:AP48" si="48">LET(
  skater, IFERROR(INDEX(AllProj, MATCH($E48, AllProjNames, 0), MATCH(AC$2, AllProjCats, 0) + 1), ""),
  goalie, IFERROR(INDEX(AllGProj, MATCH($E48, AllGProjNames, 0), MATCH(AC$2, AllGProjCats, 0) + 1), ""),
  val, IF(skater &lt;&gt; "", skater, goalie),
  IF(OR($E48="", AC$2="", val=""), "", val * AC$1)
)</f>
        <v/>
      </c>
      <c r="AD48" s="34" t="str">
        <f t="shared" si="48"/>
        <v/>
      </c>
      <c r="AE48" s="34" t="str">
        <f t="shared" si="48"/>
        <v/>
      </c>
      <c r="AF48" s="34" t="str">
        <f t="shared" si="48"/>
        <v/>
      </c>
      <c r="AG48" s="34" t="str">
        <f t="shared" si="48"/>
        <v/>
      </c>
      <c r="AH48" s="34" t="str">
        <f t="shared" si="48"/>
        <v/>
      </c>
      <c r="AI48" s="34" t="str">
        <f t="shared" si="48"/>
        <v/>
      </c>
      <c r="AJ48" s="34" t="str">
        <f t="shared" si="48"/>
        <v/>
      </c>
      <c r="AK48" s="34" t="str">
        <f t="shared" si="48"/>
        <v/>
      </c>
      <c r="AL48" s="34" t="str">
        <f t="shared" si="48"/>
        <v/>
      </c>
      <c r="AM48" s="34" t="str">
        <f t="shared" si="48"/>
        <v/>
      </c>
      <c r="AN48" s="34" t="str">
        <f t="shared" si="48"/>
        <v/>
      </c>
      <c r="AO48" s="34" t="str">
        <f t="shared" si="48"/>
        <v/>
      </c>
      <c r="AP48" s="34" t="str">
        <f t="shared" si="48"/>
        <v/>
      </c>
      <c r="AQ48" s="76" t="s">
        <v>82</v>
      </c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8"/>
    </row>
    <row r="49">
      <c r="A49" s="41" t="s">
        <v>69</v>
      </c>
      <c r="B49" s="41" t="b">
        <v>0</v>
      </c>
      <c r="C49" s="41" t="b">
        <f t="shared" si="3"/>
        <v>1</v>
      </c>
      <c r="D49" s="42" t="s">
        <v>825</v>
      </c>
      <c r="E49" s="43" t="s">
        <v>1497</v>
      </c>
      <c r="F49" s="44" t="s">
        <v>1498</v>
      </c>
      <c r="G49" s="29" t="s">
        <v>284</v>
      </c>
      <c r="H49" s="32">
        <v>2.3246117975872944</v>
      </c>
      <c r="I49" s="32">
        <v>7.362677817770379</v>
      </c>
      <c r="J49" s="45" t="s">
        <v>1499</v>
      </c>
      <c r="K49" s="29">
        <v>39.1</v>
      </c>
      <c r="L49" s="41">
        <v>79.28294117647059</v>
      </c>
      <c r="M49" s="46">
        <v>28.0</v>
      </c>
      <c r="N49" s="46">
        <v>7.0</v>
      </c>
      <c r="O49" s="47">
        <v>1.2857819542158624</v>
      </c>
      <c r="P49" s="47">
        <v>1.4870860200969263</v>
      </c>
      <c r="Q49" s="47">
        <v>-1.2681430780963825</v>
      </c>
      <c r="R49" s="47">
        <v>-0.5669688264292484</v>
      </c>
      <c r="S49" s="47">
        <v>1.2180016303470846</v>
      </c>
      <c r="T49" s="47">
        <v>-0.7792667268761306</v>
      </c>
      <c r="U49" s="47">
        <v>0.7856221553606751</v>
      </c>
      <c r="V49" s="47">
        <v>3.013795163110811</v>
      </c>
      <c r="W49" s="47">
        <v>-1.216399366334957</v>
      </c>
      <c r="X49" s="47">
        <v>-1.634897127807346</v>
      </c>
      <c r="Y49" s="50" t="s">
        <v>69</v>
      </c>
      <c r="Z49" s="50" t="s">
        <v>69</v>
      </c>
      <c r="AA49" s="50" t="s">
        <v>69</v>
      </c>
      <c r="AB49" s="50" t="s">
        <v>69</v>
      </c>
      <c r="AC49" s="34" t="str">
        <f t="shared" ref="AC49:AP49" si="49">LET(
  skater, IFERROR(INDEX(AllProj, MATCH($E49, AllProjNames, 0), MATCH(AC$2, AllProjCats, 0) + 1), ""),
  goalie, IFERROR(INDEX(AllGProj, MATCH($E49, AllGProjNames, 0), MATCH(AC$2, AllGProjCats, 0) + 1), ""),
  val, IF(skater &lt;&gt; "", skater, goalie),
  IF(OR($E49="", AC$2="", val=""), "", val * AC$1)
)</f>
        <v/>
      </c>
      <c r="AD49" s="34" t="str">
        <f t="shared" si="49"/>
        <v/>
      </c>
      <c r="AE49" s="34" t="str">
        <f t="shared" si="49"/>
        <v/>
      </c>
      <c r="AF49" s="34" t="str">
        <f t="shared" si="49"/>
        <v/>
      </c>
      <c r="AG49" s="34" t="str">
        <f t="shared" si="49"/>
        <v/>
      </c>
      <c r="AH49" s="34" t="str">
        <f t="shared" si="49"/>
        <v/>
      </c>
      <c r="AI49" s="34" t="str">
        <f t="shared" si="49"/>
        <v/>
      </c>
      <c r="AJ49" s="34" t="str">
        <f t="shared" si="49"/>
        <v/>
      </c>
      <c r="AK49" s="34" t="str">
        <f t="shared" si="49"/>
        <v/>
      </c>
      <c r="AL49" s="34" t="str">
        <f t="shared" si="49"/>
        <v/>
      </c>
      <c r="AM49" s="34" t="str">
        <f t="shared" si="49"/>
        <v/>
      </c>
      <c r="AN49" s="34" t="str">
        <f t="shared" si="49"/>
        <v/>
      </c>
      <c r="AO49" s="34" t="str">
        <f t="shared" si="49"/>
        <v/>
      </c>
      <c r="AP49" s="34" t="str">
        <f t="shared" si="49"/>
        <v/>
      </c>
      <c r="AQ49" s="76" t="s">
        <v>83</v>
      </c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8"/>
    </row>
    <row r="50">
      <c r="A50" s="79" t="s">
        <v>69</v>
      </c>
      <c r="B50" s="79" t="b">
        <v>0</v>
      </c>
      <c r="C50" s="79" t="b">
        <f t="shared" si="3"/>
        <v>1</v>
      </c>
      <c r="D50" s="80" t="s">
        <v>502</v>
      </c>
      <c r="E50" s="81" t="s">
        <v>1500</v>
      </c>
      <c r="F50" s="82" t="s">
        <v>1473</v>
      </c>
      <c r="G50" s="35" t="s">
        <v>284</v>
      </c>
      <c r="H50" s="37">
        <v>2.270893567333704</v>
      </c>
      <c r="I50" s="37">
        <v>7.308959587516789</v>
      </c>
      <c r="J50" s="83" t="s">
        <v>1501</v>
      </c>
      <c r="K50" s="35">
        <v>31.4</v>
      </c>
      <c r="L50" s="79">
        <v>79.87823529411764</v>
      </c>
      <c r="M50" s="84">
        <v>25.0</v>
      </c>
      <c r="N50" s="84">
        <v>6.0</v>
      </c>
      <c r="O50" s="85">
        <v>1.6006041173924268</v>
      </c>
      <c r="P50" s="85">
        <v>-0.07728555442524199</v>
      </c>
      <c r="Q50" s="85">
        <v>-0.8835321786469682</v>
      </c>
      <c r="R50" s="85">
        <v>-0.8697114389799956</v>
      </c>
      <c r="S50" s="85">
        <v>0.21279328580786366</v>
      </c>
      <c r="T50" s="85">
        <v>0.523220587877682</v>
      </c>
      <c r="U50" s="85">
        <v>1.905932230841571</v>
      </c>
      <c r="V50" s="85">
        <v>2.496721519983146</v>
      </c>
      <c r="W50" s="85">
        <v>-1.2327109745718408</v>
      </c>
      <c r="X50" s="85">
        <v>-1.4051380279449384</v>
      </c>
      <c r="Y50" s="50" t="s">
        <v>69</v>
      </c>
      <c r="Z50" s="50" t="s">
        <v>69</v>
      </c>
      <c r="AA50" s="50" t="s">
        <v>69</v>
      </c>
      <c r="AB50" s="50" t="s">
        <v>69</v>
      </c>
      <c r="AC50" s="34" t="str">
        <f t="shared" ref="AC50:AP50" si="50">LET(
  skater, IFERROR(INDEX(AllProj, MATCH($E50, AllProjNames, 0), MATCH(AC$2, AllProjCats, 0) + 1), ""),
  goalie, IFERROR(INDEX(AllGProj, MATCH($E50, AllGProjNames, 0), MATCH(AC$2, AllGProjCats, 0) + 1), ""),
  val, IF(skater &lt;&gt; "", skater, goalie),
  IF(OR($E50="", AC$2="", val=""), "", val * AC$1)
)</f>
        <v/>
      </c>
      <c r="AD50" s="34" t="str">
        <f t="shared" si="50"/>
        <v/>
      </c>
      <c r="AE50" s="34" t="str">
        <f t="shared" si="50"/>
        <v/>
      </c>
      <c r="AF50" s="34" t="str">
        <f t="shared" si="50"/>
        <v/>
      </c>
      <c r="AG50" s="34" t="str">
        <f t="shared" si="50"/>
        <v/>
      </c>
      <c r="AH50" s="34" t="str">
        <f t="shared" si="50"/>
        <v/>
      </c>
      <c r="AI50" s="34" t="str">
        <f t="shared" si="50"/>
        <v/>
      </c>
      <c r="AJ50" s="34" t="str">
        <f t="shared" si="50"/>
        <v/>
      </c>
      <c r="AK50" s="34" t="str">
        <f t="shared" si="50"/>
        <v/>
      </c>
      <c r="AL50" s="34" t="str">
        <f t="shared" si="50"/>
        <v/>
      </c>
      <c r="AM50" s="34" t="str">
        <f t="shared" si="50"/>
        <v/>
      </c>
      <c r="AN50" s="34" t="str">
        <f t="shared" si="50"/>
        <v/>
      </c>
      <c r="AO50" s="34" t="str">
        <f t="shared" si="50"/>
        <v/>
      </c>
      <c r="AP50" s="34" t="str">
        <f t="shared" si="50"/>
        <v/>
      </c>
      <c r="AQ50" s="76" t="s">
        <v>84</v>
      </c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8"/>
    </row>
    <row r="51">
      <c r="A51" s="41" t="s">
        <v>69</v>
      </c>
      <c r="B51" s="41" t="b">
        <v>0</v>
      </c>
      <c r="C51" s="41" t="b">
        <f t="shared" si="3"/>
        <v>1</v>
      </c>
      <c r="D51" s="42" t="s">
        <v>826</v>
      </c>
      <c r="E51" s="43" t="s">
        <v>1502</v>
      </c>
      <c r="F51" s="44" t="s">
        <v>1439</v>
      </c>
      <c r="G51" s="29" t="s">
        <v>6</v>
      </c>
      <c r="H51" s="32">
        <v>2.2617516532583335</v>
      </c>
      <c r="I51" s="32">
        <v>6.599974631728447</v>
      </c>
      <c r="J51" s="45" t="s">
        <v>1503</v>
      </c>
      <c r="K51" s="29">
        <v>27.7</v>
      </c>
      <c r="L51" s="41">
        <v>54.8</v>
      </c>
      <c r="M51" s="46">
        <v>25.0</v>
      </c>
      <c r="N51" s="46">
        <v>6.0</v>
      </c>
      <c r="O51" s="94" t="s">
        <v>69</v>
      </c>
      <c r="P51" s="94" t="s">
        <v>69</v>
      </c>
      <c r="Q51" s="94" t="s">
        <v>69</v>
      </c>
      <c r="R51" s="94" t="s">
        <v>69</v>
      </c>
      <c r="S51" s="94" t="s">
        <v>69</v>
      </c>
      <c r="T51" s="94" t="s">
        <v>69</v>
      </c>
      <c r="U51" s="94" t="s">
        <v>69</v>
      </c>
      <c r="V51" s="94" t="s">
        <v>69</v>
      </c>
      <c r="W51" s="94" t="s">
        <v>69</v>
      </c>
      <c r="X51" s="94" t="s">
        <v>69</v>
      </c>
      <c r="Y51" s="95">
        <v>1.6061551187922931</v>
      </c>
      <c r="Z51" s="95">
        <v>0.6553646397745425</v>
      </c>
      <c r="AA51" s="95">
        <v>-0.43765228224717595</v>
      </c>
      <c r="AB51" s="95">
        <v>0.4378841769386738</v>
      </c>
      <c r="AC51" s="34" t="str">
        <f t="shared" ref="AC51:AP51" si="51">LET(
  skater, IFERROR(INDEX(AllProj, MATCH($E51, AllProjNames, 0), MATCH(AC$2, AllProjCats, 0) + 1), ""),
  goalie, IFERROR(INDEX(AllGProj, MATCH($E51, AllGProjNames, 0), MATCH(AC$2, AllGProjCats, 0) + 1), ""),
  val, IF(skater &lt;&gt; "", skater, goalie),
  IF(OR($E51="", AC$2="", val=""), "", val * AC$1)
)</f>
        <v/>
      </c>
      <c r="AD51" s="34" t="str">
        <f t="shared" si="51"/>
        <v/>
      </c>
      <c r="AE51" s="34" t="str">
        <f t="shared" si="51"/>
        <v/>
      </c>
      <c r="AF51" s="34" t="str">
        <f t="shared" si="51"/>
        <v/>
      </c>
      <c r="AG51" s="34" t="str">
        <f t="shared" si="51"/>
        <v/>
      </c>
      <c r="AH51" s="34" t="str">
        <f t="shared" si="51"/>
        <v/>
      </c>
      <c r="AI51" s="34" t="str">
        <f t="shared" si="51"/>
        <v/>
      </c>
      <c r="AJ51" s="34" t="str">
        <f t="shared" si="51"/>
        <v/>
      </c>
      <c r="AK51" s="34" t="str">
        <f t="shared" si="51"/>
        <v/>
      </c>
      <c r="AL51" s="34" t="str">
        <f t="shared" si="51"/>
        <v/>
      </c>
      <c r="AM51" s="34" t="str">
        <f t="shared" si="51"/>
        <v/>
      </c>
      <c r="AN51" s="34" t="str">
        <f t="shared" si="51"/>
        <v/>
      </c>
      <c r="AO51" s="34" t="str">
        <f t="shared" si="51"/>
        <v/>
      </c>
      <c r="AP51" s="34" t="str">
        <f t="shared" si="51"/>
        <v/>
      </c>
      <c r="AQ51" s="76" t="s">
        <v>85</v>
      </c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>
      <c r="A52" s="79" t="s">
        <v>69</v>
      </c>
      <c r="B52" s="79" t="b">
        <v>0</v>
      </c>
      <c r="C52" s="79" t="b">
        <f t="shared" si="3"/>
        <v>1</v>
      </c>
      <c r="D52" s="80" t="s">
        <v>254</v>
      </c>
      <c r="E52" s="81" t="s">
        <v>1504</v>
      </c>
      <c r="F52" s="82" t="s">
        <v>1505</v>
      </c>
      <c r="G52" s="35" t="s">
        <v>284</v>
      </c>
      <c r="H52" s="37">
        <v>2.1392814035035888</v>
      </c>
      <c r="I52" s="37">
        <v>7.177347423686674</v>
      </c>
      <c r="J52" s="83" t="s">
        <v>1506</v>
      </c>
      <c r="K52" s="35">
        <v>33.2</v>
      </c>
      <c r="L52" s="79">
        <v>80.30014705882353</v>
      </c>
      <c r="M52" s="84">
        <v>30.0</v>
      </c>
      <c r="N52" s="84">
        <v>5.0</v>
      </c>
      <c r="O52" s="85">
        <v>0.05087036722907708</v>
      </c>
      <c r="P52" s="85">
        <v>0.21765597675017914</v>
      </c>
      <c r="Q52" s="85">
        <v>-2.1903843341452487</v>
      </c>
      <c r="R52" s="85">
        <v>0.33844982758312</v>
      </c>
      <c r="S52" s="85">
        <v>-0.0929229453901155</v>
      </c>
      <c r="T52" s="85">
        <v>1.1175387144507614</v>
      </c>
      <c r="U52" s="85">
        <v>-0.12149530159988255</v>
      </c>
      <c r="V52" s="85">
        <v>2.2605512585100866</v>
      </c>
      <c r="W52" s="85">
        <v>1.3807172770486846</v>
      </c>
      <c r="X52" s="85">
        <v>-0.8216994369330735</v>
      </c>
      <c r="Y52" s="50" t="s">
        <v>69</v>
      </c>
      <c r="Z52" s="50" t="s">
        <v>69</v>
      </c>
      <c r="AA52" s="50" t="s">
        <v>69</v>
      </c>
      <c r="AB52" s="50" t="s">
        <v>69</v>
      </c>
      <c r="AC52" s="34" t="str">
        <f t="shared" ref="AC52:AP52" si="52">LET(
  skater, IFERROR(INDEX(AllProj, MATCH($E52, AllProjNames, 0), MATCH(AC$2, AllProjCats, 0) + 1), ""),
  goalie, IFERROR(INDEX(AllGProj, MATCH($E52, AllGProjNames, 0), MATCH(AC$2, AllGProjCats, 0) + 1), ""),
  val, IF(skater &lt;&gt; "", skater, goalie),
  IF(OR($E52="", AC$2="", val=""), "", val * AC$1)
)</f>
        <v/>
      </c>
      <c r="AD52" s="34" t="str">
        <f t="shared" si="52"/>
        <v/>
      </c>
      <c r="AE52" s="34" t="str">
        <f t="shared" si="52"/>
        <v/>
      </c>
      <c r="AF52" s="34" t="str">
        <f t="shared" si="52"/>
        <v/>
      </c>
      <c r="AG52" s="34" t="str">
        <f t="shared" si="52"/>
        <v/>
      </c>
      <c r="AH52" s="34" t="str">
        <f t="shared" si="52"/>
        <v/>
      </c>
      <c r="AI52" s="34" t="str">
        <f t="shared" si="52"/>
        <v/>
      </c>
      <c r="AJ52" s="34" t="str">
        <f t="shared" si="52"/>
        <v/>
      </c>
      <c r="AK52" s="34" t="str">
        <f t="shared" si="52"/>
        <v/>
      </c>
      <c r="AL52" s="34" t="str">
        <f t="shared" si="52"/>
        <v/>
      </c>
      <c r="AM52" s="34" t="str">
        <f t="shared" si="52"/>
        <v/>
      </c>
      <c r="AN52" s="34" t="str">
        <f t="shared" si="52"/>
        <v/>
      </c>
      <c r="AO52" s="34" t="str">
        <f t="shared" si="52"/>
        <v/>
      </c>
      <c r="AP52" s="34" t="str">
        <f t="shared" si="52"/>
        <v/>
      </c>
      <c r="AQ52" s="76" t="s">
        <v>86</v>
      </c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7"/>
      <c r="BL52" s="77"/>
      <c r="BM52" s="78"/>
    </row>
    <row r="53">
      <c r="A53" s="41" t="s">
        <v>69</v>
      </c>
      <c r="B53" s="41" t="b">
        <v>0</v>
      </c>
      <c r="C53" s="41" t="b">
        <f t="shared" si="3"/>
        <v>1</v>
      </c>
      <c r="D53" s="42" t="s">
        <v>827</v>
      </c>
      <c r="E53" s="43" t="s">
        <v>1507</v>
      </c>
      <c r="F53" s="44" t="s">
        <v>1454</v>
      </c>
      <c r="G53" s="29" t="s">
        <v>829</v>
      </c>
      <c r="H53" s="32">
        <v>1.958705569656153</v>
      </c>
      <c r="I53" s="32">
        <v>7.40084317838401</v>
      </c>
      <c r="J53" s="45" t="s">
        <v>1508</v>
      </c>
      <c r="K53" s="29">
        <v>28.9</v>
      </c>
      <c r="L53" s="41">
        <v>81.0460294117647</v>
      </c>
      <c r="M53" s="46">
        <v>25.0</v>
      </c>
      <c r="N53" s="46">
        <v>6.0</v>
      </c>
      <c r="O53" s="47">
        <v>2.5099486570421643</v>
      </c>
      <c r="P53" s="47">
        <v>0.39120781460210163</v>
      </c>
      <c r="Q53" s="47">
        <v>-0.973617486486971</v>
      </c>
      <c r="R53" s="47">
        <v>-0.7101293199931432</v>
      </c>
      <c r="S53" s="47">
        <v>0.9679585349646889</v>
      </c>
      <c r="T53" s="47">
        <v>-0.7720702840223116</v>
      </c>
      <c r="U53" s="47">
        <v>2.317086688556868</v>
      </c>
      <c r="V53" s="47">
        <v>0.6517096670026431</v>
      </c>
      <c r="W53" s="47">
        <v>-0.9660301361239518</v>
      </c>
      <c r="X53" s="47">
        <v>-1.4573585658859352</v>
      </c>
      <c r="Y53" s="50" t="s">
        <v>69</v>
      </c>
      <c r="Z53" s="50" t="s">
        <v>69</v>
      </c>
      <c r="AA53" s="50" t="s">
        <v>69</v>
      </c>
      <c r="AB53" s="50" t="s">
        <v>69</v>
      </c>
      <c r="AC53" s="34" t="str">
        <f t="shared" ref="AC53:AP53" si="53">LET(
  skater, IFERROR(INDEX(AllProj, MATCH($E53, AllProjNames, 0), MATCH(AC$2, AllProjCats, 0) + 1), ""),
  goalie, IFERROR(INDEX(AllGProj, MATCH($E53, AllGProjNames, 0), MATCH(AC$2, AllGProjCats, 0) + 1), ""),
  val, IF(skater &lt;&gt; "", skater, goalie),
  IF(OR($E53="", AC$2="", val=""), "", val * AC$1)
)</f>
        <v/>
      </c>
      <c r="AD53" s="34" t="str">
        <f t="shared" si="53"/>
        <v/>
      </c>
      <c r="AE53" s="34" t="str">
        <f t="shared" si="53"/>
        <v/>
      </c>
      <c r="AF53" s="34" t="str">
        <f t="shared" si="53"/>
        <v/>
      </c>
      <c r="AG53" s="34" t="str">
        <f t="shared" si="53"/>
        <v/>
      </c>
      <c r="AH53" s="34" t="str">
        <f t="shared" si="53"/>
        <v/>
      </c>
      <c r="AI53" s="34" t="str">
        <f t="shared" si="53"/>
        <v/>
      </c>
      <c r="AJ53" s="34" t="str">
        <f t="shared" si="53"/>
        <v/>
      </c>
      <c r="AK53" s="34" t="str">
        <f t="shared" si="53"/>
        <v/>
      </c>
      <c r="AL53" s="34" t="str">
        <f t="shared" si="53"/>
        <v/>
      </c>
      <c r="AM53" s="34" t="str">
        <f t="shared" si="53"/>
        <v/>
      </c>
      <c r="AN53" s="34" t="str">
        <f t="shared" si="53"/>
        <v/>
      </c>
      <c r="AO53" s="34" t="str">
        <f t="shared" si="53"/>
        <v/>
      </c>
      <c r="AP53" s="34" t="str">
        <f t="shared" si="53"/>
        <v/>
      </c>
      <c r="AQ53" s="76" t="s">
        <v>87</v>
      </c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8"/>
    </row>
    <row r="54">
      <c r="A54" s="79" t="s">
        <v>69</v>
      </c>
      <c r="B54" s="79" t="b">
        <v>0</v>
      </c>
      <c r="C54" s="79" t="b">
        <f t="shared" si="3"/>
        <v>1</v>
      </c>
      <c r="D54" s="80" t="s">
        <v>502</v>
      </c>
      <c r="E54" s="81" t="s">
        <v>1509</v>
      </c>
      <c r="F54" s="82" t="s">
        <v>1436</v>
      </c>
      <c r="G54" s="35" t="s">
        <v>284</v>
      </c>
      <c r="H54" s="37">
        <v>1.934533484092216</v>
      </c>
      <c r="I54" s="37">
        <v>6.972599504275301</v>
      </c>
      <c r="J54" s="83" t="s">
        <v>1510</v>
      </c>
      <c r="K54" s="35">
        <v>33.5</v>
      </c>
      <c r="L54" s="79">
        <v>82.33470588235295</v>
      </c>
      <c r="M54" s="84">
        <v>26.0</v>
      </c>
      <c r="N54" s="84">
        <v>5.0</v>
      </c>
      <c r="O54" s="85">
        <v>1.629587854767929</v>
      </c>
      <c r="P54" s="85">
        <v>1.7668350668231827</v>
      </c>
      <c r="Q54" s="85">
        <v>-0.6539282702603096</v>
      </c>
      <c r="R54" s="85">
        <v>0.06726449050102051</v>
      </c>
      <c r="S54" s="85">
        <v>0.8473937481024244</v>
      </c>
      <c r="T54" s="85">
        <v>-0.6631190660726449</v>
      </c>
      <c r="U54" s="85">
        <v>0.1725849921792552</v>
      </c>
      <c r="V54" s="85">
        <v>1.6490097829074246</v>
      </c>
      <c r="W54" s="85">
        <v>-1.694790225552029</v>
      </c>
      <c r="X54" s="85">
        <v>-1.1863048893040367</v>
      </c>
      <c r="Y54" s="50" t="s">
        <v>69</v>
      </c>
      <c r="Z54" s="50" t="s">
        <v>69</v>
      </c>
      <c r="AA54" s="50" t="s">
        <v>69</v>
      </c>
      <c r="AB54" s="50" t="s">
        <v>69</v>
      </c>
      <c r="AC54" s="34" t="str">
        <f t="shared" ref="AC54:AP54" si="54">LET(
  skater, IFERROR(INDEX(AllProj, MATCH($E54, AllProjNames, 0), MATCH(AC$2, AllProjCats, 0) + 1), ""),
  goalie, IFERROR(INDEX(AllGProj, MATCH($E54, AllGProjNames, 0), MATCH(AC$2, AllGProjCats, 0) + 1), ""),
  val, IF(skater &lt;&gt; "", skater, goalie),
  IF(OR($E54="", AC$2="", val=""), "", val * AC$1)
)</f>
        <v/>
      </c>
      <c r="AD54" s="34" t="str">
        <f t="shared" si="54"/>
        <v/>
      </c>
      <c r="AE54" s="34" t="str">
        <f t="shared" si="54"/>
        <v/>
      </c>
      <c r="AF54" s="34" t="str">
        <f t="shared" si="54"/>
        <v/>
      </c>
      <c r="AG54" s="34" t="str">
        <f t="shared" si="54"/>
        <v/>
      </c>
      <c r="AH54" s="34" t="str">
        <f t="shared" si="54"/>
        <v/>
      </c>
      <c r="AI54" s="34" t="str">
        <f t="shared" si="54"/>
        <v/>
      </c>
      <c r="AJ54" s="34" t="str">
        <f t="shared" si="54"/>
        <v/>
      </c>
      <c r="AK54" s="34" t="str">
        <f t="shared" si="54"/>
        <v/>
      </c>
      <c r="AL54" s="34" t="str">
        <f t="shared" si="54"/>
        <v/>
      </c>
      <c r="AM54" s="34" t="str">
        <f t="shared" si="54"/>
        <v/>
      </c>
      <c r="AN54" s="34" t="str">
        <f t="shared" si="54"/>
        <v/>
      </c>
      <c r="AO54" s="34" t="str">
        <f t="shared" si="54"/>
        <v/>
      </c>
      <c r="AP54" s="34" t="str">
        <f t="shared" si="54"/>
        <v/>
      </c>
      <c r="AQ54" s="76" t="s">
        <v>88</v>
      </c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  <c r="BM54" s="78"/>
    </row>
    <row r="55">
      <c r="A55" s="41" t="s">
        <v>69</v>
      </c>
      <c r="B55" s="41" t="b">
        <v>0</v>
      </c>
      <c r="C55" s="41" t="b">
        <f t="shared" si="3"/>
        <v>1</v>
      </c>
      <c r="D55" s="42" t="s">
        <v>825</v>
      </c>
      <c r="E55" s="43" t="s">
        <v>1511</v>
      </c>
      <c r="F55" s="44" t="s">
        <v>1512</v>
      </c>
      <c r="G55" s="29" t="s">
        <v>6</v>
      </c>
      <c r="H55" s="32">
        <v>1.5404896603238378</v>
      </c>
      <c r="I55" s="32">
        <v>5.878712638793951</v>
      </c>
      <c r="J55" s="45" t="s">
        <v>1513</v>
      </c>
      <c r="K55" s="29">
        <v>26.1</v>
      </c>
      <c r="L55" s="41">
        <v>46.1</v>
      </c>
      <c r="M55" s="46">
        <v>21.0</v>
      </c>
      <c r="N55" s="46">
        <v>7.0</v>
      </c>
      <c r="O55" s="94" t="s">
        <v>69</v>
      </c>
      <c r="P55" s="94" t="s">
        <v>69</v>
      </c>
      <c r="Q55" s="94" t="s">
        <v>69</v>
      </c>
      <c r="R55" s="94" t="s">
        <v>69</v>
      </c>
      <c r="S55" s="94" t="s">
        <v>69</v>
      </c>
      <c r="T55" s="94" t="s">
        <v>69</v>
      </c>
      <c r="U55" s="94" t="s">
        <v>69</v>
      </c>
      <c r="V55" s="94" t="s">
        <v>69</v>
      </c>
      <c r="W55" s="94" t="s">
        <v>69</v>
      </c>
      <c r="X55" s="94" t="s">
        <v>69</v>
      </c>
      <c r="Y55" s="95">
        <v>-0.21139654562722587</v>
      </c>
      <c r="Z55" s="95">
        <v>0.2331558422604867</v>
      </c>
      <c r="AA55" s="95">
        <v>0.9961927669282096</v>
      </c>
      <c r="AB55" s="95">
        <v>0.5225375967623672</v>
      </c>
      <c r="AC55" s="34" t="str">
        <f t="shared" ref="AC55:AP55" si="55">LET(
  skater, IFERROR(INDEX(AllProj, MATCH($E55, AllProjNames, 0), MATCH(AC$2, AllProjCats, 0) + 1), ""),
  goalie, IFERROR(INDEX(AllGProj, MATCH($E55, AllGProjNames, 0), MATCH(AC$2, AllGProjCats, 0) + 1), ""),
  val, IF(skater &lt;&gt; "", skater, goalie),
  IF(OR($E55="", AC$2="", val=""), "", val * AC$1)
)</f>
        <v/>
      </c>
      <c r="AD55" s="34" t="str">
        <f t="shared" si="55"/>
        <v/>
      </c>
      <c r="AE55" s="34" t="str">
        <f t="shared" si="55"/>
        <v/>
      </c>
      <c r="AF55" s="34" t="str">
        <f t="shared" si="55"/>
        <v/>
      </c>
      <c r="AG55" s="34" t="str">
        <f t="shared" si="55"/>
        <v/>
      </c>
      <c r="AH55" s="34" t="str">
        <f t="shared" si="55"/>
        <v/>
      </c>
      <c r="AI55" s="34" t="str">
        <f t="shared" si="55"/>
        <v/>
      </c>
      <c r="AJ55" s="34" t="str">
        <f t="shared" si="55"/>
        <v/>
      </c>
      <c r="AK55" s="34" t="str">
        <f t="shared" si="55"/>
        <v/>
      </c>
      <c r="AL55" s="34" t="str">
        <f t="shared" si="55"/>
        <v/>
      </c>
      <c r="AM55" s="34" t="str">
        <f t="shared" si="55"/>
        <v/>
      </c>
      <c r="AN55" s="34" t="str">
        <f t="shared" si="55"/>
        <v/>
      </c>
      <c r="AO55" s="34" t="str">
        <f t="shared" si="55"/>
        <v/>
      </c>
      <c r="AP55" s="34" t="str">
        <f t="shared" si="55"/>
        <v/>
      </c>
      <c r="AQ55" s="76" t="s">
        <v>89</v>
      </c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8"/>
    </row>
    <row r="56">
      <c r="A56" s="79" t="s">
        <v>69</v>
      </c>
      <c r="B56" s="79" t="b">
        <v>0</v>
      </c>
      <c r="C56" s="79" t="b">
        <f t="shared" si="3"/>
        <v>1</v>
      </c>
      <c r="D56" s="80" t="s">
        <v>826</v>
      </c>
      <c r="E56" s="81" t="s">
        <v>1514</v>
      </c>
      <c r="F56" s="82" t="s">
        <v>1429</v>
      </c>
      <c r="G56" s="35" t="s">
        <v>6</v>
      </c>
      <c r="H56" s="37">
        <v>1.4295498835454024</v>
      </c>
      <c r="I56" s="37">
        <v>5.767772862015516</v>
      </c>
      <c r="J56" s="83" t="s">
        <v>1515</v>
      </c>
      <c r="K56" s="35">
        <v>23.8</v>
      </c>
      <c r="L56" s="79">
        <v>46.6</v>
      </c>
      <c r="M56" s="84">
        <v>24.0</v>
      </c>
      <c r="N56" s="84">
        <v>7.0</v>
      </c>
      <c r="O56" s="96" t="s">
        <v>69</v>
      </c>
      <c r="P56" s="96" t="s">
        <v>69</v>
      </c>
      <c r="Q56" s="96" t="s">
        <v>69</v>
      </c>
      <c r="R56" s="96" t="s">
        <v>69</v>
      </c>
      <c r="S56" s="96" t="s">
        <v>69</v>
      </c>
      <c r="T56" s="96" t="s">
        <v>69</v>
      </c>
      <c r="U56" s="96" t="s">
        <v>69</v>
      </c>
      <c r="V56" s="96" t="s">
        <v>69</v>
      </c>
      <c r="W56" s="96" t="s">
        <v>69</v>
      </c>
      <c r="X56" s="96" t="s">
        <v>69</v>
      </c>
      <c r="Y56" s="95">
        <v>0.0326766510237973</v>
      </c>
      <c r="Z56" s="95">
        <v>-0.6403796008720314</v>
      </c>
      <c r="AA56" s="95">
        <v>1.1340624831950894</v>
      </c>
      <c r="AB56" s="95">
        <v>0.9031903501985471</v>
      </c>
      <c r="AC56" s="34" t="str">
        <f t="shared" ref="AC56:AP56" si="56">LET(
  skater, IFERROR(INDEX(AllProj, MATCH($E56, AllProjNames, 0), MATCH(AC$2, AllProjCats, 0) + 1), ""),
  goalie, IFERROR(INDEX(AllGProj, MATCH($E56, AllGProjNames, 0), MATCH(AC$2, AllGProjCats, 0) + 1), ""),
  val, IF(skater &lt;&gt; "", skater, goalie),
  IF(OR($E56="", AC$2="", val=""), "", val * AC$1)
)</f>
        <v/>
      </c>
      <c r="AD56" s="34" t="str">
        <f t="shared" si="56"/>
        <v/>
      </c>
      <c r="AE56" s="34" t="str">
        <f t="shared" si="56"/>
        <v/>
      </c>
      <c r="AF56" s="34" t="str">
        <f t="shared" si="56"/>
        <v/>
      </c>
      <c r="AG56" s="34" t="str">
        <f t="shared" si="56"/>
        <v/>
      </c>
      <c r="AH56" s="34" t="str">
        <f t="shared" si="56"/>
        <v/>
      </c>
      <c r="AI56" s="34" t="str">
        <f t="shared" si="56"/>
        <v/>
      </c>
      <c r="AJ56" s="34" t="str">
        <f t="shared" si="56"/>
        <v/>
      </c>
      <c r="AK56" s="34" t="str">
        <f t="shared" si="56"/>
        <v/>
      </c>
      <c r="AL56" s="34" t="str">
        <f t="shared" si="56"/>
        <v/>
      </c>
      <c r="AM56" s="34" t="str">
        <f t="shared" si="56"/>
        <v/>
      </c>
      <c r="AN56" s="34" t="str">
        <f t="shared" si="56"/>
        <v/>
      </c>
      <c r="AO56" s="34" t="str">
        <f t="shared" si="56"/>
        <v/>
      </c>
      <c r="AP56" s="34" t="str">
        <f t="shared" si="56"/>
        <v/>
      </c>
      <c r="AQ56" s="76" t="s">
        <v>90</v>
      </c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8"/>
    </row>
    <row r="57">
      <c r="A57" s="41" t="s">
        <v>69</v>
      </c>
      <c r="B57" s="41" t="b">
        <v>0</v>
      </c>
      <c r="C57" s="41" t="b">
        <f t="shared" si="3"/>
        <v>1</v>
      </c>
      <c r="D57" s="42" t="s">
        <v>254</v>
      </c>
      <c r="E57" s="43" t="s">
        <v>1516</v>
      </c>
      <c r="F57" s="44" t="s">
        <v>1517</v>
      </c>
      <c r="G57" s="29" t="s">
        <v>835</v>
      </c>
      <c r="H57" s="32">
        <v>1.397147998043701</v>
      </c>
      <c r="I57" s="32">
        <v>6.78502812295644</v>
      </c>
      <c r="J57" s="45" t="s">
        <v>1518</v>
      </c>
      <c r="K57" s="29">
        <v>32.1</v>
      </c>
      <c r="L57" s="41">
        <v>83.24058823529411</v>
      </c>
      <c r="M57" s="46">
        <v>18.0</v>
      </c>
      <c r="N57" s="46">
        <v>6.0</v>
      </c>
      <c r="O57" s="47">
        <v>2.028220911182664</v>
      </c>
      <c r="P57" s="47">
        <v>0.5923851262418822</v>
      </c>
      <c r="Q57" s="47">
        <v>-1.9891405901405526</v>
      </c>
      <c r="R57" s="47">
        <v>-0.5246662732284052</v>
      </c>
      <c r="S57" s="47">
        <v>1.3857490154696466</v>
      </c>
      <c r="T57" s="47">
        <v>-0.7842820576034868</v>
      </c>
      <c r="U57" s="47">
        <v>2.1994274781835963</v>
      </c>
      <c r="V57" s="47">
        <v>0.0</v>
      </c>
      <c r="W57" s="47">
        <v>-0.027162763809926015</v>
      </c>
      <c r="X57" s="47">
        <v>-1.483382848251718</v>
      </c>
      <c r="Y57" s="50" t="s">
        <v>69</v>
      </c>
      <c r="Z57" s="50" t="s">
        <v>69</v>
      </c>
      <c r="AA57" s="50" t="s">
        <v>69</v>
      </c>
      <c r="AB57" s="50" t="s">
        <v>69</v>
      </c>
      <c r="AC57" s="34" t="str">
        <f t="shared" ref="AC57:AP57" si="57">LET(
  skater, IFERROR(INDEX(AllProj, MATCH($E57, AllProjNames, 0), MATCH(AC$2, AllProjCats, 0) + 1), ""),
  goalie, IFERROR(INDEX(AllGProj, MATCH($E57, AllGProjNames, 0), MATCH(AC$2, AllGProjCats, 0) + 1), ""),
  val, IF(skater &lt;&gt; "", skater, goalie),
  IF(OR($E57="", AC$2="", val=""), "", val * AC$1)
)</f>
        <v/>
      </c>
      <c r="AD57" s="34" t="str">
        <f t="shared" si="57"/>
        <v/>
      </c>
      <c r="AE57" s="34" t="str">
        <f t="shared" si="57"/>
        <v/>
      </c>
      <c r="AF57" s="34" t="str">
        <f t="shared" si="57"/>
        <v/>
      </c>
      <c r="AG57" s="34" t="str">
        <f t="shared" si="57"/>
        <v/>
      </c>
      <c r="AH57" s="34" t="str">
        <f t="shared" si="57"/>
        <v/>
      </c>
      <c r="AI57" s="34" t="str">
        <f t="shared" si="57"/>
        <v/>
      </c>
      <c r="AJ57" s="34" t="str">
        <f t="shared" si="57"/>
        <v/>
      </c>
      <c r="AK57" s="34" t="str">
        <f t="shared" si="57"/>
        <v/>
      </c>
      <c r="AL57" s="34" t="str">
        <f t="shared" si="57"/>
        <v/>
      </c>
      <c r="AM57" s="34" t="str">
        <f t="shared" si="57"/>
        <v/>
      </c>
      <c r="AN57" s="34" t="str">
        <f t="shared" si="57"/>
        <v/>
      </c>
      <c r="AO57" s="34" t="str">
        <f t="shared" si="57"/>
        <v/>
      </c>
      <c r="AP57" s="34" t="str">
        <f t="shared" si="57"/>
        <v/>
      </c>
      <c r="AQ57" s="76" t="s">
        <v>91</v>
      </c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8"/>
    </row>
    <row r="58">
      <c r="A58" s="79" t="s">
        <v>69</v>
      </c>
      <c r="B58" s="79" t="b">
        <v>0</v>
      </c>
      <c r="C58" s="79" t="b">
        <f t="shared" si="3"/>
        <v>1</v>
      </c>
      <c r="D58" s="80" t="s">
        <v>827</v>
      </c>
      <c r="E58" s="81" t="s">
        <v>1519</v>
      </c>
      <c r="F58" s="82" t="s">
        <v>1043</v>
      </c>
      <c r="G58" s="35" t="s">
        <v>832</v>
      </c>
      <c r="H58" s="37">
        <v>1.3817753485875321</v>
      </c>
      <c r="I58" s="37">
        <v>6.82391295731539</v>
      </c>
      <c r="J58" s="83" t="s">
        <v>1520</v>
      </c>
      <c r="K58" s="35">
        <v>29.4</v>
      </c>
      <c r="L58" s="79">
        <v>81.89676470588235</v>
      </c>
      <c r="M58" s="84">
        <v>28.0</v>
      </c>
      <c r="N58" s="84">
        <v>6.0</v>
      </c>
      <c r="O58" s="85">
        <v>0.5555698976633721</v>
      </c>
      <c r="P58" s="85">
        <v>2.4593009324280692</v>
      </c>
      <c r="Q58" s="85">
        <v>1.5656189716872602</v>
      </c>
      <c r="R58" s="85">
        <v>-1.578565823233193</v>
      </c>
      <c r="S58" s="85">
        <v>1.7563905793269101</v>
      </c>
      <c r="T58" s="85">
        <v>-0.18965002924607893</v>
      </c>
      <c r="U58" s="85">
        <v>0.07419099739658877</v>
      </c>
      <c r="V58" s="85">
        <v>0.0</v>
      </c>
      <c r="W58" s="85">
        <v>-1.944528697057411</v>
      </c>
      <c r="X58" s="85">
        <v>-1.316551480377986</v>
      </c>
      <c r="Y58" s="50" t="s">
        <v>69</v>
      </c>
      <c r="Z58" s="50" t="s">
        <v>69</v>
      </c>
      <c r="AA58" s="50" t="s">
        <v>69</v>
      </c>
      <c r="AB58" s="50" t="s">
        <v>69</v>
      </c>
      <c r="AC58" s="34" t="str">
        <f t="shared" ref="AC58:AP58" si="58">LET(
  skater, IFERROR(INDEX(AllProj, MATCH($E58, AllProjNames, 0), MATCH(AC$2, AllProjCats, 0) + 1), ""),
  goalie, IFERROR(INDEX(AllGProj, MATCH($E58, AllGProjNames, 0), MATCH(AC$2, AllGProjCats, 0) + 1), ""),
  val, IF(skater &lt;&gt; "", skater, goalie),
  IF(OR($E58="", AC$2="", val=""), "", val * AC$1)
)</f>
        <v/>
      </c>
      <c r="AD58" s="34" t="str">
        <f t="shared" si="58"/>
        <v/>
      </c>
      <c r="AE58" s="34" t="str">
        <f t="shared" si="58"/>
        <v/>
      </c>
      <c r="AF58" s="34" t="str">
        <f t="shared" si="58"/>
        <v/>
      </c>
      <c r="AG58" s="34" t="str">
        <f t="shared" si="58"/>
        <v/>
      </c>
      <c r="AH58" s="34" t="str">
        <f t="shared" si="58"/>
        <v/>
      </c>
      <c r="AI58" s="34" t="str">
        <f t="shared" si="58"/>
        <v/>
      </c>
      <c r="AJ58" s="34" t="str">
        <f t="shared" si="58"/>
        <v/>
      </c>
      <c r="AK58" s="34" t="str">
        <f t="shared" si="58"/>
        <v/>
      </c>
      <c r="AL58" s="34" t="str">
        <f t="shared" si="58"/>
        <v/>
      </c>
      <c r="AM58" s="34" t="str">
        <f t="shared" si="58"/>
        <v/>
      </c>
      <c r="AN58" s="34" t="str">
        <f t="shared" si="58"/>
        <v/>
      </c>
      <c r="AO58" s="34" t="str">
        <f t="shared" si="58"/>
        <v/>
      </c>
      <c r="AP58" s="34" t="str">
        <f t="shared" si="58"/>
        <v/>
      </c>
      <c r="AQ58" s="76" t="s">
        <v>92</v>
      </c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7"/>
      <c r="BH58" s="77"/>
      <c r="BI58" s="77"/>
      <c r="BJ58" s="77"/>
      <c r="BK58" s="77"/>
      <c r="BL58" s="77"/>
      <c r="BM58" s="78"/>
    </row>
    <row r="59">
      <c r="A59" s="41" t="s">
        <v>69</v>
      </c>
      <c r="B59" s="41" t="b">
        <v>0</v>
      </c>
      <c r="C59" s="41" t="b">
        <f t="shared" si="3"/>
        <v>1</v>
      </c>
      <c r="D59" s="42" t="s">
        <v>502</v>
      </c>
      <c r="E59" s="43" t="s">
        <v>1521</v>
      </c>
      <c r="F59" s="44" t="s">
        <v>1482</v>
      </c>
      <c r="G59" s="29" t="s">
        <v>284</v>
      </c>
      <c r="H59" s="32">
        <v>1.3431243136679758</v>
      </c>
      <c r="I59" s="32">
        <v>6.381190333851061</v>
      </c>
      <c r="J59" s="45" t="s">
        <v>1522</v>
      </c>
      <c r="K59" s="29">
        <v>25.6</v>
      </c>
      <c r="L59" s="41">
        <v>83.42294117647059</v>
      </c>
      <c r="M59" s="46">
        <v>27.0</v>
      </c>
      <c r="N59" s="46">
        <v>6.0</v>
      </c>
      <c r="O59" s="47">
        <v>0.5280253208416691</v>
      </c>
      <c r="P59" s="47">
        <v>0.13889273019370857</v>
      </c>
      <c r="Q59" s="47">
        <v>-1.213032992504888</v>
      </c>
      <c r="R59" s="47">
        <v>0.2147709784043543</v>
      </c>
      <c r="S59" s="47">
        <v>0.8816826448729407</v>
      </c>
      <c r="T59" s="47">
        <v>-0.7582287813787105</v>
      </c>
      <c r="U59" s="47">
        <v>0.8219978726991892</v>
      </c>
      <c r="V59" s="47">
        <v>1.1070163083752154</v>
      </c>
      <c r="W59" s="47">
        <v>1.411114194490463</v>
      </c>
      <c r="X59" s="47">
        <v>-1.7891139623259658</v>
      </c>
      <c r="Y59" s="50" t="s">
        <v>69</v>
      </c>
      <c r="Z59" s="50" t="s">
        <v>69</v>
      </c>
      <c r="AA59" s="50" t="s">
        <v>69</v>
      </c>
      <c r="AB59" s="50" t="s">
        <v>69</v>
      </c>
      <c r="AC59" s="34" t="str">
        <f t="shared" ref="AC59:AP59" si="59">LET(
  skater, IFERROR(INDEX(AllProj, MATCH($E59, AllProjNames, 0), MATCH(AC$2, AllProjCats, 0) + 1), ""),
  goalie, IFERROR(INDEX(AllGProj, MATCH($E59, AllGProjNames, 0), MATCH(AC$2, AllGProjCats, 0) + 1), ""),
  val, IF(skater &lt;&gt; "", skater, goalie),
  IF(OR($E59="", AC$2="", val=""), "", val * AC$1)
)</f>
        <v/>
      </c>
      <c r="AD59" s="34" t="str">
        <f t="shared" si="59"/>
        <v/>
      </c>
      <c r="AE59" s="34" t="str">
        <f t="shared" si="59"/>
        <v/>
      </c>
      <c r="AF59" s="34" t="str">
        <f t="shared" si="59"/>
        <v/>
      </c>
      <c r="AG59" s="34" t="str">
        <f t="shared" si="59"/>
        <v/>
      </c>
      <c r="AH59" s="34" t="str">
        <f t="shared" si="59"/>
        <v/>
      </c>
      <c r="AI59" s="34" t="str">
        <f t="shared" si="59"/>
        <v/>
      </c>
      <c r="AJ59" s="34" t="str">
        <f t="shared" si="59"/>
        <v/>
      </c>
      <c r="AK59" s="34" t="str">
        <f t="shared" si="59"/>
        <v/>
      </c>
      <c r="AL59" s="34" t="str">
        <f t="shared" si="59"/>
        <v/>
      </c>
      <c r="AM59" s="34" t="str">
        <f t="shared" si="59"/>
        <v/>
      </c>
      <c r="AN59" s="34" t="str">
        <f t="shared" si="59"/>
        <v/>
      </c>
      <c r="AO59" s="34" t="str">
        <f t="shared" si="59"/>
        <v/>
      </c>
      <c r="AP59" s="34" t="str">
        <f t="shared" si="59"/>
        <v/>
      </c>
      <c r="AQ59" s="76" t="s">
        <v>93</v>
      </c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8"/>
    </row>
    <row r="60">
      <c r="A60" s="79" t="s">
        <v>69</v>
      </c>
      <c r="B60" s="79" t="b">
        <v>0</v>
      </c>
      <c r="C60" s="79" t="b">
        <f t="shared" si="3"/>
        <v>1</v>
      </c>
      <c r="D60" s="80" t="s">
        <v>22</v>
      </c>
      <c r="E60" s="81" t="s">
        <v>1523</v>
      </c>
      <c r="F60" s="82" t="s">
        <v>1416</v>
      </c>
      <c r="G60" s="35" t="s">
        <v>836</v>
      </c>
      <c r="H60" s="37">
        <v>1.311757539301274</v>
      </c>
      <c r="I60" s="37">
        <v>6.753895148029131</v>
      </c>
      <c r="J60" s="83" t="s">
        <v>1524</v>
      </c>
      <c r="K60" s="35">
        <v>22.5</v>
      </c>
      <c r="L60" s="79">
        <v>82.81485294117647</v>
      </c>
      <c r="M60" s="84">
        <v>29.0</v>
      </c>
      <c r="N60" s="84">
        <v>7.0</v>
      </c>
      <c r="O60" s="85">
        <v>0.8781978602157154</v>
      </c>
      <c r="P60" s="85">
        <v>0.7468764577187642</v>
      </c>
      <c r="Q60" s="85">
        <v>-0.5676275607433448</v>
      </c>
      <c r="R60" s="85">
        <v>0.17167530988450802</v>
      </c>
      <c r="S60" s="85">
        <v>0.9540346298527145</v>
      </c>
      <c r="T60" s="85">
        <v>-0.7817502624695462</v>
      </c>
      <c r="U60" s="85">
        <v>0.2862900008699688</v>
      </c>
      <c r="V60" s="85">
        <v>0.0</v>
      </c>
      <c r="W60" s="85">
        <v>0.06710456817586784</v>
      </c>
      <c r="X60" s="85">
        <v>-0.4430434642033738</v>
      </c>
      <c r="Y60" s="50" t="s">
        <v>69</v>
      </c>
      <c r="Z60" s="50" t="s">
        <v>69</v>
      </c>
      <c r="AA60" s="50" t="s">
        <v>69</v>
      </c>
      <c r="AB60" s="50" t="s">
        <v>69</v>
      </c>
      <c r="AC60" s="34" t="str">
        <f t="shared" ref="AC60:AP60" si="60">LET(
  skater, IFERROR(INDEX(AllProj, MATCH($E60, AllProjNames, 0), MATCH(AC$2, AllProjCats, 0) + 1), ""),
  goalie, IFERROR(INDEX(AllGProj, MATCH($E60, AllGProjNames, 0), MATCH(AC$2, AllGProjCats, 0) + 1), ""),
  val, IF(skater &lt;&gt; "", skater, goalie),
  IF(OR($E60="", AC$2="", val=""), "", val * AC$1)
)</f>
        <v/>
      </c>
      <c r="AD60" s="34" t="str">
        <f t="shared" si="60"/>
        <v/>
      </c>
      <c r="AE60" s="34" t="str">
        <f t="shared" si="60"/>
        <v/>
      </c>
      <c r="AF60" s="34" t="str">
        <f t="shared" si="60"/>
        <v/>
      </c>
      <c r="AG60" s="34" t="str">
        <f t="shared" si="60"/>
        <v/>
      </c>
      <c r="AH60" s="34" t="str">
        <f t="shared" si="60"/>
        <v/>
      </c>
      <c r="AI60" s="34" t="str">
        <f t="shared" si="60"/>
        <v/>
      </c>
      <c r="AJ60" s="34" t="str">
        <f t="shared" si="60"/>
        <v/>
      </c>
      <c r="AK60" s="34" t="str">
        <f t="shared" si="60"/>
        <v/>
      </c>
      <c r="AL60" s="34" t="str">
        <f t="shared" si="60"/>
        <v/>
      </c>
      <c r="AM60" s="34" t="str">
        <f t="shared" si="60"/>
        <v/>
      </c>
      <c r="AN60" s="34" t="str">
        <f t="shared" si="60"/>
        <v/>
      </c>
      <c r="AO60" s="34" t="str">
        <f t="shared" si="60"/>
        <v/>
      </c>
      <c r="AP60" s="34" t="str">
        <f t="shared" si="60"/>
        <v/>
      </c>
      <c r="AQ60" s="76" t="s">
        <v>94</v>
      </c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8"/>
    </row>
    <row r="61">
      <c r="A61" s="41" t="s">
        <v>69</v>
      </c>
      <c r="B61" s="41" t="b">
        <v>0</v>
      </c>
      <c r="C61" s="41" t="b">
        <f t="shared" si="3"/>
        <v>1</v>
      </c>
      <c r="D61" s="42" t="s">
        <v>22</v>
      </c>
      <c r="E61" s="43" t="s">
        <v>1525</v>
      </c>
      <c r="F61" s="44" t="s">
        <v>1489</v>
      </c>
      <c r="G61" s="29" t="s">
        <v>6</v>
      </c>
      <c r="H61" s="32">
        <v>1.2412410752358696</v>
      </c>
      <c r="I61" s="32">
        <v>5.579464053705983</v>
      </c>
      <c r="J61" s="45" t="s">
        <v>1526</v>
      </c>
      <c r="K61" s="29">
        <v>36.4</v>
      </c>
      <c r="L61" s="41">
        <v>47.4</v>
      </c>
      <c r="M61" s="46">
        <v>28.0</v>
      </c>
      <c r="N61" s="46">
        <v>7.0</v>
      </c>
      <c r="O61" s="94" t="s">
        <v>69</v>
      </c>
      <c r="P61" s="94" t="s">
        <v>69</v>
      </c>
      <c r="Q61" s="94" t="s">
        <v>69</v>
      </c>
      <c r="R61" s="94" t="s">
        <v>69</v>
      </c>
      <c r="S61" s="94" t="s">
        <v>69</v>
      </c>
      <c r="T61" s="94" t="s">
        <v>69</v>
      </c>
      <c r="U61" s="94" t="s">
        <v>69</v>
      </c>
      <c r="V61" s="94" t="s">
        <v>69</v>
      </c>
      <c r="W61" s="94" t="s">
        <v>69</v>
      </c>
      <c r="X61" s="94" t="s">
        <v>69</v>
      </c>
      <c r="Y61" s="95">
        <v>-0.09368159349556622</v>
      </c>
      <c r="Z61" s="95">
        <v>0.8009538802966244</v>
      </c>
      <c r="AA61" s="95">
        <v>0.22412235583376178</v>
      </c>
      <c r="AB61" s="95">
        <v>0.30984643260104977</v>
      </c>
      <c r="AC61" s="34" t="str">
        <f t="shared" ref="AC61:AP61" si="61">LET(
  skater, IFERROR(INDEX(AllProj, MATCH($E61, AllProjNames, 0), MATCH(AC$2, AllProjCats, 0) + 1), ""),
  goalie, IFERROR(INDEX(AllGProj, MATCH($E61, AllGProjNames, 0), MATCH(AC$2, AllGProjCats, 0) + 1), ""),
  val, IF(skater &lt;&gt; "", skater, goalie),
  IF(OR($E61="", AC$2="", val=""), "", val * AC$1)
)</f>
        <v/>
      </c>
      <c r="AD61" s="34" t="str">
        <f t="shared" si="61"/>
        <v/>
      </c>
      <c r="AE61" s="34" t="str">
        <f t="shared" si="61"/>
        <v/>
      </c>
      <c r="AF61" s="34" t="str">
        <f t="shared" si="61"/>
        <v/>
      </c>
      <c r="AG61" s="34" t="str">
        <f t="shared" si="61"/>
        <v/>
      </c>
      <c r="AH61" s="34" t="str">
        <f t="shared" si="61"/>
        <v/>
      </c>
      <c r="AI61" s="34" t="str">
        <f t="shared" si="61"/>
        <v/>
      </c>
      <c r="AJ61" s="34" t="str">
        <f t="shared" si="61"/>
        <v/>
      </c>
      <c r="AK61" s="34" t="str">
        <f t="shared" si="61"/>
        <v/>
      </c>
      <c r="AL61" s="34" t="str">
        <f t="shared" si="61"/>
        <v/>
      </c>
      <c r="AM61" s="34" t="str">
        <f t="shared" si="61"/>
        <v/>
      </c>
      <c r="AN61" s="34" t="str">
        <f t="shared" si="61"/>
        <v/>
      </c>
      <c r="AO61" s="34" t="str">
        <f t="shared" si="61"/>
        <v/>
      </c>
      <c r="AP61" s="34" t="str">
        <f t="shared" si="61"/>
        <v/>
      </c>
      <c r="AQ61" s="76" t="s">
        <v>95</v>
      </c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8"/>
    </row>
    <row r="62">
      <c r="A62" s="79" t="s">
        <v>69</v>
      </c>
      <c r="B62" s="79" t="b">
        <v>0</v>
      </c>
      <c r="C62" s="79" t="b">
        <f t="shared" si="3"/>
        <v>1</v>
      </c>
      <c r="D62" s="80" t="s">
        <v>826</v>
      </c>
      <c r="E62" s="81" t="s">
        <v>1527</v>
      </c>
      <c r="F62" s="82" t="s">
        <v>1439</v>
      </c>
      <c r="G62" s="35" t="s">
        <v>284</v>
      </c>
      <c r="H62" s="37">
        <v>1.0162382176054554</v>
      </c>
      <c r="I62" s="37">
        <v>6.054304237788541</v>
      </c>
      <c r="J62" s="83" t="s">
        <v>1528</v>
      </c>
      <c r="K62" s="35">
        <v>29.8</v>
      </c>
      <c r="L62" s="79">
        <v>77.85720588235294</v>
      </c>
      <c r="M62" s="84">
        <v>25.0</v>
      </c>
      <c r="N62" s="84">
        <v>6.0</v>
      </c>
      <c r="O62" s="85">
        <v>0.6979321777366981</v>
      </c>
      <c r="P62" s="85">
        <v>0.4396579448054329</v>
      </c>
      <c r="Q62" s="85">
        <v>1.603887945303541</v>
      </c>
      <c r="R62" s="85">
        <v>-1.1923924247377353</v>
      </c>
      <c r="S62" s="85">
        <v>1.0141356976560283</v>
      </c>
      <c r="T62" s="85">
        <v>-0.30425665824902687</v>
      </c>
      <c r="U62" s="85">
        <v>0.2082438698224738</v>
      </c>
      <c r="V62" s="85">
        <v>1.3897783037728721</v>
      </c>
      <c r="W62" s="85">
        <v>-1.2032944505257246</v>
      </c>
      <c r="X62" s="85">
        <v>-1.6374541879791038</v>
      </c>
      <c r="Y62" s="50" t="s">
        <v>69</v>
      </c>
      <c r="Z62" s="50" t="s">
        <v>69</v>
      </c>
      <c r="AA62" s="50" t="s">
        <v>69</v>
      </c>
      <c r="AB62" s="50" t="s">
        <v>69</v>
      </c>
      <c r="AC62" s="34" t="str">
        <f t="shared" ref="AC62:AP62" si="62">LET(
  skater, IFERROR(INDEX(AllProj, MATCH($E62, AllProjNames, 0), MATCH(AC$2, AllProjCats, 0) + 1), ""),
  goalie, IFERROR(INDEX(AllGProj, MATCH($E62, AllGProjNames, 0), MATCH(AC$2, AllGProjCats, 0) + 1), ""),
  val, IF(skater &lt;&gt; "", skater, goalie),
  IF(OR($E62="", AC$2="", val=""), "", val * AC$1)
)</f>
        <v/>
      </c>
      <c r="AD62" s="34" t="str">
        <f t="shared" si="62"/>
        <v/>
      </c>
      <c r="AE62" s="34" t="str">
        <f t="shared" si="62"/>
        <v/>
      </c>
      <c r="AF62" s="34" t="str">
        <f t="shared" si="62"/>
        <v/>
      </c>
      <c r="AG62" s="34" t="str">
        <f t="shared" si="62"/>
        <v/>
      </c>
      <c r="AH62" s="34" t="str">
        <f t="shared" si="62"/>
        <v/>
      </c>
      <c r="AI62" s="34" t="str">
        <f t="shared" si="62"/>
        <v/>
      </c>
      <c r="AJ62" s="34" t="str">
        <f t="shared" si="62"/>
        <v/>
      </c>
      <c r="AK62" s="34" t="str">
        <f t="shared" si="62"/>
        <v/>
      </c>
      <c r="AL62" s="34" t="str">
        <f t="shared" si="62"/>
        <v/>
      </c>
      <c r="AM62" s="34" t="str">
        <f t="shared" si="62"/>
        <v/>
      </c>
      <c r="AN62" s="34" t="str">
        <f t="shared" si="62"/>
        <v/>
      </c>
      <c r="AO62" s="34" t="str">
        <f t="shared" si="62"/>
        <v/>
      </c>
      <c r="AP62" s="34" t="str">
        <f t="shared" si="62"/>
        <v/>
      </c>
      <c r="AQ62" s="76" t="s">
        <v>96</v>
      </c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8"/>
    </row>
    <row r="63">
      <c r="A63" s="41" t="s">
        <v>69</v>
      </c>
      <c r="B63" s="41" t="b">
        <v>0</v>
      </c>
      <c r="C63" s="41" t="b">
        <f t="shared" si="3"/>
        <v>1</v>
      </c>
      <c r="D63" s="42" t="s">
        <v>502</v>
      </c>
      <c r="E63" s="43" t="s">
        <v>1529</v>
      </c>
      <c r="F63" s="44" t="s">
        <v>930</v>
      </c>
      <c r="G63" s="29" t="s">
        <v>284</v>
      </c>
      <c r="H63" s="32">
        <v>0.8805174148963633</v>
      </c>
      <c r="I63" s="32">
        <v>5.918583435079448</v>
      </c>
      <c r="J63" s="45" t="s">
        <v>1530</v>
      </c>
      <c r="K63" s="29">
        <v>30.2</v>
      </c>
      <c r="L63" s="41">
        <v>78.50117647058823</v>
      </c>
      <c r="M63" s="46">
        <v>29.0</v>
      </c>
      <c r="N63" s="46">
        <v>7.0</v>
      </c>
      <c r="O63" s="47">
        <v>0.42255318787612084</v>
      </c>
      <c r="P63" s="47">
        <v>-0.382327581155261</v>
      </c>
      <c r="Q63" s="47">
        <v>-0.899327598030639</v>
      </c>
      <c r="R63" s="47">
        <v>1.966003915462466</v>
      </c>
      <c r="S63" s="47">
        <v>-0.38652581239682315</v>
      </c>
      <c r="T63" s="47">
        <v>-0.4367978731247028</v>
      </c>
      <c r="U63" s="47">
        <v>0.8791425678838223</v>
      </c>
      <c r="V63" s="47">
        <v>1.114794290235542</v>
      </c>
      <c r="W63" s="47">
        <v>0.09463074141162778</v>
      </c>
      <c r="X63" s="47">
        <v>-1.4916284232657895</v>
      </c>
      <c r="Y63" s="50" t="s">
        <v>69</v>
      </c>
      <c r="Z63" s="50" t="s">
        <v>69</v>
      </c>
      <c r="AA63" s="50" t="s">
        <v>69</v>
      </c>
      <c r="AB63" s="50" t="s">
        <v>69</v>
      </c>
      <c r="AC63" s="34" t="str">
        <f t="shared" ref="AC63:AP63" si="63">LET(
  skater, IFERROR(INDEX(AllProj, MATCH($E63, AllProjNames, 0), MATCH(AC$2, AllProjCats, 0) + 1), ""),
  goalie, IFERROR(INDEX(AllGProj, MATCH($E63, AllGProjNames, 0), MATCH(AC$2, AllGProjCats, 0) + 1), ""),
  val, IF(skater &lt;&gt; "", skater, goalie),
  IF(OR($E63="", AC$2="", val=""), "", val * AC$1)
)</f>
        <v/>
      </c>
      <c r="AD63" s="34" t="str">
        <f t="shared" si="63"/>
        <v/>
      </c>
      <c r="AE63" s="34" t="str">
        <f t="shared" si="63"/>
        <v/>
      </c>
      <c r="AF63" s="34" t="str">
        <f t="shared" si="63"/>
        <v/>
      </c>
      <c r="AG63" s="34" t="str">
        <f t="shared" si="63"/>
        <v/>
      </c>
      <c r="AH63" s="34" t="str">
        <f t="shared" si="63"/>
        <v/>
      </c>
      <c r="AI63" s="34" t="str">
        <f t="shared" si="63"/>
        <v/>
      </c>
      <c r="AJ63" s="34" t="str">
        <f t="shared" si="63"/>
        <v/>
      </c>
      <c r="AK63" s="34" t="str">
        <f t="shared" si="63"/>
        <v/>
      </c>
      <c r="AL63" s="34" t="str">
        <f t="shared" si="63"/>
        <v/>
      </c>
      <c r="AM63" s="34" t="str">
        <f t="shared" si="63"/>
        <v/>
      </c>
      <c r="AN63" s="34" t="str">
        <f t="shared" si="63"/>
        <v/>
      </c>
      <c r="AO63" s="34" t="str">
        <f t="shared" si="63"/>
        <v/>
      </c>
      <c r="AP63" s="34" t="str">
        <f t="shared" si="63"/>
        <v/>
      </c>
      <c r="AQ63" s="76" t="s">
        <v>97</v>
      </c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8"/>
    </row>
    <row r="64">
      <c r="A64" s="79" t="s">
        <v>69</v>
      </c>
      <c r="B64" s="79" t="b">
        <v>0</v>
      </c>
      <c r="C64" s="79" t="b">
        <f t="shared" si="3"/>
        <v>1</v>
      </c>
      <c r="D64" s="80" t="s">
        <v>502</v>
      </c>
      <c r="E64" s="81" t="s">
        <v>1531</v>
      </c>
      <c r="F64" s="82" t="s">
        <v>279</v>
      </c>
      <c r="G64" s="35" t="s">
        <v>6</v>
      </c>
      <c r="H64" s="37">
        <v>0.8622760196085064</v>
      </c>
      <c r="I64" s="37">
        <v>5.20049899807862</v>
      </c>
      <c r="J64" s="83" t="s">
        <v>1532</v>
      </c>
      <c r="K64" s="35">
        <v>29.8</v>
      </c>
      <c r="L64" s="79">
        <v>41.9</v>
      </c>
      <c r="M64" s="84">
        <v>34.0</v>
      </c>
      <c r="N64" s="84">
        <v>7.0</v>
      </c>
      <c r="O64" s="96" t="s">
        <v>69</v>
      </c>
      <c r="P64" s="96" t="s">
        <v>69</v>
      </c>
      <c r="Q64" s="96" t="s">
        <v>69</v>
      </c>
      <c r="R64" s="96" t="s">
        <v>69</v>
      </c>
      <c r="S64" s="96" t="s">
        <v>69</v>
      </c>
      <c r="T64" s="96" t="s">
        <v>69</v>
      </c>
      <c r="U64" s="96" t="s">
        <v>69</v>
      </c>
      <c r="V64" s="96" t="s">
        <v>69</v>
      </c>
      <c r="W64" s="96" t="s">
        <v>69</v>
      </c>
      <c r="X64" s="96" t="s">
        <v>69</v>
      </c>
      <c r="Y64" s="95">
        <v>-0.1355923895428083</v>
      </c>
      <c r="Z64" s="95">
        <v>0.3350683106259544</v>
      </c>
      <c r="AA64" s="95">
        <v>0.4447139018607512</v>
      </c>
      <c r="AB64" s="95">
        <v>0.21808619666460916</v>
      </c>
      <c r="AC64" s="34" t="str">
        <f t="shared" ref="AC64:AP64" si="64">LET(
  skater, IFERROR(INDEX(AllProj, MATCH($E64, AllProjNames, 0), MATCH(AC$2, AllProjCats, 0) + 1), ""),
  goalie, IFERROR(INDEX(AllGProj, MATCH($E64, AllGProjNames, 0), MATCH(AC$2, AllGProjCats, 0) + 1), ""),
  val, IF(skater &lt;&gt; "", skater, goalie),
  IF(OR($E64="", AC$2="", val=""), "", val * AC$1)
)</f>
        <v/>
      </c>
      <c r="AD64" s="34" t="str">
        <f t="shared" si="64"/>
        <v/>
      </c>
      <c r="AE64" s="34" t="str">
        <f t="shared" si="64"/>
        <v/>
      </c>
      <c r="AF64" s="34" t="str">
        <f t="shared" si="64"/>
        <v/>
      </c>
      <c r="AG64" s="34" t="str">
        <f t="shared" si="64"/>
        <v/>
      </c>
      <c r="AH64" s="34" t="str">
        <f t="shared" si="64"/>
        <v/>
      </c>
      <c r="AI64" s="34" t="str">
        <f t="shared" si="64"/>
        <v/>
      </c>
      <c r="AJ64" s="34" t="str">
        <f t="shared" si="64"/>
        <v/>
      </c>
      <c r="AK64" s="34" t="str">
        <f t="shared" si="64"/>
        <v/>
      </c>
      <c r="AL64" s="34" t="str">
        <f t="shared" si="64"/>
        <v/>
      </c>
      <c r="AM64" s="34" t="str">
        <f t="shared" si="64"/>
        <v/>
      </c>
      <c r="AN64" s="34" t="str">
        <f t="shared" si="64"/>
        <v/>
      </c>
      <c r="AO64" s="34" t="str">
        <f t="shared" si="64"/>
        <v/>
      </c>
      <c r="AP64" s="34" t="str">
        <f t="shared" si="64"/>
        <v/>
      </c>
      <c r="AQ64" s="76" t="s">
        <v>98</v>
      </c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8"/>
    </row>
    <row r="65">
      <c r="A65" s="41" t="s">
        <v>69</v>
      </c>
      <c r="B65" s="41" t="b">
        <v>0</v>
      </c>
      <c r="C65" s="41" t="b">
        <f t="shared" si="3"/>
        <v>1</v>
      </c>
      <c r="D65" s="42" t="s">
        <v>824</v>
      </c>
      <c r="E65" s="43" t="s">
        <v>1533</v>
      </c>
      <c r="F65" s="44" t="s">
        <v>1416</v>
      </c>
      <c r="G65" s="29" t="s">
        <v>836</v>
      </c>
      <c r="H65" s="32">
        <v>0.7505756693486472</v>
      </c>
      <c r="I65" s="32">
        <v>6.192713278076504</v>
      </c>
      <c r="J65" s="45" t="s">
        <v>1534</v>
      </c>
      <c r="K65" s="29">
        <v>25.7</v>
      </c>
      <c r="L65" s="41">
        <v>82.73867647058823</v>
      </c>
      <c r="M65" s="46">
        <v>29.0</v>
      </c>
      <c r="N65" s="46">
        <v>7.0</v>
      </c>
      <c r="O65" s="47">
        <v>2.6539652851117244</v>
      </c>
      <c r="P65" s="47">
        <v>0.28504492901745965</v>
      </c>
      <c r="Q65" s="47">
        <v>0.7086984258263843</v>
      </c>
      <c r="R65" s="47">
        <v>-1.9358508845995495</v>
      </c>
      <c r="S65" s="47">
        <v>1.1806951295990673</v>
      </c>
      <c r="T65" s="47">
        <v>-0.7857286228022013</v>
      </c>
      <c r="U65" s="47">
        <v>2.1385479056260506</v>
      </c>
      <c r="V65" s="47">
        <v>0.0</v>
      </c>
      <c r="W65" s="47">
        <v>-1.5472203499628934</v>
      </c>
      <c r="X65" s="47">
        <v>-1.9475761484673946</v>
      </c>
      <c r="Y65" s="50" t="s">
        <v>69</v>
      </c>
      <c r="Z65" s="50" t="s">
        <v>69</v>
      </c>
      <c r="AA65" s="50" t="s">
        <v>69</v>
      </c>
      <c r="AB65" s="50" t="s">
        <v>69</v>
      </c>
      <c r="AC65" s="34" t="str">
        <f t="shared" ref="AC65:AP65" si="65">LET(
  skater, IFERROR(INDEX(AllProj, MATCH($E65, AllProjNames, 0), MATCH(AC$2, AllProjCats, 0) + 1), ""),
  goalie, IFERROR(INDEX(AllGProj, MATCH($E65, AllGProjNames, 0), MATCH(AC$2, AllGProjCats, 0) + 1), ""),
  val, IF(skater &lt;&gt; "", skater, goalie),
  IF(OR($E65="", AC$2="", val=""), "", val * AC$1)
)</f>
        <v/>
      </c>
      <c r="AD65" s="34" t="str">
        <f t="shared" si="65"/>
        <v/>
      </c>
      <c r="AE65" s="34" t="str">
        <f t="shared" si="65"/>
        <v/>
      </c>
      <c r="AF65" s="34" t="str">
        <f t="shared" si="65"/>
        <v/>
      </c>
      <c r="AG65" s="34" t="str">
        <f t="shared" si="65"/>
        <v/>
      </c>
      <c r="AH65" s="34" t="str">
        <f t="shared" si="65"/>
        <v/>
      </c>
      <c r="AI65" s="34" t="str">
        <f t="shared" si="65"/>
        <v/>
      </c>
      <c r="AJ65" s="34" t="str">
        <f t="shared" si="65"/>
        <v/>
      </c>
      <c r="AK65" s="34" t="str">
        <f t="shared" si="65"/>
        <v/>
      </c>
      <c r="AL65" s="34" t="str">
        <f t="shared" si="65"/>
        <v/>
      </c>
      <c r="AM65" s="34" t="str">
        <f t="shared" si="65"/>
        <v/>
      </c>
      <c r="AN65" s="34" t="str">
        <f t="shared" si="65"/>
        <v/>
      </c>
      <c r="AO65" s="34" t="str">
        <f t="shared" si="65"/>
        <v/>
      </c>
      <c r="AP65" s="34" t="str">
        <f t="shared" si="65"/>
        <v/>
      </c>
      <c r="AQ65" s="76" t="s">
        <v>99</v>
      </c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8"/>
    </row>
    <row r="66">
      <c r="A66" s="79" t="s">
        <v>69</v>
      </c>
      <c r="B66" s="79" t="b">
        <v>0</v>
      </c>
      <c r="C66" s="79" t="b">
        <f t="shared" si="3"/>
        <v>1</v>
      </c>
      <c r="D66" s="80" t="s">
        <v>827</v>
      </c>
      <c r="E66" s="81" t="s">
        <v>1535</v>
      </c>
      <c r="F66" s="82" t="s">
        <v>854</v>
      </c>
      <c r="G66" s="35" t="s">
        <v>284</v>
      </c>
      <c r="H66" s="37">
        <v>0.7456720720118505</v>
      </c>
      <c r="I66" s="37">
        <v>5.783738092194936</v>
      </c>
      <c r="J66" s="83" t="s">
        <v>1536</v>
      </c>
      <c r="K66" s="35">
        <v>29.2</v>
      </c>
      <c r="L66" s="79">
        <v>79.79455882352941</v>
      </c>
      <c r="M66" s="84">
        <v>16.0</v>
      </c>
      <c r="N66" s="84">
        <v>6.0</v>
      </c>
      <c r="O66" s="85">
        <v>0.2767483422340359</v>
      </c>
      <c r="P66" s="85">
        <v>-0.24087370166307</v>
      </c>
      <c r="Q66" s="85">
        <v>2.270618916093653</v>
      </c>
      <c r="R66" s="85">
        <v>-0.5652583320348665</v>
      </c>
      <c r="S66" s="85">
        <v>-1.081217384896489</v>
      </c>
      <c r="T66" s="85">
        <v>1.7146193457856778</v>
      </c>
      <c r="U66" s="85">
        <v>-0.6060959448356815</v>
      </c>
      <c r="V66" s="85">
        <v>1.4681762383450365</v>
      </c>
      <c r="W66" s="85">
        <v>-1.6085903308042966</v>
      </c>
      <c r="X66" s="85">
        <v>-0.8824550762121496</v>
      </c>
      <c r="Y66" s="50" t="s">
        <v>69</v>
      </c>
      <c r="Z66" s="50" t="s">
        <v>69</v>
      </c>
      <c r="AA66" s="50" t="s">
        <v>69</v>
      </c>
      <c r="AB66" s="50" t="s">
        <v>69</v>
      </c>
      <c r="AC66" s="34" t="str">
        <f t="shared" ref="AC66:AP66" si="66">LET(
  skater, IFERROR(INDEX(AllProj, MATCH($E66, AllProjNames, 0), MATCH(AC$2, AllProjCats, 0) + 1), ""),
  goalie, IFERROR(INDEX(AllGProj, MATCH($E66, AllGProjNames, 0), MATCH(AC$2, AllGProjCats, 0) + 1), ""),
  val, IF(skater &lt;&gt; "", skater, goalie),
  IF(OR($E66="", AC$2="", val=""), "", val * AC$1)
)</f>
        <v/>
      </c>
      <c r="AD66" s="34" t="str">
        <f t="shared" si="66"/>
        <v/>
      </c>
      <c r="AE66" s="34" t="str">
        <f t="shared" si="66"/>
        <v/>
      </c>
      <c r="AF66" s="34" t="str">
        <f t="shared" si="66"/>
        <v/>
      </c>
      <c r="AG66" s="34" t="str">
        <f t="shared" si="66"/>
        <v/>
      </c>
      <c r="AH66" s="34" t="str">
        <f t="shared" si="66"/>
        <v/>
      </c>
      <c r="AI66" s="34" t="str">
        <f t="shared" si="66"/>
        <v/>
      </c>
      <c r="AJ66" s="34" t="str">
        <f t="shared" si="66"/>
        <v/>
      </c>
      <c r="AK66" s="34" t="str">
        <f t="shared" si="66"/>
        <v/>
      </c>
      <c r="AL66" s="34" t="str">
        <f t="shared" si="66"/>
        <v/>
      </c>
      <c r="AM66" s="34" t="str">
        <f t="shared" si="66"/>
        <v/>
      </c>
      <c r="AN66" s="34" t="str">
        <f t="shared" si="66"/>
        <v/>
      </c>
      <c r="AO66" s="34" t="str">
        <f t="shared" si="66"/>
        <v/>
      </c>
      <c r="AP66" s="34" t="str">
        <f t="shared" si="66"/>
        <v/>
      </c>
      <c r="AQ66" s="76" t="s">
        <v>100</v>
      </c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8"/>
    </row>
    <row r="67">
      <c r="A67" s="41" t="s">
        <v>69</v>
      </c>
      <c r="B67" s="41" t="b">
        <v>0</v>
      </c>
      <c r="C67" s="41" t="b">
        <f t="shared" si="3"/>
        <v>1</v>
      </c>
      <c r="D67" s="42" t="s">
        <v>254</v>
      </c>
      <c r="E67" s="43" t="s">
        <v>1537</v>
      </c>
      <c r="F67" s="44" t="s">
        <v>1444</v>
      </c>
      <c r="G67" s="29" t="s">
        <v>829</v>
      </c>
      <c r="H67" s="32">
        <v>0.7398048349230681</v>
      </c>
      <c r="I67" s="32">
        <v>6.181942443650925</v>
      </c>
      <c r="J67" s="45" t="s">
        <v>1538</v>
      </c>
      <c r="K67" s="29">
        <v>33.4</v>
      </c>
      <c r="L67" s="41">
        <v>82.95632352941176</v>
      </c>
      <c r="M67" s="46">
        <v>33.0</v>
      </c>
      <c r="N67" s="46">
        <v>6.0</v>
      </c>
      <c r="O67" s="47">
        <v>0.9126804958265988</v>
      </c>
      <c r="P67" s="47">
        <v>0.9488824124296555</v>
      </c>
      <c r="Q67" s="47">
        <v>-2.7066464158871057</v>
      </c>
      <c r="R67" s="47">
        <v>-1.6045745768436361</v>
      </c>
      <c r="S67" s="47">
        <v>1.7083667505372124</v>
      </c>
      <c r="T67" s="47">
        <v>1.028383449786687</v>
      </c>
      <c r="U67" s="47">
        <v>1.0838604308718893</v>
      </c>
      <c r="V67" s="47">
        <v>1.5362843976222802</v>
      </c>
      <c r="W67" s="47">
        <v>-0.9783668754338706</v>
      </c>
      <c r="X67" s="47">
        <v>-1.189065233986643</v>
      </c>
      <c r="Y67" s="50" t="s">
        <v>69</v>
      </c>
      <c r="Z67" s="50" t="s">
        <v>69</v>
      </c>
      <c r="AA67" s="50" t="s">
        <v>69</v>
      </c>
      <c r="AB67" s="50" t="s">
        <v>69</v>
      </c>
      <c r="AC67" s="34" t="str">
        <f t="shared" ref="AC67:AP67" si="67">LET(
  skater, IFERROR(INDEX(AllProj, MATCH($E67, AllProjNames, 0), MATCH(AC$2, AllProjCats, 0) + 1), ""),
  goalie, IFERROR(INDEX(AllGProj, MATCH($E67, AllGProjNames, 0), MATCH(AC$2, AllGProjCats, 0) + 1), ""),
  val, IF(skater &lt;&gt; "", skater, goalie),
  IF(OR($E67="", AC$2="", val=""), "", val * AC$1)
)</f>
        <v/>
      </c>
      <c r="AD67" s="34" t="str">
        <f t="shared" si="67"/>
        <v/>
      </c>
      <c r="AE67" s="34" t="str">
        <f t="shared" si="67"/>
        <v/>
      </c>
      <c r="AF67" s="34" t="str">
        <f t="shared" si="67"/>
        <v/>
      </c>
      <c r="AG67" s="34" t="str">
        <f t="shared" si="67"/>
        <v/>
      </c>
      <c r="AH67" s="34" t="str">
        <f t="shared" si="67"/>
        <v/>
      </c>
      <c r="AI67" s="34" t="str">
        <f t="shared" si="67"/>
        <v/>
      </c>
      <c r="AJ67" s="34" t="str">
        <f t="shared" si="67"/>
        <v/>
      </c>
      <c r="AK67" s="34" t="str">
        <f t="shared" si="67"/>
        <v/>
      </c>
      <c r="AL67" s="34" t="str">
        <f t="shared" si="67"/>
        <v/>
      </c>
      <c r="AM67" s="34" t="str">
        <f t="shared" si="67"/>
        <v/>
      </c>
      <c r="AN67" s="34" t="str">
        <f t="shared" si="67"/>
        <v/>
      </c>
      <c r="AO67" s="34" t="str">
        <f t="shared" si="67"/>
        <v/>
      </c>
      <c r="AP67" s="34" t="str">
        <f t="shared" si="67"/>
        <v/>
      </c>
      <c r="AQ67" s="76" t="s">
        <v>101</v>
      </c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8"/>
    </row>
    <row r="68">
      <c r="A68" s="79" t="s">
        <v>69</v>
      </c>
      <c r="B68" s="79" t="b">
        <v>0</v>
      </c>
      <c r="C68" s="79" t="b">
        <f t="shared" si="3"/>
        <v>1</v>
      </c>
      <c r="D68" s="80" t="s">
        <v>254</v>
      </c>
      <c r="E68" s="81" t="s">
        <v>1539</v>
      </c>
      <c r="F68" s="82" t="s">
        <v>279</v>
      </c>
      <c r="G68" s="35" t="s">
        <v>284</v>
      </c>
      <c r="H68" s="37">
        <v>0.7323251535034576</v>
      </c>
      <c r="I68" s="37">
        <v>5.7703911736865425</v>
      </c>
      <c r="J68" s="83" t="s">
        <v>1540</v>
      </c>
      <c r="K68" s="35">
        <v>34.9</v>
      </c>
      <c r="L68" s="79">
        <v>82.33720588235295</v>
      </c>
      <c r="M68" s="84">
        <v>34.0</v>
      </c>
      <c r="N68" s="84">
        <v>7.0</v>
      </c>
      <c r="O68" s="85">
        <v>0.9697471648093171</v>
      </c>
      <c r="P68" s="85">
        <v>-0.13963459524438693</v>
      </c>
      <c r="Q68" s="85">
        <v>1.2006727837704267</v>
      </c>
      <c r="R68" s="85">
        <v>-1.1418113630700384</v>
      </c>
      <c r="S68" s="85">
        <v>-0.10545418691424131</v>
      </c>
      <c r="T68" s="85">
        <v>0.4857721881154842</v>
      </c>
      <c r="U68" s="85">
        <v>0.5359470315153151</v>
      </c>
      <c r="V68" s="85">
        <v>1.8102105585575403</v>
      </c>
      <c r="W68" s="85">
        <v>-1.8887640608364364</v>
      </c>
      <c r="X68" s="85">
        <v>-0.9943603671995225</v>
      </c>
      <c r="Y68" s="50" t="s">
        <v>69</v>
      </c>
      <c r="Z68" s="50" t="s">
        <v>69</v>
      </c>
      <c r="AA68" s="50" t="s">
        <v>69</v>
      </c>
      <c r="AB68" s="50" t="s">
        <v>69</v>
      </c>
      <c r="AC68" s="34" t="str">
        <f t="shared" ref="AC68:AP68" si="68">LET(
  skater, IFERROR(INDEX(AllProj, MATCH($E68, AllProjNames, 0), MATCH(AC$2, AllProjCats, 0) + 1), ""),
  goalie, IFERROR(INDEX(AllGProj, MATCH($E68, AllGProjNames, 0), MATCH(AC$2, AllGProjCats, 0) + 1), ""),
  val, IF(skater &lt;&gt; "", skater, goalie),
  IF(OR($E68="", AC$2="", val=""), "", val * AC$1)
)</f>
        <v/>
      </c>
      <c r="AD68" s="34" t="str">
        <f t="shared" si="68"/>
        <v/>
      </c>
      <c r="AE68" s="34" t="str">
        <f t="shared" si="68"/>
        <v/>
      </c>
      <c r="AF68" s="34" t="str">
        <f t="shared" si="68"/>
        <v/>
      </c>
      <c r="AG68" s="34" t="str">
        <f t="shared" si="68"/>
        <v/>
      </c>
      <c r="AH68" s="34" t="str">
        <f t="shared" si="68"/>
        <v/>
      </c>
      <c r="AI68" s="34" t="str">
        <f t="shared" si="68"/>
        <v/>
      </c>
      <c r="AJ68" s="34" t="str">
        <f t="shared" si="68"/>
        <v/>
      </c>
      <c r="AK68" s="34" t="str">
        <f t="shared" si="68"/>
        <v/>
      </c>
      <c r="AL68" s="34" t="str">
        <f t="shared" si="68"/>
        <v/>
      </c>
      <c r="AM68" s="34" t="str">
        <f t="shared" si="68"/>
        <v/>
      </c>
      <c r="AN68" s="34" t="str">
        <f t="shared" si="68"/>
        <v/>
      </c>
      <c r="AO68" s="34" t="str">
        <f t="shared" si="68"/>
        <v/>
      </c>
      <c r="AP68" s="34" t="str">
        <f t="shared" si="68"/>
        <v/>
      </c>
      <c r="AQ68" s="76" t="s">
        <v>102</v>
      </c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  <c r="BM68" s="78"/>
    </row>
    <row r="69">
      <c r="A69" s="41" t="s">
        <v>69</v>
      </c>
      <c r="B69" s="41" t="b">
        <v>0</v>
      </c>
      <c r="C69" s="41" t="b">
        <f t="shared" si="3"/>
        <v>1</v>
      </c>
      <c r="D69" s="42" t="s">
        <v>827</v>
      </c>
      <c r="E69" s="43" t="s">
        <v>1541</v>
      </c>
      <c r="F69" s="44" t="s">
        <v>849</v>
      </c>
      <c r="G69" s="29" t="s">
        <v>836</v>
      </c>
      <c r="H69" s="32">
        <v>0.7080682879168971</v>
      </c>
      <c r="I69" s="32">
        <v>6.150205896644755</v>
      </c>
      <c r="J69" s="45" t="s">
        <v>1542</v>
      </c>
      <c r="K69" s="29">
        <v>34.3</v>
      </c>
      <c r="L69" s="41">
        <v>77.2939705882353</v>
      </c>
      <c r="M69" s="46">
        <v>29.0</v>
      </c>
      <c r="N69" s="46">
        <v>6.0</v>
      </c>
      <c r="O69" s="47">
        <v>1.9939543577643664</v>
      </c>
      <c r="P69" s="47">
        <v>-0.5516712866452239</v>
      </c>
      <c r="Q69" s="47">
        <v>1.842303565347325</v>
      </c>
      <c r="R69" s="47">
        <v>-0.5771353916725699</v>
      </c>
      <c r="S69" s="47">
        <v>0.4768251813756792</v>
      </c>
      <c r="T69" s="47">
        <v>-0.727941020871087</v>
      </c>
      <c r="U69" s="47">
        <v>1.249522206564463</v>
      </c>
      <c r="V69" s="47">
        <v>0.0</v>
      </c>
      <c r="W69" s="47">
        <v>-1.1790162821751937</v>
      </c>
      <c r="X69" s="47">
        <v>-1.8187730417708614</v>
      </c>
      <c r="Y69" s="50" t="s">
        <v>69</v>
      </c>
      <c r="Z69" s="50" t="s">
        <v>69</v>
      </c>
      <c r="AA69" s="50" t="s">
        <v>69</v>
      </c>
      <c r="AB69" s="50" t="s">
        <v>69</v>
      </c>
      <c r="AC69" s="34" t="str">
        <f t="shared" ref="AC69:AP69" si="69">LET(
  skater, IFERROR(INDEX(AllProj, MATCH($E69, AllProjNames, 0), MATCH(AC$2, AllProjCats, 0) + 1), ""),
  goalie, IFERROR(INDEX(AllGProj, MATCH($E69, AllGProjNames, 0), MATCH(AC$2, AllGProjCats, 0) + 1), ""),
  val, IF(skater &lt;&gt; "", skater, goalie),
  IF(OR($E69="", AC$2="", val=""), "", val * AC$1)
)</f>
        <v/>
      </c>
      <c r="AD69" s="34" t="str">
        <f t="shared" si="69"/>
        <v/>
      </c>
      <c r="AE69" s="34" t="str">
        <f t="shared" si="69"/>
        <v/>
      </c>
      <c r="AF69" s="34" t="str">
        <f t="shared" si="69"/>
        <v/>
      </c>
      <c r="AG69" s="34" t="str">
        <f t="shared" si="69"/>
        <v/>
      </c>
      <c r="AH69" s="34" t="str">
        <f t="shared" si="69"/>
        <v/>
      </c>
      <c r="AI69" s="34" t="str">
        <f t="shared" si="69"/>
        <v/>
      </c>
      <c r="AJ69" s="34" t="str">
        <f t="shared" si="69"/>
        <v/>
      </c>
      <c r="AK69" s="34" t="str">
        <f t="shared" si="69"/>
        <v/>
      </c>
      <c r="AL69" s="34" t="str">
        <f t="shared" si="69"/>
        <v/>
      </c>
      <c r="AM69" s="34" t="str">
        <f t="shared" si="69"/>
        <v/>
      </c>
      <c r="AN69" s="34" t="str">
        <f t="shared" si="69"/>
        <v/>
      </c>
      <c r="AO69" s="34" t="str">
        <f t="shared" si="69"/>
        <v/>
      </c>
      <c r="AP69" s="34" t="str">
        <f t="shared" si="69"/>
        <v/>
      </c>
      <c r="AQ69" s="76" t="s">
        <v>103</v>
      </c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8"/>
    </row>
    <row r="70">
      <c r="A70" s="79" t="s">
        <v>69</v>
      </c>
      <c r="B70" s="79" t="b">
        <v>0</v>
      </c>
      <c r="C70" s="79" t="b">
        <f t="shared" si="3"/>
        <v>1</v>
      </c>
      <c r="D70" s="80" t="s">
        <v>22</v>
      </c>
      <c r="E70" s="81" t="s">
        <v>1543</v>
      </c>
      <c r="F70" s="82" t="s">
        <v>1512</v>
      </c>
      <c r="G70" s="35" t="s">
        <v>284</v>
      </c>
      <c r="H70" s="37">
        <v>0.7032227202358114</v>
      </c>
      <c r="I70" s="37">
        <v>5.741288740418897</v>
      </c>
      <c r="J70" s="83" t="s">
        <v>1544</v>
      </c>
      <c r="K70" s="35">
        <v>27.2</v>
      </c>
      <c r="L70" s="79">
        <v>77.0914705882353</v>
      </c>
      <c r="M70" s="84">
        <v>21.0</v>
      </c>
      <c r="N70" s="84">
        <v>7.0</v>
      </c>
      <c r="O70" s="85">
        <v>0.41097741030345525</v>
      </c>
      <c r="P70" s="85">
        <v>1.7921178044801256</v>
      </c>
      <c r="Q70" s="85">
        <v>0.6157003148921241</v>
      </c>
      <c r="R70" s="85">
        <v>-1.0662490152135724</v>
      </c>
      <c r="S70" s="85">
        <v>0.7597567797852631</v>
      </c>
      <c r="T70" s="85">
        <v>0.39165913478127234</v>
      </c>
      <c r="U70" s="85">
        <v>-0.6085879781111928</v>
      </c>
      <c r="V70" s="85">
        <v>2.0326860805405853</v>
      </c>
      <c r="W70" s="85">
        <v>-2.3535235554563236</v>
      </c>
      <c r="X70" s="85">
        <v>-1.2713142557659254</v>
      </c>
      <c r="Y70" s="50" t="s">
        <v>69</v>
      </c>
      <c r="Z70" s="50" t="s">
        <v>69</v>
      </c>
      <c r="AA70" s="50" t="s">
        <v>69</v>
      </c>
      <c r="AB70" s="50" t="s">
        <v>69</v>
      </c>
      <c r="AC70" s="34" t="str">
        <f t="shared" ref="AC70:AP70" si="70">LET(
  skater, IFERROR(INDEX(AllProj, MATCH($E70, AllProjNames, 0), MATCH(AC$2, AllProjCats, 0) + 1), ""),
  goalie, IFERROR(INDEX(AllGProj, MATCH($E70, AllGProjNames, 0), MATCH(AC$2, AllGProjCats, 0) + 1), ""),
  val, IF(skater &lt;&gt; "", skater, goalie),
  IF(OR($E70="", AC$2="", val=""), "", val * AC$1)
)</f>
        <v/>
      </c>
      <c r="AD70" s="34" t="str">
        <f t="shared" si="70"/>
        <v/>
      </c>
      <c r="AE70" s="34" t="str">
        <f t="shared" si="70"/>
        <v/>
      </c>
      <c r="AF70" s="34" t="str">
        <f t="shared" si="70"/>
        <v/>
      </c>
      <c r="AG70" s="34" t="str">
        <f t="shared" si="70"/>
        <v/>
      </c>
      <c r="AH70" s="34" t="str">
        <f t="shared" si="70"/>
        <v/>
      </c>
      <c r="AI70" s="34" t="str">
        <f t="shared" si="70"/>
        <v/>
      </c>
      <c r="AJ70" s="34" t="str">
        <f t="shared" si="70"/>
        <v/>
      </c>
      <c r="AK70" s="34" t="str">
        <f t="shared" si="70"/>
        <v/>
      </c>
      <c r="AL70" s="34" t="str">
        <f t="shared" si="70"/>
        <v/>
      </c>
      <c r="AM70" s="34" t="str">
        <f t="shared" si="70"/>
        <v/>
      </c>
      <c r="AN70" s="34" t="str">
        <f t="shared" si="70"/>
        <v/>
      </c>
      <c r="AO70" s="34" t="str">
        <f t="shared" si="70"/>
        <v/>
      </c>
      <c r="AP70" s="34" t="str">
        <f t="shared" si="70"/>
        <v/>
      </c>
      <c r="AQ70" s="76" t="s">
        <v>104</v>
      </c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8"/>
    </row>
    <row r="71">
      <c r="A71" s="41" t="s">
        <v>69</v>
      </c>
      <c r="B71" s="41" t="b">
        <v>0</v>
      </c>
      <c r="C71" s="41" t="b">
        <f t="shared" si="3"/>
        <v>1</v>
      </c>
      <c r="D71" s="42" t="s">
        <v>826</v>
      </c>
      <c r="E71" s="43" t="s">
        <v>1545</v>
      </c>
      <c r="F71" s="44" t="s">
        <v>1411</v>
      </c>
      <c r="G71" s="29" t="s">
        <v>837</v>
      </c>
      <c r="H71" s="32">
        <v>0.6589145727202323</v>
      </c>
      <c r="I71" s="32">
        <v>6.1887733446491335</v>
      </c>
      <c r="J71" s="45" t="s">
        <v>1546</v>
      </c>
      <c r="K71" s="29">
        <v>28.5</v>
      </c>
      <c r="L71" s="41">
        <v>81.39558823529411</v>
      </c>
      <c r="M71" s="46">
        <v>33.0</v>
      </c>
      <c r="N71" s="46">
        <v>8.0</v>
      </c>
      <c r="O71" s="47">
        <v>0.015310595714807087</v>
      </c>
      <c r="P71" s="47">
        <v>0.05668924336959405</v>
      </c>
      <c r="Q71" s="47">
        <v>-0.018608861082816</v>
      </c>
      <c r="R71" s="47">
        <v>0.6591981505687489</v>
      </c>
      <c r="S71" s="47">
        <v>0.2899142962099241</v>
      </c>
      <c r="T71" s="47">
        <v>-0.7680417757410438</v>
      </c>
      <c r="U71" s="47">
        <v>1.0377120286776993</v>
      </c>
      <c r="V71" s="47">
        <v>0.0</v>
      </c>
      <c r="W71" s="47">
        <v>-1.3822513118938458</v>
      </c>
      <c r="X71" s="47">
        <v>0.7689922068971646</v>
      </c>
      <c r="Y71" s="50" t="s">
        <v>69</v>
      </c>
      <c r="Z71" s="50" t="s">
        <v>69</v>
      </c>
      <c r="AA71" s="50" t="s">
        <v>69</v>
      </c>
      <c r="AB71" s="50" t="s">
        <v>69</v>
      </c>
      <c r="AC71" s="34" t="str">
        <f t="shared" ref="AC71:AP71" si="71">LET(
  skater, IFERROR(INDEX(AllProj, MATCH($E71, AllProjNames, 0), MATCH(AC$2, AllProjCats, 0) + 1), ""),
  goalie, IFERROR(INDEX(AllGProj, MATCH($E71, AllGProjNames, 0), MATCH(AC$2, AllGProjCats, 0) + 1), ""),
  val, IF(skater &lt;&gt; "", skater, goalie),
  IF(OR($E71="", AC$2="", val=""), "", val * AC$1)
)</f>
        <v/>
      </c>
      <c r="AD71" s="34" t="str">
        <f t="shared" si="71"/>
        <v/>
      </c>
      <c r="AE71" s="34" t="str">
        <f t="shared" si="71"/>
        <v/>
      </c>
      <c r="AF71" s="34" t="str">
        <f t="shared" si="71"/>
        <v/>
      </c>
      <c r="AG71" s="34" t="str">
        <f t="shared" si="71"/>
        <v/>
      </c>
      <c r="AH71" s="34" t="str">
        <f t="shared" si="71"/>
        <v/>
      </c>
      <c r="AI71" s="34" t="str">
        <f t="shared" si="71"/>
        <v/>
      </c>
      <c r="AJ71" s="34" t="str">
        <f t="shared" si="71"/>
        <v/>
      </c>
      <c r="AK71" s="34" t="str">
        <f t="shared" si="71"/>
        <v/>
      </c>
      <c r="AL71" s="34" t="str">
        <f t="shared" si="71"/>
        <v/>
      </c>
      <c r="AM71" s="34" t="str">
        <f t="shared" si="71"/>
        <v/>
      </c>
      <c r="AN71" s="34" t="str">
        <f t="shared" si="71"/>
        <v/>
      </c>
      <c r="AO71" s="34" t="str">
        <f t="shared" si="71"/>
        <v/>
      </c>
      <c r="AP71" s="34" t="str">
        <f t="shared" si="71"/>
        <v/>
      </c>
      <c r="AQ71" s="76" t="s">
        <v>105</v>
      </c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8"/>
    </row>
    <row r="72">
      <c r="A72" s="79" t="s">
        <v>69</v>
      </c>
      <c r="B72" s="79" t="b">
        <v>0</v>
      </c>
      <c r="C72" s="79" t="b">
        <f t="shared" si="3"/>
        <v>1</v>
      </c>
      <c r="D72" s="80" t="s">
        <v>254</v>
      </c>
      <c r="E72" s="97" t="s">
        <v>1547</v>
      </c>
      <c r="F72" s="82" t="s">
        <v>1548</v>
      </c>
      <c r="G72" s="35" t="s">
        <v>835</v>
      </c>
      <c r="H72" s="37">
        <v>0.5919714561559304</v>
      </c>
      <c r="I72" s="37">
        <v>5.979851581068669</v>
      </c>
      <c r="J72" s="83" t="s">
        <v>1549</v>
      </c>
      <c r="K72" s="35">
        <v>22.7</v>
      </c>
      <c r="L72" s="79">
        <v>81.635</v>
      </c>
      <c r="M72" s="84">
        <v>34.0</v>
      </c>
      <c r="N72" s="84">
        <v>7.0</v>
      </c>
      <c r="O72" s="85">
        <v>2.3683937845255656</v>
      </c>
      <c r="P72" s="85">
        <v>0.027267201010578314</v>
      </c>
      <c r="Q72" s="85">
        <v>-0.8408580265641024</v>
      </c>
      <c r="R72" s="85">
        <v>-1.1462235864140469</v>
      </c>
      <c r="S72" s="85">
        <v>0.7421069912788509</v>
      </c>
      <c r="T72" s="85">
        <v>-0.7403936195364321</v>
      </c>
      <c r="U72" s="85">
        <v>3.011858018163013</v>
      </c>
      <c r="V72" s="85">
        <v>0.0</v>
      </c>
      <c r="W72" s="85">
        <v>-1.1348641234539352</v>
      </c>
      <c r="X72" s="85">
        <v>-1.695315182853561</v>
      </c>
      <c r="Y72" s="50" t="s">
        <v>69</v>
      </c>
      <c r="Z72" s="50" t="s">
        <v>69</v>
      </c>
      <c r="AA72" s="50" t="s">
        <v>69</v>
      </c>
      <c r="AB72" s="50" t="s">
        <v>69</v>
      </c>
      <c r="AC72" s="34" t="str">
        <f t="shared" ref="AC72:AP72" si="72">LET(
  skater, IFERROR(INDEX(AllProj, MATCH($E72, AllProjNames, 0), MATCH(AC$2, AllProjCats, 0) + 1), ""),
  goalie, IFERROR(INDEX(AllGProj, MATCH($E72, AllGProjNames, 0), MATCH(AC$2, AllGProjCats, 0) + 1), ""),
  val, IF(skater &lt;&gt; "", skater, goalie),
  IF(OR($E72="", AC$2="", val=""), "", val * AC$1)
)</f>
        <v/>
      </c>
      <c r="AD72" s="34" t="str">
        <f t="shared" si="72"/>
        <v/>
      </c>
      <c r="AE72" s="34" t="str">
        <f t="shared" si="72"/>
        <v/>
      </c>
      <c r="AF72" s="34" t="str">
        <f t="shared" si="72"/>
        <v/>
      </c>
      <c r="AG72" s="34" t="str">
        <f t="shared" si="72"/>
        <v/>
      </c>
      <c r="AH72" s="34" t="str">
        <f t="shared" si="72"/>
        <v/>
      </c>
      <c r="AI72" s="34" t="str">
        <f t="shared" si="72"/>
        <v/>
      </c>
      <c r="AJ72" s="34" t="str">
        <f t="shared" si="72"/>
        <v/>
      </c>
      <c r="AK72" s="34" t="str">
        <f t="shared" si="72"/>
        <v/>
      </c>
      <c r="AL72" s="34" t="str">
        <f t="shared" si="72"/>
        <v/>
      </c>
      <c r="AM72" s="34" t="str">
        <f t="shared" si="72"/>
        <v/>
      </c>
      <c r="AN72" s="34" t="str">
        <f t="shared" si="72"/>
        <v/>
      </c>
      <c r="AO72" s="34" t="str">
        <f t="shared" si="72"/>
        <v/>
      </c>
      <c r="AP72" s="34" t="str">
        <f t="shared" si="72"/>
        <v/>
      </c>
      <c r="AQ72" s="76" t="s">
        <v>106</v>
      </c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8"/>
    </row>
    <row r="73">
      <c r="A73" s="41" t="s">
        <v>69</v>
      </c>
      <c r="B73" s="41" t="b">
        <v>0</v>
      </c>
      <c r="C73" s="41" t="b">
        <f t="shared" si="3"/>
        <v>1</v>
      </c>
      <c r="D73" s="42" t="s">
        <v>502</v>
      </c>
      <c r="E73" s="43" t="s">
        <v>1550</v>
      </c>
      <c r="F73" s="44" t="s">
        <v>1426</v>
      </c>
      <c r="G73" s="29" t="s">
        <v>837</v>
      </c>
      <c r="H73" s="32">
        <v>0.5913756044136259</v>
      </c>
      <c r="I73" s="32">
        <v>6.121234376342527</v>
      </c>
      <c r="J73" s="45" t="s">
        <v>1551</v>
      </c>
      <c r="K73" s="29">
        <v>28.7</v>
      </c>
      <c r="L73" s="41">
        <v>75.20985294117648</v>
      </c>
      <c r="M73" s="46">
        <v>23.0</v>
      </c>
      <c r="N73" s="46">
        <v>6.0</v>
      </c>
      <c r="O73" s="47">
        <v>-1.299547573479034</v>
      </c>
      <c r="P73" s="47">
        <v>0.8670035567504395</v>
      </c>
      <c r="Q73" s="47">
        <v>-0.5263697237704624</v>
      </c>
      <c r="R73" s="47">
        <v>1.2704012554685957</v>
      </c>
      <c r="S73" s="47">
        <v>0.45245858220610224</v>
      </c>
      <c r="T73" s="47">
        <v>-0.33427872387702906</v>
      </c>
      <c r="U73" s="47">
        <v>-0.8188866107440639</v>
      </c>
      <c r="V73" s="47">
        <v>0.0</v>
      </c>
      <c r="W73" s="47">
        <v>-0.5429621417736178</v>
      </c>
      <c r="X73" s="47">
        <v>1.5235569836326956</v>
      </c>
      <c r="Y73" s="50" t="s">
        <v>69</v>
      </c>
      <c r="Z73" s="50" t="s">
        <v>69</v>
      </c>
      <c r="AA73" s="50" t="s">
        <v>69</v>
      </c>
      <c r="AB73" s="50" t="s">
        <v>69</v>
      </c>
      <c r="AC73" s="34" t="str">
        <f t="shared" ref="AC73:AP73" si="73">LET(
  skater, IFERROR(INDEX(AllProj, MATCH($E73, AllProjNames, 0), MATCH(AC$2, AllProjCats, 0) + 1), ""),
  goalie, IFERROR(INDEX(AllGProj, MATCH($E73, AllGProjNames, 0), MATCH(AC$2, AllGProjCats, 0) + 1), ""),
  val, IF(skater &lt;&gt; "", skater, goalie),
  IF(OR($E73="", AC$2="", val=""), "", val * AC$1)
)</f>
        <v/>
      </c>
      <c r="AD73" s="34" t="str">
        <f t="shared" si="73"/>
        <v/>
      </c>
      <c r="AE73" s="34" t="str">
        <f t="shared" si="73"/>
        <v/>
      </c>
      <c r="AF73" s="34" t="str">
        <f t="shared" si="73"/>
        <v/>
      </c>
      <c r="AG73" s="34" t="str">
        <f t="shared" si="73"/>
        <v/>
      </c>
      <c r="AH73" s="34" t="str">
        <f t="shared" si="73"/>
        <v/>
      </c>
      <c r="AI73" s="34" t="str">
        <f t="shared" si="73"/>
        <v/>
      </c>
      <c r="AJ73" s="34" t="str">
        <f t="shared" si="73"/>
        <v/>
      </c>
      <c r="AK73" s="34" t="str">
        <f t="shared" si="73"/>
        <v/>
      </c>
      <c r="AL73" s="34" t="str">
        <f t="shared" si="73"/>
        <v/>
      </c>
      <c r="AM73" s="34" t="str">
        <f t="shared" si="73"/>
        <v/>
      </c>
      <c r="AN73" s="34" t="str">
        <f t="shared" si="73"/>
        <v/>
      </c>
      <c r="AO73" s="34" t="str">
        <f t="shared" si="73"/>
        <v/>
      </c>
      <c r="AP73" s="34" t="str">
        <f t="shared" si="73"/>
        <v/>
      </c>
      <c r="AQ73" s="76" t="s">
        <v>107</v>
      </c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8"/>
    </row>
    <row r="74">
      <c r="A74" s="79" t="s">
        <v>69</v>
      </c>
      <c r="B74" s="79" t="b">
        <v>0</v>
      </c>
      <c r="C74" s="79" t="b">
        <f t="shared" si="3"/>
        <v>1</v>
      </c>
      <c r="D74" s="80" t="s">
        <v>824</v>
      </c>
      <c r="E74" s="81" t="s">
        <v>1552</v>
      </c>
      <c r="F74" s="82" t="s">
        <v>1512</v>
      </c>
      <c r="G74" s="35" t="s">
        <v>830</v>
      </c>
      <c r="H74" s="37">
        <v>0.5638288954513397</v>
      </c>
      <c r="I74" s="37">
        <v>5.951709020364079</v>
      </c>
      <c r="J74" s="83" t="s">
        <v>1553</v>
      </c>
      <c r="K74" s="35">
        <v>25.0</v>
      </c>
      <c r="L74" s="79">
        <v>76.97529411764705</v>
      </c>
      <c r="M74" s="84">
        <v>21.0</v>
      </c>
      <c r="N74" s="84">
        <v>7.0</v>
      </c>
      <c r="O74" s="85">
        <v>1.1207413185066115</v>
      </c>
      <c r="P74" s="85">
        <v>0.46819360193247955</v>
      </c>
      <c r="Q74" s="85">
        <v>0.2203725995778473</v>
      </c>
      <c r="R74" s="85">
        <v>-1.3073257822118407</v>
      </c>
      <c r="S74" s="85">
        <v>0.028758670205442535</v>
      </c>
      <c r="T74" s="85">
        <v>-0.720758883302037</v>
      </c>
      <c r="U74" s="85">
        <v>0.9816901217125126</v>
      </c>
      <c r="V74" s="85">
        <v>0.0</v>
      </c>
      <c r="W74" s="85">
        <v>0.8685252138184595</v>
      </c>
      <c r="X74" s="85">
        <v>-1.0963679647881355</v>
      </c>
      <c r="Y74" s="50" t="s">
        <v>69</v>
      </c>
      <c r="Z74" s="50" t="s">
        <v>69</v>
      </c>
      <c r="AA74" s="50" t="s">
        <v>69</v>
      </c>
      <c r="AB74" s="50" t="s">
        <v>69</v>
      </c>
      <c r="AC74" s="34" t="str">
        <f t="shared" ref="AC74:AP74" si="74">LET(
  skater, IFERROR(INDEX(AllProj, MATCH($E74, AllProjNames, 0), MATCH(AC$2, AllProjCats, 0) + 1), ""),
  goalie, IFERROR(INDEX(AllGProj, MATCH($E74, AllGProjNames, 0), MATCH(AC$2, AllGProjCats, 0) + 1), ""),
  val, IF(skater &lt;&gt; "", skater, goalie),
  IF(OR($E74="", AC$2="", val=""), "", val * AC$1)
)</f>
        <v/>
      </c>
      <c r="AD74" s="34" t="str">
        <f t="shared" si="74"/>
        <v/>
      </c>
      <c r="AE74" s="34" t="str">
        <f t="shared" si="74"/>
        <v/>
      </c>
      <c r="AF74" s="34" t="str">
        <f t="shared" si="74"/>
        <v/>
      </c>
      <c r="AG74" s="34" t="str">
        <f t="shared" si="74"/>
        <v/>
      </c>
      <c r="AH74" s="34" t="str">
        <f t="shared" si="74"/>
        <v/>
      </c>
      <c r="AI74" s="34" t="str">
        <f t="shared" si="74"/>
        <v/>
      </c>
      <c r="AJ74" s="34" t="str">
        <f t="shared" si="74"/>
        <v/>
      </c>
      <c r="AK74" s="34" t="str">
        <f t="shared" si="74"/>
        <v/>
      </c>
      <c r="AL74" s="34" t="str">
        <f t="shared" si="74"/>
        <v/>
      </c>
      <c r="AM74" s="34" t="str">
        <f t="shared" si="74"/>
        <v/>
      </c>
      <c r="AN74" s="34" t="str">
        <f t="shared" si="74"/>
        <v/>
      </c>
      <c r="AO74" s="34" t="str">
        <f t="shared" si="74"/>
        <v/>
      </c>
      <c r="AP74" s="34" t="str">
        <f t="shared" si="74"/>
        <v/>
      </c>
      <c r="AQ74" s="76" t="s">
        <v>108</v>
      </c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8"/>
    </row>
    <row r="75">
      <c r="A75" s="41" t="s">
        <v>69</v>
      </c>
      <c r="B75" s="41" t="b">
        <v>0</v>
      </c>
      <c r="C75" s="41" t="b">
        <f t="shared" si="3"/>
        <v>1</v>
      </c>
      <c r="D75" s="42" t="s">
        <v>827</v>
      </c>
      <c r="E75" s="43" t="s">
        <v>1554</v>
      </c>
      <c r="F75" s="44" t="s">
        <v>1548</v>
      </c>
      <c r="G75" s="29" t="s">
        <v>284</v>
      </c>
      <c r="H75" s="32">
        <v>0.5515386097841568</v>
      </c>
      <c r="I75" s="32">
        <v>5.589604629967242</v>
      </c>
      <c r="J75" s="45" t="s">
        <v>1555</v>
      </c>
      <c r="K75" s="29">
        <v>21.7</v>
      </c>
      <c r="L75" s="41">
        <v>79.30147058823529</v>
      </c>
      <c r="M75" s="46">
        <v>34.0</v>
      </c>
      <c r="N75" s="46">
        <v>7.0</v>
      </c>
      <c r="O75" s="47">
        <v>1.5732672237604883</v>
      </c>
      <c r="P75" s="47">
        <v>0.8420844849556299</v>
      </c>
      <c r="Q75" s="47">
        <v>-0.7887746250936967</v>
      </c>
      <c r="R75" s="47">
        <v>-1.3399089077999617</v>
      </c>
      <c r="S75" s="47">
        <v>0.8229233587526049</v>
      </c>
      <c r="T75" s="47">
        <v>1.1335095146264762</v>
      </c>
      <c r="U75" s="47">
        <v>1.0297671825289851</v>
      </c>
      <c r="V75" s="47">
        <v>1.0396094842902424</v>
      </c>
      <c r="W75" s="47">
        <v>-2.2278808287354144</v>
      </c>
      <c r="X75" s="47">
        <v>-1.5330582775011972</v>
      </c>
      <c r="Y75" s="50" t="s">
        <v>69</v>
      </c>
      <c r="Z75" s="50" t="s">
        <v>69</v>
      </c>
      <c r="AA75" s="50" t="s">
        <v>69</v>
      </c>
      <c r="AB75" s="50" t="s">
        <v>69</v>
      </c>
      <c r="AC75" s="34" t="str">
        <f t="shared" ref="AC75:AP75" si="75">LET(
  skater, IFERROR(INDEX(AllProj, MATCH($E75, AllProjNames, 0), MATCH(AC$2, AllProjCats, 0) + 1), ""),
  goalie, IFERROR(INDEX(AllGProj, MATCH($E75, AllGProjNames, 0), MATCH(AC$2, AllGProjCats, 0) + 1), ""),
  val, IF(skater &lt;&gt; "", skater, goalie),
  IF(OR($E75="", AC$2="", val=""), "", val * AC$1)
)</f>
        <v/>
      </c>
      <c r="AD75" s="34" t="str">
        <f t="shared" si="75"/>
        <v/>
      </c>
      <c r="AE75" s="34" t="str">
        <f t="shared" si="75"/>
        <v/>
      </c>
      <c r="AF75" s="34" t="str">
        <f t="shared" si="75"/>
        <v/>
      </c>
      <c r="AG75" s="34" t="str">
        <f t="shared" si="75"/>
        <v/>
      </c>
      <c r="AH75" s="34" t="str">
        <f t="shared" si="75"/>
        <v/>
      </c>
      <c r="AI75" s="34" t="str">
        <f t="shared" si="75"/>
        <v/>
      </c>
      <c r="AJ75" s="34" t="str">
        <f t="shared" si="75"/>
        <v/>
      </c>
      <c r="AK75" s="34" t="str">
        <f t="shared" si="75"/>
        <v/>
      </c>
      <c r="AL75" s="34" t="str">
        <f t="shared" si="75"/>
        <v/>
      </c>
      <c r="AM75" s="34" t="str">
        <f t="shared" si="75"/>
        <v/>
      </c>
      <c r="AN75" s="34" t="str">
        <f t="shared" si="75"/>
        <v/>
      </c>
      <c r="AO75" s="34" t="str">
        <f t="shared" si="75"/>
        <v/>
      </c>
      <c r="AP75" s="34" t="str">
        <f t="shared" si="75"/>
        <v/>
      </c>
      <c r="AQ75" s="76" t="s">
        <v>109</v>
      </c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8"/>
    </row>
    <row r="76">
      <c r="A76" s="79" t="s">
        <v>69</v>
      </c>
      <c r="B76" s="79" t="b">
        <v>0</v>
      </c>
      <c r="C76" s="79" t="b">
        <f t="shared" si="3"/>
        <v>1</v>
      </c>
      <c r="D76" s="80" t="s">
        <v>825</v>
      </c>
      <c r="E76" s="81" t="s">
        <v>1556</v>
      </c>
      <c r="F76" s="82" t="s">
        <v>1043</v>
      </c>
      <c r="G76" s="35" t="s">
        <v>832</v>
      </c>
      <c r="H76" s="37">
        <v>0.5241852855784934</v>
      </c>
      <c r="I76" s="37">
        <v>5.966322894306351</v>
      </c>
      <c r="J76" s="83" t="s">
        <v>1557</v>
      </c>
      <c r="K76" s="35">
        <v>34.3</v>
      </c>
      <c r="L76" s="79">
        <v>70.29411764705883</v>
      </c>
      <c r="M76" s="84">
        <v>28.0</v>
      </c>
      <c r="N76" s="84">
        <v>6.0</v>
      </c>
      <c r="O76" s="85">
        <v>0.5714861100199897</v>
      </c>
      <c r="P76" s="85">
        <v>1.4757672469718641</v>
      </c>
      <c r="Q76" s="85">
        <v>1.6046440982200678</v>
      </c>
      <c r="R76" s="85">
        <v>-1.891444694877929</v>
      </c>
      <c r="S76" s="85">
        <v>1.5250811185042281</v>
      </c>
      <c r="T76" s="85">
        <v>0.582436421652921</v>
      </c>
      <c r="U76" s="85">
        <v>-0.33144096188045247</v>
      </c>
      <c r="V76" s="85">
        <v>0.0</v>
      </c>
      <c r="W76" s="85">
        <v>-1.8682541030037951</v>
      </c>
      <c r="X76" s="85">
        <v>-1.1440899500284005</v>
      </c>
      <c r="Y76" s="50" t="s">
        <v>69</v>
      </c>
      <c r="Z76" s="50" t="s">
        <v>69</v>
      </c>
      <c r="AA76" s="50" t="s">
        <v>69</v>
      </c>
      <c r="AB76" s="50" t="s">
        <v>69</v>
      </c>
      <c r="AC76" s="34" t="str">
        <f t="shared" ref="AC76:AP76" si="76">LET(
  skater, IFERROR(INDEX(AllProj, MATCH($E76, AllProjNames, 0), MATCH(AC$2, AllProjCats, 0) + 1), ""),
  goalie, IFERROR(INDEX(AllGProj, MATCH($E76, AllGProjNames, 0), MATCH(AC$2, AllGProjCats, 0) + 1), ""),
  val, IF(skater &lt;&gt; "", skater, goalie),
  IF(OR($E76="", AC$2="", val=""), "", val * AC$1)
)</f>
        <v/>
      </c>
      <c r="AD76" s="34" t="str">
        <f t="shared" si="76"/>
        <v/>
      </c>
      <c r="AE76" s="34" t="str">
        <f t="shared" si="76"/>
        <v/>
      </c>
      <c r="AF76" s="34" t="str">
        <f t="shared" si="76"/>
        <v/>
      </c>
      <c r="AG76" s="34" t="str">
        <f t="shared" si="76"/>
        <v/>
      </c>
      <c r="AH76" s="34" t="str">
        <f t="shared" si="76"/>
        <v/>
      </c>
      <c r="AI76" s="34" t="str">
        <f t="shared" si="76"/>
        <v/>
      </c>
      <c r="AJ76" s="34" t="str">
        <f t="shared" si="76"/>
        <v/>
      </c>
      <c r="AK76" s="34" t="str">
        <f t="shared" si="76"/>
        <v/>
      </c>
      <c r="AL76" s="34" t="str">
        <f t="shared" si="76"/>
        <v/>
      </c>
      <c r="AM76" s="34" t="str">
        <f t="shared" si="76"/>
        <v/>
      </c>
      <c r="AN76" s="34" t="str">
        <f t="shared" si="76"/>
        <v/>
      </c>
      <c r="AO76" s="34" t="str">
        <f t="shared" si="76"/>
        <v/>
      </c>
      <c r="AP76" s="34" t="str">
        <f t="shared" si="76"/>
        <v/>
      </c>
      <c r="AQ76" s="76" t="s">
        <v>110</v>
      </c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8"/>
    </row>
    <row r="77">
      <c r="A77" s="41" t="s">
        <v>69</v>
      </c>
      <c r="B77" s="41" t="b">
        <v>0</v>
      </c>
      <c r="C77" s="41" t="b">
        <f t="shared" si="3"/>
        <v>1</v>
      </c>
      <c r="D77" s="42" t="s">
        <v>254</v>
      </c>
      <c r="E77" s="43" t="s">
        <v>1558</v>
      </c>
      <c r="F77" s="44" t="s">
        <v>1505</v>
      </c>
      <c r="G77" s="29" t="s">
        <v>6</v>
      </c>
      <c r="H77" s="32">
        <v>0.5041335286633708</v>
      </c>
      <c r="I77" s="32">
        <v>4.842356507133484</v>
      </c>
      <c r="J77" s="45" t="s">
        <v>1559</v>
      </c>
      <c r="K77" s="29">
        <v>30.3</v>
      </c>
      <c r="L77" s="41">
        <v>58.5</v>
      </c>
      <c r="M77" s="46">
        <v>30.0</v>
      </c>
      <c r="N77" s="46">
        <v>5.0</v>
      </c>
      <c r="O77" s="94" t="s">
        <v>69</v>
      </c>
      <c r="P77" s="94" t="s">
        <v>69</v>
      </c>
      <c r="Q77" s="94" t="s">
        <v>69</v>
      </c>
      <c r="R77" s="94" t="s">
        <v>69</v>
      </c>
      <c r="S77" s="94" t="s">
        <v>69</v>
      </c>
      <c r="T77" s="94" t="s">
        <v>69</v>
      </c>
      <c r="U77" s="94" t="s">
        <v>69</v>
      </c>
      <c r="V77" s="94" t="s">
        <v>69</v>
      </c>
      <c r="W77" s="94" t="s">
        <v>69</v>
      </c>
      <c r="X77" s="94" t="s">
        <v>69</v>
      </c>
      <c r="Y77" s="95">
        <v>1.2331986708569582</v>
      </c>
      <c r="Z77" s="95">
        <v>0.4806575511480362</v>
      </c>
      <c r="AA77" s="95">
        <v>-1.2097226933416236</v>
      </c>
      <c r="AB77" s="95">
        <v>0.0</v>
      </c>
      <c r="AC77" s="34" t="str">
        <f t="shared" ref="AC77:AP77" si="77">LET(
  skater, IFERROR(INDEX(AllProj, MATCH($E77, AllProjNames, 0), MATCH(AC$2, AllProjCats, 0) + 1), ""),
  goalie, IFERROR(INDEX(AllGProj, MATCH($E77, AllGProjNames, 0), MATCH(AC$2, AllGProjCats, 0) + 1), ""),
  val, IF(skater &lt;&gt; "", skater, goalie),
  IF(OR($E77="", AC$2="", val=""), "", val * AC$1)
)</f>
        <v/>
      </c>
      <c r="AD77" s="34" t="str">
        <f t="shared" si="77"/>
        <v/>
      </c>
      <c r="AE77" s="34" t="str">
        <f t="shared" si="77"/>
        <v/>
      </c>
      <c r="AF77" s="34" t="str">
        <f t="shared" si="77"/>
        <v/>
      </c>
      <c r="AG77" s="34" t="str">
        <f t="shared" si="77"/>
        <v/>
      </c>
      <c r="AH77" s="34" t="str">
        <f t="shared" si="77"/>
        <v/>
      </c>
      <c r="AI77" s="34" t="str">
        <f t="shared" si="77"/>
        <v/>
      </c>
      <c r="AJ77" s="34" t="str">
        <f t="shared" si="77"/>
        <v/>
      </c>
      <c r="AK77" s="34" t="str">
        <f t="shared" si="77"/>
        <v/>
      </c>
      <c r="AL77" s="34" t="str">
        <f t="shared" si="77"/>
        <v/>
      </c>
      <c r="AM77" s="34" t="str">
        <f t="shared" si="77"/>
        <v/>
      </c>
      <c r="AN77" s="34" t="str">
        <f t="shared" si="77"/>
        <v/>
      </c>
      <c r="AO77" s="34" t="str">
        <f t="shared" si="77"/>
        <v/>
      </c>
      <c r="AP77" s="34" t="str">
        <f t="shared" si="77"/>
        <v/>
      </c>
      <c r="AQ77" s="76" t="s">
        <v>111</v>
      </c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  <c r="BF77" s="77"/>
      <c r="BG77" s="77"/>
      <c r="BH77" s="77"/>
      <c r="BI77" s="77"/>
      <c r="BJ77" s="77"/>
      <c r="BK77" s="77"/>
      <c r="BL77" s="77"/>
      <c r="BM77" s="78"/>
    </row>
    <row r="78">
      <c r="A78" s="79" t="s">
        <v>69</v>
      </c>
      <c r="B78" s="79" t="b">
        <v>0</v>
      </c>
      <c r="C78" s="79" t="b">
        <f t="shared" si="3"/>
        <v>1</v>
      </c>
      <c r="D78" s="80" t="s">
        <v>825</v>
      </c>
      <c r="E78" s="81" t="s">
        <v>1560</v>
      </c>
      <c r="F78" s="82" t="s">
        <v>1436</v>
      </c>
      <c r="G78" s="35" t="s">
        <v>835</v>
      </c>
      <c r="H78" s="37">
        <v>0.47074656084842426</v>
      </c>
      <c r="I78" s="37">
        <v>5.858626685761163</v>
      </c>
      <c r="J78" s="83" t="s">
        <v>1561</v>
      </c>
      <c r="K78" s="35">
        <v>29.8</v>
      </c>
      <c r="L78" s="79">
        <v>81.88176470588235</v>
      </c>
      <c r="M78" s="84">
        <v>26.0</v>
      </c>
      <c r="N78" s="84">
        <v>5.0</v>
      </c>
      <c r="O78" s="85">
        <v>2.2559519988824945</v>
      </c>
      <c r="P78" s="85">
        <v>1.3582419667982881</v>
      </c>
      <c r="Q78" s="85">
        <v>-0.9593069390004249</v>
      </c>
      <c r="R78" s="85">
        <v>-1.743230688632272</v>
      </c>
      <c r="S78" s="85">
        <v>0.9454866990603159</v>
      </c>
      <c r="T78" s="85">
        <v>0.267625086946641</v>
      </c>
      <c r="U78" s="85">
        <v>2.2814810282773</v>
      </c>
      <c r="V78" s="85">
        <v>0.0</v>
      </c>
      <c r="W78" s="85">
        <v>-2.058417889136541</v>
      </c>
      <c r="X78" s="85">
        <v>-1.877084702347378</v>
      </c>
      <c r="Y78" s="50" t="s">
        <v>69</v>
      </c>
      <c r="Z78" s="50" t="s">
        <v>69</v>
      </c>
      <c r="AA78" s="50" t="s">
        <v>69</v>
      </c>
      <c r="AB78" s="50" t="s">
        <v>69</v>
      </c>
      <c r="AC78" s="34" t="str">
        <f t="shared" ref="AC78:AP78" si="78">LET(
  skater, IFERROR(INDEX(AllProj, MATCH($E78, AllProjNames, 0), MATCH(AC$2, AllProjCats, 0) + 1), ""),
  goalie, IFERROR(INDEX(AllGProj, MATCH($E78, AllGProjNames, 0), MATCH(AC$2, AllGProjCats, 0) + 1), ""),
  val, IF(skater &lt;&gt; "", skater, goalie),
  IF(OR($E78="", AC$2="", val=""), "", val * AC$1)
)</f>
        <v/>
      </c>
      <c r="AD78" s="34" t="str">
        <f t="shared" si="78"/>
        <v/>
      </c>
      <c r="AE78" s="34" t="str">
        <f t="shared" si="78"/>
        <v/>
      </c>
      <c r="AF78" s="34" t="str">
        <f t="shared" si="78"/>
        <v/>
      </c>
      <c r="AG78" s="34" t="str">
        <f t="shared" si="78"/>
        <v/>
      </c>
      <c r="AH78" s="34" t="str">
        <f t="shared" si="78"/>
        <v/>
      </c>
      <c r="AI78" s="34" t="str">
        <f t="shared" si="78"/>
        <v/>
      </c>
      <c r="AJ78" s="34" t="str">
        <f t="shared" si="78"/>
        <v/>
      </c>
      <c r="AK78" s="34" t="str">
        <f t="shared" si="78"/>
        <v/>
      </c>
      <c r="AL78" s="34" t="str">
        <f t="shared" si="78"/>
        <v/>
      </c>
      <c r="AM78" s="34" t="str">
        <f t="shared" si="78"/>
        <v/>
      </c>
      <c r="AN78" s="34" t="str">
        <f t="shared" si="78"/>
        <v/>
      </c>
      <c r="AO78" s="34" t="str">
        <f t="shared" si="78"/>
        <v/>
      </c>
      <c r="AP78" s="34" t="str">
        <f t="shared" si="78"/>
        <v/>
      </c>
      <c r="AQ78" s="76" t="s">
        <v>112</v>
      </c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8"/>
    </row>
    <row r="79">
      <c r="A79" s="41" t="s">
        <v>69</v>
      </c>
      <c r="B79" s="41" t="b">
        <v>0</v>
      </c>
      <c r="C79" s="41" t="b">
        <f t="shared" si="3"/>
        <v>1</v>
      </c>
      <c r="D79" s="42" t="s">
        <v>826</v>
      </c>
      <c r="E79" s="43" t="s">
        <v>1562</v>
      </c>
      <c r="F79" s="44" t="s">
        <v>1563</v>
      </c>
      <c r="G79" s="29" t="s">
        <v>6</v>
      </c>
      <c r="H79" s="32">
        <v>0.3018182236331714</v>
      </c>
      <c r="I79" s="32">
        <v>4.640041202103285</v>
      </c>
      <c r="J79" s="45" t="s">
        <v>1564</v>
      </c>
      <c r="K79" s="29">
        <v>29.1</v>
      </c>
      <c r="L79" s="41">
        <v>49.4</v>
      </c>
      <c r="M79" s="46">
        <v>29.0</v>
      </c>
      <c r="N79" s="46">
        <v>6.0</v>
      </c>
      <c r="O79" s="94" t="s">
        <v>69</v>
      </c>
      <c r="P79" s="94" t="s">
        <v>69</v>
      </c>
      <c r="Q79" s="94" t="s">
        <v>69</v>
      </c>
      <c r="R79" s="94" t="s">
        <v>69</v>
      </c>
      <c r="S79" s="94" t="s">
        <v>69</v>
      </c>
      <c r="T79" s="94" t="s">
        <v>69</v>
      </c>
      <c r="U79" s="94" t="s">
        <v>69</v>
      </c>
      <c r="V79" s="94" t="s">
        <v>69</v>
      </c>
      <c r="W79" s="94" t="s">
        <v>69</v>
      </c>
      <c r="X79" s="94" t="s">
        <v>69</v>
      </c>
      <c r="Y79" s="95">
        <v>0.2435902502872891</v>
      </c>
      <c r="Z79" s="95">
        <v>0.24771476631269895</v>
      </c>
      <c r="AA79" s="95">
        <v>-0.18948679296681664</v>
      </c>
      <c r="AB79" s="95">
        <v>0.0</v>
      </c>
      <c r="AC79" s="34" t="str">
        <f t="shared" ref="AC79:AP79" si="79">LET(
  skater, IFERROR(INDEX(AllProj, MATCH($E79, AllProjNames, 0), MATCH(AC$2, AllProjCats, 0) + 1), ""),
  goalie, IFERROR(INDEX(AllGProj, MATCH($E79, AllGProjNames, 0), MATCH(AC$2, AllGProjCats, 0) + 1), ""),
  val, IF(skater &lt;&gt; "", skater, goalie),
  IF(OR($E79="", AC$2="", val=""), "", val * AC$1)
)</f>
        <v/>
      </c>
      <c r="AD79" s="34" t="str">
        <f t="shared" si="79"/>
        <v/>
      </c>
      <c r="AE79" s="34" t="str">
        <f t="shared" si="79"/>
        <v/>
      </c>
      <c r="AF79" s="34" t="str">
        <f t="shared" si="79"/>
        <v/>
      </c>
      <c r="AG79" s="34" t="str">
        <f t="shared" si="79"/>
        <v/>
      </c>
      <c r="AH79" s="34" t="str">
        <f t="shared" si="79"/>
        <v/>
      </c>
      <c r="AI79" s="34" t="str">
        <f t="shared" si="79"/>
        <v/>
      </c>
      <c r="AJ79" s="34" t="str">
        <f t="shared" si="79"/>
        <v/>
      </c>
      <c r="AK79" s="34" t="str">
        <f t="shared" si="79"/>
        <v/>
      </c>
      <c r="AL79" s="34" t="str">
        <f t="shared" si="79"/>
        <v/>
      </c>
      <c r="AM79" s="34" t="str">
        <f t="shared" si="79"/>
        <v/>
      </c>
      <c r="AN79" s="34" t="str">
        <f t="shared" si="79"/>
        <v/>
      </c>
      <c r="AO79" s="34" t="str">
        <f t="shared" si="79"/>
        <v/>
      </c>
      <c r="AP79" s="34" t="str">
        <f t="shared" si="79"/>
        <v/>
      </c>
      <c r="AQ79" s="76" t="s">
        <v>113</v>
      </c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8"/>
    </row>
    <row r="80">
      <c r="A80" s="79">
        <v>2.642857142857143</v>
      </c>
      <c r="B80" s="79" t="b">
        <v>0</v>
      </c>
      <c r="C80" s="79" t="b">
        <f t="shared" si="3"/>
        <v>0</v>
      </c>
      <c r="D80" s="80" t="s">
        <v>1565</v>
      </c>
      <c r="E80" s="81" t="s">
        <v>1285</v>
      </c>
      <c r="F80" s="82" t="s">
        <v>1439</v>
      </c>
      <c r="G80" s="35" t="s">
        <v>6</v>
      </c>
      <c r="H80" s="37">
        <v>0.268173288498306</v>
      </c>
      <c r="I80" s="37">
        <v>4.60639626696842</v>
      </c>
      <c r="J80" s="83" t="s">
        <v>1566</v>
      </c>
      <c r="K80" s="35">
        <v>35.1</v>
      </c>
      <c r="L80" s="79">
        <v>28.9</v>
      </c>
      <c r="M80" s="84">
        <v>25.0</v>
      </c>
      <c r="N80" s="84">
        <v>6.0</v>
      </c>
      <c r="O80" s="96" t="s">
        <v>69</v>
      </c>
      <c r="P80" s="96" t="s">
        <v>69</v>
      </c>
      <c r="Q80" s="96" t="s">
        <v>69</v>
      </c>
      <c r="R80" s="96" t="s">
        <v>69</v>
      </c>
      <c r="S80" s="96" t="s">
        <v>69</v>
      </c>
      <c r="T80" s="96" t="s">
        <v>69</v>
      </c>
      <c r="U80" s="96" t="s">
        <v>69</v>
      </c>
      <c r="V80" s="96" t="s">
        <v>69</v>
      </c>
      <c r="W80" s="96" t="s">
        <v>69</v>
      </c>
      <c r="X80" s="96" t="s">
        <v>69</v>
      </c>
      <c r="Y80" s="95">
        <v>-1.9979467380993379</v>
      </c>
      <c r="Z80" s="95">
        <v>1.3250751461761434</v>
      </c>
      <c r="AA80" s="95">
        <v>0.9410448804215005</v>
      </c>
      <c r="AB80" s="95">
        <v>0.0</v>
      </c>
      <c r="AC80" s="34" t="str">
        <f t="shared" ref="AC80:AP80" si="80">LET(
  skater, IFERROR(INDEX(AllProj, MATCH($E80, AllProjNames, 0), MATCH(AC$2, AllProjCats, 0) + 1), ""),
  goalie, IFERROR(INDEX(AllGProj, MATCH($E80, AllGProjNames, 0), MATCH(AC$2, AllGProjCats, 0) + 1), ""),
  val, IF(skater &lt;&gt; "", skater, goalie),
  IF(OR($E80="", AC$2="", val=""), "", val * AC$1)
)</f>
        <v/>
      </c>
      <c r="AD80" s="34" t="str">
        <f t="shared" si="80"/>
        <v/>
      </c>
      <c r="AE80" s="34" t="str">
        <f t="shared" si="80"/>
        <v/>
      </c>
      <c r="AF80" s="34" t="str">
        <f t="shared" si="80"/>
        <v/>
      </c>
      <c r="AG80" s="34" t="str">
        <f t="shared" si="80"/>
        <v/>
      </c>
      <c r="AH80" s="34" t="str">
        <f t="shared" si="80"/>
        <v/>
      </c>
      <c r="AI80" s="34" t="str">
        <f t="shared" si="80"/>
        <v/>
      </c>
      <c r="AJ80" s="34" t="str">
        <f t="shared" si="80"/>
        <v/>
      </c>
      <c r="AK80" s="34" t="str">
        <f t="shared" si="80"/>
        <v/>
      </c>
      <c r="AL80" s="34" t="str">
        <f t="shared" si="80"/>
        <v/>
      </c>
      <c r="AM80" s="34" t="str">
        <f t="shared" si="80"/>
        <v/>
      </c>
      <c r="AN80" s="34" t="str">
        <f t="shared" si="80"/>
        <v/>
      </c>
      <c r="AO80" s="34" t="str">
        <f t="shared" si="80"/>
        <v/>
      </c>
      <c r="AP80" s="34" t="str">
        <f t="shared" si="80"/>
        <v/>
      </c>
      <c r="AQ80" s="76" t="s">
        <v>114</v>
      </c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  <c r="BF80" s="77"/>
      <c r="BG80" s="77"/>
      <c r="BH80" s="77"/>
      <c r="BI80" s="77"/>
      <c r="BJ80" s="77"/>
      <c r="BK80" s="77"/>
      <c r="BL80" s="77"/>
      <c r="BM80" s="78"/>
    </row>
    <row r="81">
      <c r="A81" s="41" t="s">
        <v>69</v>
      </c>
      <c r="B81" s="41" t="b">
        <v>0</v>
      </c>
      <c r="C81" s="41" t="b">
        <f t="shared" si="3"/>
        <v>1</v>
      </c>
      <c r="D81" s="42" t="s">
        <v>827</v>
      </c>
      <c r="E81" s="43" t="s">
        <v>1567</v>
      </c>
      <c r="F81" s="44" t="s">
        <v>1416</v>
      </c>
      <c r="G81" s="29" t="s">
        <v>837</v>
      </c>
      <c r="H81" s="32">
        <v>0.26654775509122963</v>
      </c>
      <c r="I81" s="32">
        <v>5.796406527020131</v>
      </c>
      <c r="J81" s="45" t="s">
        <v>1568</v>
      </c>
      <c r="K81" s="29">
        <v>22.6</v>
      </c>
      <c r="L81" s="41">
        <v>83.3229411764706</v>
      </c>
      <c r="M81" s="46">
        <v>29.0</v>
      </c>
      <c r="N81" s="46">
        <v>7.0</v>
      </c>
      <c r="O81" s="47">
        <v>-1.399220183776361</v>
      </c>
      <c r="P81" s="47">
        <v>2.629551504424939</v>
      </c>
      <c r="Q81" s="47">
        <v>1.2121782029910186</v>
      </c>
      <c r="R81" s="47">
        <v>-0.6796170007154356</v>
      </c>
      <c r="S81" s="47">
        <v>1.045267351167679</v>
      </c>
      <c r="T81" s="47">
        <v>-0.775567863377378</v>
      </c>
      <c r="U81" s="47">
        <v>-1.0384474926284049</v>
      </c>
      <c r="V81" s="47">
        <v>0.0</v>
      </c>
      <c r="W81" s="47">
        <v>-1.9284084572494609</v>
      </c>
      <c r="X81" s="47">
        <v>1.200811694254633</v>
      </c>
      <c r="Y81" s="50" t="s">
        <v>69</v>
      </c>
      <c r="Z81" s="50" t="s">
        <v>69</v>
      </c>
      <c r="AA81" s="50" t="s">
        <v>69</v>
      </c>
      <c r="AB81" s="50" t="s">
        <v>69</v>
      </c>
      <c r="AC81" s="34" t="str">
        <f t="shared" ref="AC81:AP81" si="81">LET(
  skater, IFERROR(INDEX(AllProj, MATCH($E81, AllProjNames, 0), MATCH(AC$2, AllProjCats, 0) + 1), ""),
  goalie, IFERROR(INDEX(AllGProj, MATCH($E81, AllGProjNames, 0), MATCH(AC$2, AllGProjCats, 0) + 1), ""),
  val, IF(skater &lt;&gt; "", skater, goalie),
  IF(OR($E81="", AC$2="", val=""), "", val * AC$1)
)</f>
        <v/>
      </c>
      <c r="AD81" s="34" t="str">
        <f t="shared" si="81"/>
        <v/>
      </c>
      <c r="AE81" s="34" t="str">
        <f t="shared" si="81"/>
        <v/>
      </c>
      <c r="AF81" s="34" t="str">
        <f t="shared" si="81"/>
        <v/>
      </c>
      <c r="AG81" s="34" t="str">
        <f t="shared" si="81"/>
        <v/>
      </c>
      <c r="AH81" s="34" t="str">
        <f t="shared" si="81"/>
        <v/>
      </c>
      <c r="AI81" s="34" t="str">
        <f t="shared" si="81"/>
        <v/>
      </c>
      <c r="AJ81" s="34" t="str">
        <f t="shared" si="81"/>
        <v/>
      </c>
      <c r="AK81" s="34" t="str">
        <f t="shared" si="81"/>
        <v/>
      </c>
      <c r="AL81" s="34" t="str">
        <f t="shared" si="81"/>
        <v/>
      </c>
      <c r="AM81" s="34" t="str">
        <f t="shared" si="81"/>
        <v/>
      </c>
      <c r="AN81" s="34" t="str">
        <f t="shared" si="81"/>
        <v/>
      </c>
      <c r="AO81" s="34" t="str">
        <f t="shared" si="81"/>
        <v/>
      </c>
      <c r="AP81" s="34" t="str">
        <f t="shared" si="81"/>
        <v/>
      </c>
      <c r="AQ81" s="76" t="s">
        <v>115</v>
      </c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8"/>
    </row>
    <row r="82">
      <c r="A82" s="79" t="s">
        <v>69</v>
      </c>
      <c r="B82" s="79" t="b">
        <v>0</v>
      </c>
      <c r="C82" s="79" t="b">
        <f t="shared" si="3"/>
        <v>1</v>
      </c>
      <c r="D82" s="80" t="s">
        <v>824</v>
      </c>
      <c r="E82" s="97" t="s">
        <v>1569</v>
      </c>
      <c r="F82" s="82" t="s">
        <v>1461</v>
      </c>
      <c r="G82" s="35" t="s">
        <v>284</v>
      </c>
      <c r="H82" s="37">
        <v>0.09327782956707065</v>
      </c>
      <c r="I82" s="37">
        <v>5.131343849750156</v>
      </c>
      <c r="J82" s="83" t="s">
        <v>1570</v>
      </c>
      <c r="K82" s="35">
        <v>21.9</v>
      </c>
      <c r="L82" s="79">
        <v>82.59941176470589</v>
      </c>
      <c r="M82" s="84">
        <v>23.0</v>
      </c>
      <c r="N82" s="84">
        <v>6.0</v>
      </c>
      <c r="O82" s="85">
        <v>1.2318975945269406</v>
      </c>
      <c r="P82" s="85">
        <v>0.25232995317998785</v>
      </c>
      <c r="Q82" s="85">
        <v>-1.4818229126355213</v>
      </c>
      <c r="R82" s="85">
        <v>-0.8861159463039137</v>
      </c>
      <c r="S82" s="85">
        <v>0.08874808894880211</v>
      </c>
      <c r="T82" s="85">
        <v>-0.6852006122094005</v>
      </c>
      <c r="U82" s="85">
        <v>1.3597892366152868</v>
      </c>
      <c r="V82" s="85">
        <v>1.2350963644528576</v>
      </c>
      <c r="W82" s="85">
        <v>0.06122004716214873</v>
      </c>
      <c r="X82" s="85">
        <v>-1.0826639841701176</v>
      </c>
      <c r="Y82" s="50" t="s">
        <v>69</v>
      </c>
      <c r="Z82" s="50" t="s">
        <v>69</v>
      </c>
      <c r="AA82" s="50" t="s">
        <v>69</v>
      </c>
      <c r="AB82" s="50" t="s">
        <v>69</v>
      </c>
      <c r="AC82" s="34" t="str">
        <f t="shared" ref="AC82:AP82" si="82">LET(
  skater, IFERROR(INDEX(AllProj, MATCH($E82, AllProjNames, 0), MATCH(AC$2, AllProjCats, 0) + 1), ""),
  goalie, IFERROR(INDEX(AllGProj, MATCH($E82, AllGProjNames, 0), MATCH(AC$2, AllGProjCats, 0) + 1), ""),
  val, IF(skater &lt;&gt; "", skater, goalie),
  IF(OR($E82="", AC$2="", val=""), "", val * AC$1)
)</f>
        <v/>
      </c>
      <c r="AD82" s="34" t="str">
        <f t="shared" si="82"/>
        <v/>
      </c>
      <c r="AE82" s="34" t="str">
        <f t="shared" si="82"/>
        <v/>
      </c>
      <c r="AF82" s="34" t="str">
        <f t="shared" si="82"/>
        <v/>
      </c>
      <c r="AG82" s="34" t="str">
        <f t="shared" si="82"/>
        <v/>
      </c>
      <c r="AH82" s="34" t="str">
        <f t="shared" si="82"/>
        <v/>
      </c>
      <c r="AI82" s="34" t="str">
        <f t="shared" si="82"/>
        <v/>
      </c>
      <c r="AJ82" s="34" t="str">
        <f t="shared" si="82"/>
        <v/>
      </c>
      <c r="AK82" s="34" t="str">
        <f t="shared" si="82"/>
        <v/>
      </c>
      <c r="AL82" s="34" t="str">
        <f t="shared" si="82"/>
        <v/>
      </c>
      <c r="AM82" s="34" t="str">
        <f t="shared" si="82"/>
        <v/>
      </c>
      <c r="AN82" s="34" t="str">
        <f t="shared" si="82"/>
        <v/>
      </c>
      <c r="AO82" s="34" t="str">
        <f t="shared" si="82"/>
        <v/>
      </c>
      <c r="AP82" s="34" t="str">
        <f t="shared" si="82"/>
        <v/>
      </c>
      <c r="AQ82" s="76" t="s">
        <v>116</v>
      </c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  <c r="BM82" s="78"/>
    </row>
    <row r="83">
      <c r="A83" s="41" t="s">
        <v>69</v>
      </c>
      <c r="B83" s="41" t="b">
        <v>0</v>
      </c>
      <c r="C83" s="41" t="b">
        <f t="shared" si="3"/>
        <v>1</v>
      </c>
      <c r="D83" s="42" t="s">
        <v>22</v>
      </c>
      <c r="E83" s="43" t="s">
        <v>1571</v>
      </c>
      <c r="F83" s="44" t="s">
        <v>1563</v>
      </c>
      <c r="G83" s="29" t="s">
        <v>832</v>
      </c>
      <c r="H83" s="32">
        <v>0.03393837571251068</v>
      </c>
      <c r="I83" s="32">
        <v>5.476075984440368</v>
      </c>
      <c r="J83" s="45" t="s">
        <v>1572</v>
      </c>
      <c r="K83" s="29">
        <v>19.9</v>
      </c>
      <c r="L83" s="41">
        <v>79.0</v>
      </c>
      <c r="M83" s="46">
        <v>29.0</v>
      </c>
      <c r="N83" s="46">
        <v>6.0</v>
      </c>
      <c r="O83" s="47">
        <v>0.8697627604277086</v>
      </c>
      <c r="P83" s="47">
        <v>0.1037087287272912</v>
      </c>
      <c r="Q83" s="47">
        <v>-0.01813104301641975</v>
      </c>
      <c r="R83" s="47">
        <v>-0.22725396124618444</v>
      </c>
      <c r="S83" s="47">
        <v>0.630891069807456</v>
      </c>
      <c r="T83" s="47">
        <v>-0.7718804183819034</v>
      </c>
      <c r="U83" s="47">
        <v>1.1170277374544288</v>
      </c>
      <c r="V83" s="47">
        <v>0.0</v>
      </c>
      <c r="W83" s="47">
        <v>0.1993013758047185</v>
      </c>
      <c r="X83" s="47">
        <v>-1.869487873864585</v>
      </c>
      <c r="Y83" s="50" t="s">
        <v>69</v>
      </c>
      <c r="Z83" s="50" t="s">
        <v>69</v>
      </c>
      <c r="AA83" s="50" t="s">
        <v>69</v>
      </c>
      <c r="AB83" s="50" t="s">
        <v>69</v>
      </c>
      <c r="AC83" s="34" t="str">
        <f t="shared" ref="AC83:AP83" si="83">LET(
  skater, IFERROR(INDEX(AllProj, MATCH($E83, AllProjNames, 0), MATCH(AC$2, AllProjCats, 0) + 1), ""),
  goalie, IFERROR(INDEX(AllGProj, MATCH($E83, AllGProjNames, 0), MATCH(AC$2, AllGProjCats, 0) + 1), ""),
  val, IF(skater &lt;&gt; "", skater, goalie),
  IF(OR($E83="", AC$2="", val=""), "", val * AC$1)
)</f>
        <v/>
      </c>
      <c r="AD83" s="34" t="str">
        <f t="shared" si="83"/>
        <v/>
      </c>
      <c r="AE83" s="34" t="str">
        <f t="shared" si="83"/>
        <v/>
      </c>
      <c r="AF83" s="34" t="str">
        <f t="shared" si="83"/>
        <v/>
      </c>
      <c r="AG83" s="34" t="str">
        <f t="shared" si="83"/>
        <v/>
      </c>
      <c r="AH83" s="34" t="str">
        <f t="shared" si="83"/>
        <v/>
      </c>
      <c r="AI83" s="34" t="str">
        <f t="shared" si="83"/>
        <v/>
      </c>
      <c r="AJ83" s="34" t="str">
        <f t="shared" si="83"/>
        <v/>
      </c>
      <c r="AK83" s="34" t="str">
        <f t="shared" si="83"/>
        <v/>
      </c>
      <c r="AL83" s="34" t="str">
        <f t="shared" si="83"/>
        <v/>
      </c>
      <c r="AM83" s="34" t="str">
        <f t="shared" si="83"/>
        <v/>
      </c>
      <c r="AN83" s="34" t="str">
        <f t="shared" si="83"/>
        <v/>
      </c>
      <c r="AO83" s="34" t="str">
        <f t="shared" si="83"/>
        <v/>
      </c>
      <c r="AP83" s="34" t="str">
        <f t="shared" si="83"/>
        <v/>
      </c>
      <c r="AQ83" s="76" t="s">
        <v>117</v>
      </c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  <c r="BF83" s="77"/>
      <c r="BG83" s="77"/>
      <c r="BH83" s="77"/>
      <c r="BI83" s="77"/>
      <c r="BJ83" s="77"/>
      <c r="BK83" s="77"/>
      <c r="BL83" s="77"/>
      <c r="BM83" s="78"/>
    </row>
    <row r="84">
      <c r="A84" s="79" t="s">
        <v>69</v>
      </c>
      <c r="B84" s="79" t="b">
        <v>0</v>
      </c>
      <c r="C84" s="79" t="b">
        <f t="shared" si="3"/>
        <v>1</v>
      </c>
      <c r="D84" s="80" t="s">
        <v>826</v>
      </c>
      <c r="E84" s="81" t="s">
        <v>1573</v>
      </c>
      <c r="F84" s="82" t="s">
        <v>1426</v>
      </c>
      <c r="G84" s="35" t="s">
        <v>837</v>
      </c>
      <c r="H84" s="37">
        <v>0.03058047330946073</v>
      </c>
      <c r="I84" s="37">
        <v>5.560439245238362</v>
      </c>
      <c r="J84" s="83" t="s">
        <v>1574</v>
      </c>
      <c r="K84" s="35">
        <v>31.4</v>
      </c>
      <c r="L84" s="79">
        <v>81.57142857142857</v>
      </c>
      <c r="M84" s="84">
        <v>23.0</v>
      </c>
      <c r="N84" s="84">
        <v>6.0</v>
      </c>
      <c r="O84" s="85">
        <v>-2.0731297503520176</v>
      </c>
      <c r="P84" s="85">
        <v>-1.1752150925695464</v>
      </c>
      <c r="Q84" s="85">
        <v>-0.5315128580585066</v>
      </c>
      <c r="R84" s="85">
        <v>5.494338386162001</v>
      </c>
      <c r="S84" s="85">
        <v>-1.7187766367581552</v>
      </c>
      <c r="T84" s="85">
        <v>-0.16952108464970286</v>
      </c>
      <c r="U84" s="85">
        <v>-1.4602850009664787</v>
      </c>
      <c r="V84" s="85">
        <v>0.0</v>
      </c>
      <c r="W84" s="85">
        <v>1.3767406963324555</v>
      </c>
      <c r="X84" s="85">
        <v>0.2879418141694116</v>
      </c>
      <c r="Y84" s="50" t="s">
        <v>69</v>
      </c>
      <c r="Z84" s="50" t="s">
        <v>69</v>
      </c>
      <c r="AA84" s="50" t="s">
        <v>69</v>
      </c>
      <c r="AB84" s="50" t="s">
        <v>69</v>
      </c>
      <c r="AC84" s="34" t="str">
        <f t="shared" ref="AC84:AP84" si="84">LET(
  skater, IFERROR(INDEX(AllProj, MATCH($E84, AllProjNames, 0), MATCH(AC$2, AllProjCats, 0) + 1), ""),
  goalie, IFERROR(INDEX(AllGProj, MATCH($E84, AllGProjNames, 0), MATCH(AC$2, AllGProjCats, 0) + 1), ""),
  val, IF(skater &lt;&gt; "", skater, goalie),
  IF(OR($E84="", AC$2="", val=""), "", val * AC$1)
)</f>
        <v/>
      </c>
      <c r="AD84" s="34" t="str">
        <f t="shared" si="84"/>
        <v/>
      </c>
      <c r="AE84" s="34" t="str">
        <f t="shared" si="84"/>
        <v/>
      </c>
      <c r="AF84" s="34" t="str">
        <f t="shared" si="84"/>
        <v/>
      </c>
      <c r="AG84" s="34" t="str">
        <f t="shared" si="84"/>
        <v/>
      </c>
      <c r="AH84" s="34" t="str">
        <f t="shared" si="84"/>
        <v/>
      </c>
      <c r="AI84" s="34" t="str">
        <f t="shared" si="84"/>
        <v/>
      </c>
      <c r="AJ84" s="34" t="str">
        <f t="shared" si="84"/>
        <v/>
      </c>
      <c r="AK84" s="34" t="str">
        <f t="shared" si="84"/>
        <v/>
      </c>
      <c r="AL84" s="34" t="str">
        <f t="shared" si="84"/>
        <v/>
      </c>
      <c r="AM84" s="34" t="str">
        <f t="shared" si="84"/>
        <v/>
      </c>
      <c r="AN84" s="34" t="str">
        <f t="shared" si="84"/>
        <v/>
      </c>
      <c r="AO84" s="34" t="str">
        <f t="shared" si="84"/>
        <v/>
      </c>
      <c r="AP84" s="34" t="str">
        <f t="shared" si="84"/>
        <v/>
      </c>
      <c r="AQ84" s="76" t="s">
        <v>118</v>
      </c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7"/>
      <c r="BH84" s="77"/>
      <c r="BI84" s="77"/>
      <c r="BJ84" s="77"/>
      <c r="BK84" s="77"/>
      <c r="BL84" s="77"/>
      <c r="BM84" s="78"/>
    </row>
    <row r="85">
      <c r="A85" s="41" t="s">
        <v>69</v>
      </c>
      <c r="B85" s="41" t="b">
        <v>0</v>
      </c>
      <c r="C85" s="41" t="b">
        <f t="shared" si="3"/>
        <v>1</v>
      </c>
      <c r="D85" s="42" t="s">
        <v>826</v>
      </c>
      <c r="E85" s="43" t="s">
        <v>1575</v>
      </c>
      <c r="F85" s="44" t="s">
        <v>1401</v>
      </c>
      <c r="G85" s="29" t="s">
        <v>837</v>
      </c>
      <c r="H85" s="32">
        <v>0.01949729453173312</v>
      </c>
      <c r="I85" s="32">
        <v>5.549356066460635</v>
      </c>
      <c r="J85" s="45" t="s">
        <v>1576</v>
      </c>
      <c r="K85" s="29">
        <v>30.5</v>
      </c>
      <c r="L85" s="41">
        <v>79.44617647058824</v>
      </c>
      <c r="M85" s="46">
        <v>25.0</v>
      </c>
      <c r="N85" s="46">
        <v>7.0</v>
      </c>
      <c r="O85" s="47">
        <v>-0.8364428893178245</v>
      </c>
      <c r="P85" s="47">
        <v>1.0258648824778667</v>
      </c>
      <c r="Q85" s="47">
        <v>0.7425526391958864</v>
      </c>
      <c r="R85" s="47">
        <v>-0.2536389022917508</v>
      </c>
      <c r="S85" s="47">
        <v>0.8750941088308397</v>
      </c>
      <c r="T85" s="47">
        <v>-0.7558155041366712</v>
      </c>
      <c r="U85" s="47">
        <v>0.5198426317116094</v>
      </c>
      <c r="V85" s="47">
        <v>0.0</v>
      </c>
      <c r="W85" s="47">
        <v>-1.26462810301239</v>
      </c>
      <c r="X85" s="47">
        <v>-0.033331568925832424</v>
      </c>
      <c r="Y85" s="50" t="s">
        <v>69</v>
      </c>
      <c r="Z85" s="50" t="s">
        <v>69</v>
      </c>
      <c r="AA85" s="50" t="s">
        <v>69</v>
      </c>
      <c r="AB85" s="50" t="s">
        <v>69</v>
      </c>
      <c r="AC85" s="34" t="str">
        <f t="shared" ref="AC85:AP85" si="85">LET(
  skater, IFERROR(INDEX(AllProj, MATCH($E85, AllProjNames, 0), MATCH(AC$2, AllProjCats, 0) + 1), ""),
  goalie, IFERROR(INDEX(AllGProj, MATCH($E85, AllGProjNames, 0), MATCH(AC$2, AllGProjCats, 0) + 1), ""),
  val, IF(skater &lt;&gt; "", skater, goalie),
  IF(OR($E85="", AC$2="", val=""), "", val * AC$1)
)</f>
        <v/>
      </c>
      <c r="AD85" s="34" t="str">
        <f t="shared" si="85"/>
        <v/>
      </c>
      <c r="AE85" s="34" t="str">
        <f t="shared" si="85"/>
        <v/>
      </c>
      <c r="AF85" s="34" t="str">
        <f t="shared" si="85"/>
        <v/>
      </c>
      <c r="AG85" s="34" t="str">
        <f t="shared" si="85"/>
        <v/>
      </c>
      <c r="AH85" s="34" t="str">
        <f t="shared" si="85"/>
        <v/>
      </c>
      <c r="AI85" s="34" t="str">
        <f t="shared" si="85"/>
        <v/>
      </c>
      <c r="AJ85" s="34" t="str">
        <f t="shared" si="85"/>
        <v/>
      </c>
      <c r="AK85" s="34" t="str">
        <f t="shared" si="85"/>
        <v/>
      </c>
      <c r="AL85" s="34" t="str">
        <f t="shared" si="85"/>
        <v/>
      </c>
      <c r="AM85" s="34" t="str">
        <f t="shared" si="85"/>
        <v/>
      </c>
      <c r="AN85" s="34" t="str">
        <f t="shared" si="85"/>
        <v/>
      </c>
      <c r="AO85" s="34" t="str">
        <f t="shared" si="85"/>
        <v/>
      </c>
      <c r="AP85" s="34" t="str">
        <f t="shared" si="85"/>
        <v/>
      </c>
      <c r="AQ85" s="76" t="s">
        <v>119</v>
      </c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  <c r="BF85" s="77"/>
      <c r="BG85" s="77"/>
      <c r="BH85" s="77"/>
      <c r="BI85" s="77"/>
      <c r="BJ85" s="77"/>
      <c r="BK85" s="77"/>
      <c r="BL85" s="77"/>
      <c r="BM85" s="78"/>
    </row>
    <row r="86">
      <c r="A86" s="79" t="s">
        <v>69</v>
      </c>
      <c r="B86" s="79" t="b">
        <v>0</v>
      </c>
      <c r="C86" s="79" t="b">
        <f t="shared" si="3"/>
        <v>1</v>
      </c>
      <c r="D86" s="80" t="s">
        <v>826</v>
      </c>
      <c r="E86" s="81" t="s">
        <v>1577</v>
      </c>
      <c r="F86" s="82" t="s">
        <v>1563</v>
      </c>
      <c r="G86" s="35" t="s">
        <v>836</v>
      </c>
      <c r="H86" s="37">
        <v>0.01536967350320384</v>
      </c>
      <c r="I86" s="37">
        <v>5.457507282231061</v>
      </c>
      <c r="J86" s="83" t="s">
        <v>1578</v>
      </c>
      <c r="K86" s="35">
        <v>29.5</v>
      </c>
      <c r="L86" s="79">
        <v>81.27220588235295</v>
      </c>
      <c r="M86" s="84">
        <v>29.0</v>
      </c>
      <c r="N86" s="84">
        <v>6.0</v>
      </c>
      <c r="O86" s="85">
        <v>0.7366159203551441</v>
      </c>
      <c r="P86" s="85">
        <v>0.8809329701361673</v>
      </c>
      <c r="Q86" s="85">
        <v>-0.7667583284545</v>
      </c>
      <c r="R86" s="85">
        <v>0.4710473620700685</v>
      </c>
      <c r="S86" s="85">
        <v>0.11243102213783254</v>
      </c>
      <c r="T86" s="85">
        <v>0.24012233431464167</v>
      </c>
      <c r="U86" s="85">
        <v>0.45824652912972763</v>
      </c>
      <c r="V86" s="85">
        <v>0.0</v>
      </c>
      <c r="W86" s="85">
        <v>-0.5695198765891788</v>
      </c>
      <c r="X86" s="85">
        <v>-1.5477482595966994</v>
      </c>
      <c r="Y86" s="50" t="s">
        <v>69</v>
      </c>
      <c r="Z86" s="50" t="s">
        <v>69</v>
      </c>
      <c r="AA86" s="50" t="s">
        <v>69</v>
      </c>
      <c r="AB86" s="50" t="s">
        <v>69</v>
      </c>
      <c r="AC86" s="34" t="str">
        <f t="shared" ref="AC86:AP86" si="86">LET(
  skater, IFERROR(INDEX(AllProj, MATCH($E86, AllProjNames, 0), MATCH(AC$2, AllProjCats, 0) + 1), ""),
  goalie, IFERROR(INDEX(AllGProj, MATCH($E86, AllGProjNames, 0), MATCH(AC$2, AllGProjCats, 0) + 1), ""),
  val, IF(skater &lt;&gt; "", skater, goalie),
  IF(OR($E86="", AC$2="", val=""), "", val * AC$1)
)</f>
        <v/>
      </c>
      <c r="AD86" s="34" t="str">
        <f t="shared" si="86"/>
        <v/>
      </c>
      <c r="AE86" s="34" t="str">
        <f t="shared" si="86"/>
        <v/>
      </c>
      <c r="AF86" s="34" t="str">
        <f t="shared" si="86"/>
        <v/>
      </c>
      <c r="AG86" s="34" t="str">
        <f t="shared" si="86"/>
        <v/>
      </c>
      <c r="AH86" s="34" t="str">
        <f t="shared" si="86"/>
        <v/>
      </c>
      <c r="AI86" s="34" t="str">
        <f t="shared" si="86"/>
        <v/>
      </c>
      <c r="AJ86" s="34" t="str">
        <f t="shared" si="86"/>
        <v/>
      </c>
      <c r="AK86" s="34" t="str">
        <f t="shared" si="86"/>
        <v/>
      </c>
      <c r="AL86" s="34" t="str">
        <f t="shared" si="86"/>
        <v/>
      </c>
      <c r="AM86" s="34" t="str">
        <f t="shared" si="86"/>
        <v/>
      </c>
      <c r="AN86" s="34" t="str">
        <f t="shared" si="86"/>
        <v/>
      </c>
      <c r="AO86" s="34" t="str">
        <f t="shared" si="86"/>
        <v/>
      </c>
      <c r="AP86" s="34" t="str">
        <f t="shared" si="86"/>
        <v/>
      </c>
      <c r="AQ86" s="76" t="s">
        <v>120</v>
      </c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  <c r="BF86" s="77"/>
      <c r="BG86" s="77"/>
      <c r="BH86" s="77"/>
      <c r="BI86" s="77"/>
      <c r="BJ86" s="77"/>
      <c r="BK86" s="77"/>
      <c r="BL86" s="77"/>
      <c r="BM86" s="78"/>
    </row>
    <row r="87">
      <c r="A87" s="41" t="s">
        <v>69</v>
      </c>
      <c r="B87" s="41" t="b">
        <v>0</v>
      </c>
      <c r="C87" s="41" t="b">
        <f t="shared" si="3"/>
        <v>1</v>
      </c>
      <c r="D87" s="42" t="s">
        <v>824</v>
      </c>
      <c r="E87" s="43" t="s">
        <v>1579</v>
      </c>
      <c r="F87" s="44" t="s">
        <v>1473</v>
      </c>
      <c r="G87" s="29" t="s">
        <v>837</v>
      </c>
      <c r="H87" s="32">
        <v>0.007929864691882726</v>
      </c>
      <c r="I87" s="32">
        <v>5.537788636620784</v>
      </c>
      <c r="J87" s="45" t="s">
        <v>1580</v>
      </c>
      <c r="K87" s="29">
        <v>19.0</v>
      </c>
      <c r="L87" s="41">
        <v>82.06264705882353</v>
      </c>
      <c r="M87" s="46">
        <v>25.0</v>
      </c>
      <c r="N87" s="46">
        <v>6.0</v>
      </c>
      <c r="O87" s="47">
        <v>0.07529467833558569</v>
      </c>
      <c r="P87" s="47">
        <v>0.7440460018265885</v>
      </c>
      <c r="Q87" s="47">
        <v>-0.6602542638503928</v>
      </c>
      <c r="R87" s="47">
        <v>-0.5569998753738945</v>
      </c>
      <c r="S87" s="47">
        <v>0.5466490362021161</v>
      </c>
      <c r="T87" s="47">
        <v>-0.44429093157799027</v>
      </c>
      <c r="U87" s="47">
        <v>1.4620490280528797</v>
      </c>
      <c r="V87" s="47">
        <v>0.0</v>
      </c>
      <c r="W87" s="47">
        <v>-1.7644377118003642</v>
      </c>
      <c r="X87" s="47">
        <v>0.6058739028773544</v>
      </c>
      <c r="Y87" s="50" t="s">
        <v>69</v>
      </c>
      <c r="Z87" s="50" t="s">
        <v>69</v>
      </c>
      <c r="AA87" s="50" t="s">
        <v>69</v>
      </c>
      <c r="AB87" s="50" t="s">
        <v>69</v>
      </c>
      <c r="AC87" s="34" t="str">
        <f t="shared" ref="AC87:AP87" si="87">LET(
  skater, IFERROR(INDEX(AllProj, MATCH($E87, AllProjNames, 0), MATCH(AC$2, AllProjCats, 0) + 1), ""),
  goalie, IFERROR(INDEX(AllGProj, MATCH($E87, AllGProjNames, 0), MATCH(AC$2, AllGProjCats, 0) + 1), ""),
  val, IF(skater &lt;&gt; "", skater, goalie),
  IF(OR($E87="", AC$2="", val=""), "", val * AC$1)
)</f>
        <v/>
      </c>
      <c r="AD87" s="34" t="str">
        <f t="shared" si="87"/>
        <v/>
      </c>
      <c r="AE87" s="34" t="str">
        <f t="shared" si="87"/>
        <v/>
      </c>
      <c r="AF87" s="34" t="str">
        <f t="shared" si="87"/>
        <v/>
      </c>
      <c r="AG87" s="34" t="str">
        <f t="shared" si="87"/>
        <v/>
      </c>
      <c r="AH87" s="34" t="str">
        <f t="shared" si="87"/>
        <v/>
      </c>
      <c r="AI87" s="34" t="str">
        <f t="shared" si="87"/>
        <v/>
      </c>
      <c r="AJ87" s="34" t="str">
        <f t="shared" si="87"/>
        <v/>
      </c>
      <c r="AK87" s="34" t="str">
        <f t="shared" si="87"/>
        <v/>
      </c>
      <c r="AL87" s="34" t="str">
        <f t="shared" si="87"/>
        <v/>
      </c>
      <c r="AM87" s="34" t="str">
        <f t="shared" si="87"/>
        <v/>
      </c>
      <c r="AN87" s="34" t="str">
        <f t="shared" si="87"/>
        <v/>
      </c>
      <c r="AO87" s="34" t="str">
        <f t="shared" si="87"/>
        <v/>
      </c>
      <c r="AP87" s="34" t="str">
        <f t="shared" si="87"/>
        <v/>
      </c>
      <c r="AQ87" s="76" t="s">
        <v>121</v>
      </c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7"/>
      <c r="BH87" s="77"/>
      <c r="BI87" s="77"/>
      <c r="BJ87" s="77"/>
      <c r="BK87" s="77"/>
      <c r="BL87" s="77"/>
      <c r="BM87" s="78"/>
    </row>
    <row r="88">
      <c r="A88" s="79" t="s">
        <v>69</v>
      </c>
      <c r="B88" s="79" t="b">
        <v>0</v>
      </c>
      <c r="C88" s="79" t="b">
        <f t="shared" si="3"/>
        <v>1</v>
      </c>
      <c r="D88" s="80" t="s">
        <v>254</v>
      </c>
      <c r="E88" s="81" t="s">
        <v>1581</v>
      </c>
      <c r="F88" s="82" t="s">
        <v>1505</v>
      </c>
      <c r="G88" s="35" t="s">
        <v>832</v>
      </c>
      <c r="H88" s="37">
        <v>0.006724989522232772</v>
      </c>
      <c r="I88" s="37">
        <v>5.44886259825009</v>
      </c>
      <c r="J88" s="83" t="s">
        <v>1582</v>
      </c>
      <c r="K88" s="35">
        <v>23.4</v>
      </c>
      <c r="L88" s="79">
        <v>79.46720588235294</v>
      </c>
      <c r="M88" s="84">
        <v>30.0</v>
      </c>
      <c r="N88" s="84">
        <v>5.0</v>
      </c>
      <c r="O88" s="85">
        <v>2.0635974780046236</v>
      </c>
      <c r="P88" s="85">
        <v>0.2283999673965036</v>
      </c>
      <c r="Q88" s="85">
        <v>-0.7687067846669382</v>
      </c>
      <c r="R88" s="85">
        <v>-1.107097441684772</v>
      </c>
      <c r="S88" s="85">
        <v>1.3420165323366908</v>
      </c>
      <c r="T88" s="85">
        <v>-0.6966163669193637</v>
      </c>
      <c r="U88" s="85">
        <v>1.8495976721291538</v>
      </c>
      <c r="V88" s="85">
        <v>0.0</v>
      </c>
      <c r="W88" s="85">
        <v>-1.284799053175518</v>
      </c>
      <c r="X88" s="85">
        <v>-1.6196670138981466</v>
      </c>
      <c r="Y88" s="50" t="s">
        <v>69</v>
      </c>
      <c r="Z88" s="50" t="s">
        <v>69</v>
      </c>
      <c r="AA88" s="50" t="s">
        <v>69</v>
      </c>
      <c r="AB88" s="50" t="s">
        <v>69</v>
      </c>
      <c r="AC88" s="34" t="str">
        <f t="shared" ref="AC88:AP88" si="88">LET(
  skater, IFERROR(INDEX(AllProj, MATCH($E88, AllProjNames, 0), MATCH(AC$2, AllProjCats, 0) + 1), ""),
  goalie, IFERROR(INDEX(AllGProj, MATCH($E88, AllGProjNames, 0), MATCH(AC$2, AllGProjCats, 0) + 1), ""),
  val, IF(skater &lt;&gt; "", skater, goalie),
  IF(OR($E88="", AC$2="", val=""), "", val * AC$1)
)</f>
        <v/>
      </c>
      <c r="AD88" s="34" t="str">
        <f t="shared" si="88"/>
        <v/>
      </c>
      <c r="AE88" s="34" t="str">
        <f t="shared" si="88"/>
        <v/>
      </c>
      <c r="AF88" s="34" t="str">
        <f t="shared" si="88"/>
        <v/>
      </c>
      <c r="AG88" s="34" t="str">
        <f t="shared" si="88"/>
        <v/>
      </c>
      <c r="AH88" s="34" t="str">
        <f t="shared" si="88"/>
        <v/>
      </c>
      <c r="AI88" s="34" t="str">
        <f t="shared" si="88"/>
        <v/>
      </c>
      <c r="AJ88" s="34" t="str">
        <f t="shared" si="88"/>
        <v/>
      </c>
      <c r="AK88" s="34" t="str">
        <f t="shared" si="88"/>
        <v/>
      </c>
      <c r="AL88" s="34" t="str">
        <f t="shared" si="88"/>
        <v/>
      </c>
      <c r="AM88" s="34" t="str">
        <f t="shared" si="88"/>
        <v/>
      </c>
      <c r="AN88" s="34" t="str">
        <f t="shared" si="88"/>
        <v/>
      </c>
      <c r="AO88" s="34" t="str">
        <f t="shared" si="88"/>
        <v/>
      </c>
      <c r="AP88" s="34" t="str">
        <f t="shared" si="88"/>
        <v/>
      </c>
      <c r="AQ88" s="76" t="s">
        <v>122</v>
      </c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7"/>
      <c r="BH88" s="77"/>
      <c r="BI88" s="77"/>
      <c r="BJ88" s="77"/>
      <c r="BK88" s="77"/>
      <c r="BL88" s="77"/>
      <c r="BM88" s="78"/>
    </row>
    <row r="89">
      <c r="A89" s="41" t="s">
        <v>69</v>
      </c>
      <c r="B89" s="41" t="b">
        <v>0</v>
      </c>
      <c r="C89" s="41" t="b">
        <f t="shared" si="3"/>
        <v>1</v>
      </c>
      <c r="D89" s="42" t="s">
        <v>825</v>
      </c>
      <c r="E89" s="43" t="s">
        <v>1583</v>
      </c>
      <c r="F89" s="44" t="s">
        <v>1482</v>
      </c>
      <c r="G89" s="29" t="s">
        <v>837</v>
      </c>
      <c r="H89" s="32">
        <v>-0.044045355744092074</v>
      </c>
      <c r="I89" s="32">
        <v>5.4858134161848096</v>
      </c>
      <c r="J89" s="45" t="s">
        <v>1584</v>
      </c>
      <c r="K89" s="29">
        <v>24.2</v>
      </c>
      <c r="L89" s="41">
        <v>80.37514705882353</v>
      </c>
      <c r="M89" s="46">
        <v>27.0</v>
      </c>
      <c r="N89" s="46">
        <v>6.0</v>
      </c>
      <c r="O89" s="47">
        <v>-0.8827626347094446</v>
      </c>
      <c r="P89" s="47">
        <v>0.9410081455363407</v>
      </c>
      <c r="Q89" s="47">
        <v>0.18644447853510793</v>
      </c>
      <c r="R89" s="47">
        <v>-1.9171037923950816</v>
      </c>
      <c r="S89" s="47">
        <v>1.0681576601634273</v>
      </c>
      <c r="T89" s="47">
        <v>0.25298503610759165</v>
      </c>
      <c r="U89" s="47">
        <v>0.2991498736246316</v>
      </c>
      <c r="V89" s="47">
        <v>0.0</v>
      </c>
      <c r="W89" s="47">
        <v>-1.8418181251070591</v>
      </c>
      <c r="X89" s="47">
        <v>1.849894002500394</v>
      </c>
      <c r="Y89" s="50" t="s">
        <v>69</v>
      </c>
      <c r="Z89" s="50" t="s">
        <v>69</v>
      </c>
      <c r="AA89" s="50" t="s">
        <v>69</v>
      </c>
      <c r="AB89" s="50" t="s">
        <v>69</v>
      </c>
      <c r="AC89" s="34" t="str">
        <f t="shared" ref="AC89:AP89" si="89">LET(
  skater, IFERROR(INDEX(AllProj, MATCH($E89, AllProjNames, 0), MATCH(AC$2, AllProjCats, 0) + 1), ""),
  goalie, IFERROR(INDEX(AllGProj, MATCH($E89, AllGProjNames, 0), MATCH(AC$2, AllGProjCats, 0) + 1), ""),
  val, IF(skater &lt;&gt; "", skater, goalie),
  IF(OR($E89="", AC$2="", val=""), "", val * AC$1)
)</f>
        <v/>
      </c>
      <c r="AD89" s="34" t="str">
        <f t="shared" si="89"/>
        <v/>
      </c>
      <c r="AE89" s="34" t="str">
        <f t="shared" si="89"/>
        <v/>
      </c>
      <c r="AF89" s="34" t="str">
        <f t="shared" si="89"/>
        <v/>
      </c>
      <c r="AG89" s="34" t="str">
        <f t="shared" si="89"/>
        <v/>
      </c>
      <c r="AH89" s="34" t="str">
        <f t="shared" si="89"/>
        <v/>
      </c>
      <c r="AI89" s="34" t="str">
        <f t="shared" si="89"/>
        <v/>
      </c>
      <c r="AJ89" s="34" t="str">
        <f t="shared" si="89"/>
        <v/>
      </c>
      <c r="AK89" s="34" t="str">
        <f t="shared" si="89"/>
        <v/>
      </c>
      <c r="AL89" s="34" t="str">
        <f t="shared" si="89"/>
        <v/>
      </c>
      <c r="AM89" s="34" t="str">
        <f t="shared" si="89"/>
        <v/>
      </c>
      <c r="AN89" s="34" t="str">
        <f t="shared" si="89"/>
        <v/>
      </c>
      <c r="AO89" s="34" t="str">
        <f t="shared" si="89"/>
        <v/>
      </c>
      <c r="AP89" s="34" t="str">
        <f t="shared" si="89"/>
        <v/>
      </c>
      <c r="AQ89" s="76" t="s">
        <v>123</v>
      </c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  <c r="BF89" s="77"/>
      <c r="BG89" s="77"/>
      <c r="BH89" s="77"/>
      <c r="BI89" s="77"/>
      <c r="BJ89" s="77"/>
      <c r="BK89" s="77"/>
      <c r="BL89" s="77"/>
      <c r="BM89" s="78"/>
    </row>
    <row r="90">
      <c r="A90" s="79">
        <v>2.357142857142857</v>
      </c>
      <c r="B90" s="79" t="b">
        <v>0</v>
      </c>
      <c r="C90" s="79" t="b">
        <f t="shared" si="3"/>
        <v>0</v>
      </c>
      <c r="D90" s="80" t="s">
        <v>1565</v>
      </c>
      <c r="E90" s="81" t="s">
        <v>863</v>
      </c>
      <c r="F90" s="82" t="s">
        <v>1461</v>
      </c>
      <c r="G90" s="35" t="s">
        <v>832</v>
      </c>
      <c r="H90" s="37">
        <v>-0.04717544702133181</v>
      </c>
      <c r="I90" s="37">
        <v>5.394962161706525</v>
      </c>
      <c r="J90" s="83" t="s">
        <v>1585</v>
      </c>
      <c r="K90" s="35">
        <v>29.6</v>
      </c>
      <c r="L90" s="79">
        <v>79.39339285714286</v>
      </c>
      <c r="M90" s="84">
        <v>23.0</v>
      </c>
      <c r="N90" s="84">
        <v>6.0</v>
      </c>
      <c r="O90" s="85">
        <v>-0.6761794571761074</v>
      </c>
      <c r="P90" s="85">
        <v>-1.4774522542173922</v>
      </c>
      <c r="Q90" s="85">
        <v>-0.7601174578497899</v>
      </c>
      <c r="R90" s="85">
        <v>3.946023507990198</v>
      </c>
      <c r="S90" s="85">
        <v>-1.6840916209342962</v>
      </c>
      <c r="T90" s="85">
        <v>-0.0833319932277364</v>
      </c>
      <c r="U90" s="85">
        <v>-1.270521904266268</v>
      </c>
      <c r="V90" s="85">
        <v>0.0</v>
      </c>
      <c r="W90" s="85">
        <v>2.812566263990335</v>
      </c>
      <c r="X90" s="85">
        <v>-0.8540705313302747</v>
      </c>
      <c r="Y90" s="50" t="s">
        <v>69</v>
      </c>
      <c r="Z90" s="50" t="s">
        <v>69</v>
      </c>
      <c r="AA90" s="50" t="s">
        <v>69</v>
      </c>
      <c r="AB90" s="50" t="s">
        <v>69</v>
      </c>
      <c r="AC90" s="34" t="str">
        <f t="shared" ref="AC90:AP90" si="90">LET(
  skater, IFERROR(INDEX(AllProj, MATCH($E90, AllProjNames, 0), MATCH(AC$2, AllProjCats, 0) + 1), ""),
  goalie, IFERROR(INDEX(AllGProj, MATCH($E90, AllGProjNames, 0), MATCH(AC$2, AllGProjCats, 0) + 1), ""),
  val, IF(skater &lt;&gt; "", skater, goalie),
  IF(OR($E90="", AC$2="", val=""), "", val * AC$1)
)</f>
        <v/>
      </c>
      <c r="AD90" s="34" t="str">
        <f t="shared" si="90"/>
        <v/>
      </c>
      <c r="AE90" s="34" t="str">
        <f t="shared" si="90"/>
        <v/>
      </c>
      <c r="AF90" s="34" t="str">
        <f t="shared" si="90"/>
        <v/>
      </c>
      <c r="AG90" s="34" t="str">
        <f t="shared" si="90"/>
        <v/>
      </c>
      <c r="AH90" s="34" t="str">
        <f t="shared" si="90"/>
        <v/>
      </c>
      <c r="AI90" s="34" t="str">
        <f t="shared" si="90"/>
        <v/>
      </c>
      <c r="AJ90" s="34" t="str">
        <f t="shared" si="90"/>
        <v/>
      </c>
      <c r="AK90" s="34" t="str">
        <f t="shared" si="90"/>
        <v/>
      </c>
      <c r="AL90" s="34" t="str">
        <f t="shared" si="90"/>
        <v/>
      </c>
      <c r="AM90" s="34" t="str">
        <f t="shared" si="90"/>
        <v/>
      </c>
      <c r="AN90" s="34" t="str">
        <f t="shared" si="90"/>
        <v/>
      </c>
      <c r="AO90" s="34" t="str">
        <f t="shared" si="90"/>
        <v/>
      </c>
      <c r="AP90" s="34" t="str">
        <f t="shared" si="90"/>
        <v/>
      </c>
      <c r="AQ90" s="76" t="s">
        <v>124</v>
      </c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  <c r="BF90" s="77"/>
      <c r="BG90" s="77"/>
      <c r="BH90" s="77"/>
      <c r="BI90" s="77"/>
      <c r="BJ90" s="77"/>
      <c r="BK90" s="77"/>
      <c r="BL90" s="77"/>
      <c r="BM90" s="78"/>
    </row>
    <row r="91">
      <c r="A91" s="41" t="s">
        <v>69</v>
      </c>
      <c r="B91" s="41" t="b">
        <v>0</v>
      </c>
      <c r="C91" s="41" t="b">
        <f t="shared" si="3"/>
        <v>1</v>
      </c>
      <c r="D91" s="42" t="s">
        <v>825</v>
      </c>
      <c r="E91" s="43" t="s">
        <v>1586</v>
      </c>
      <c r="F91" s="44" t="s">
        <v>1505</v>
      </c>
      <c r="G91" s="29" t="s">
        <v>836</v>
      </c>
      <c r="H91" s="32">
        <v>-0.08184193510887394</v>
      </c>
      <c r="I91" s="32">
        <v>5.3602956736189835</v>
      </c>
      <c r="J91" s="45" t="s">
        <v>1587</v>
      </c>
      <c r="K91" s="29">
        <v>28.1</v>
      </c>
      <c r="L91" s="41">
        <v>82.32220588235293</v>
      </c>
      <c r="M91" s="46">
        <v>30.0</v>
      </c>
      <c r="N91" s="46">
        <v>5.0</v>
      </c>
      <c r="O91" s="47">
        <v>0.9201775292894442</v>
      </c>
      <c r="P91" s="47">
        <v>2.015469465095786</v>
      </c>
      <c r="Q91" s="47">
        <v>-0.200283116860632</v>
      </c>
      <c r="R91" s="47">
        <v>-0.8117751396423776</v>
      </c>
      <c r="S91" s="47">
        <v>1.710270139294864</v>
      </c>
      <c r="T91" s="47">
        <v>-0.7843413831348669</v>
      </c>
      <c r="U91" s="47">
        <v>1.2542696090540137</v>
      </c>
      <c r="V91" s="47">
        <v>0.0</v>
      </c>
      <c r="W91" s="47">
        <v>-2.411353083079649</v>
      </c>
      <c r="X91" s="47">
        <v>-1.7742759551254557</v>
      </c>
      <c r="Y91" s="50" t="s">
        <v>69</v>
      </c>
      <c r="Z91" s="50" t="s">
        <v>69</v>
      </c>
      <c r="AA91" s="50" t="s">
        <v>69</v>
      </c>
      <c r="AB91" s="50" t="s">
        <v>69</v>
      </c>
      <c r="AC91" s="34" t="str">
        <f t="shared" ref="AC91:AP91" si="91">LET(
  skater, IFERROR(INDEX(AllProj, MATCH($E91, AllProjNames, 0), MATCH(AC$2, AllProjCats, 0) + 1), ""),
  goalie, IFERROR(INDEX(AllGProj, MATCH($E91, AllGProjNames, 0), MATCH(AC$2, AllGProjCats, 0) + 1), ""),
  val, IF(skater &lt;&gt; "", skater, goalie),
  IF(OR($E91="", AC$2="", val=""), "", val * AC$1)
)</f>
        <v/>
      </c>
      <c r="AD91" s="34" t="str">
        <f t="shared" si="91"/>
        <v/>
      </c>
      <c r="AE91" s="34" t="str">
        <f t="shared" si="91"/>
        <v/>
      </c>
      <c r="AF91" s="34" t="str">
        <f t="shared" si="91"/>
        <v/>
      </c>
      <c r="AG91" s="34" t="str">
        <f t="shared" si="91"/>
        <v/>
      </c>
      <c r="AH91" s="34" t="str">
        <f t="shared" si="91"/>
        <v/>
      </c>
      <c r="AI91" s="34" t="str">
        <f t="shared" si="91"/>
        <v/>
      </c>
      <c r="AJ91" s="34" t="str">
        <f t="shared" si="91"/>
        <v/>
      </c>
      <c r="AK91" s="34" t="str">
        <f t="shared" si="91"/>
        <v/>
      </c>
      <c r="AL91" s="34" t="str">
        <f t="shared" si="91"/>
        <v/>
      </c>
      <c r="AM91" s="34" t="str">
        <f t="shared" si="91"/>
        <v/>
      </c>
      <c r="AN91" s="34" t="str">
        <f t="shared" si="91"/>
        <v/>
      </c>
      <c r="AO91" s="34" t="str">
        <f t="shared" si="91"/>
        <v/>
      </c>
      <c r="AP91" s="34" t="str">
        <f t="shared" si="91"/>
        <v/>
      </c>
      <c r="AQ91" s="76" t="s">
        <v>125</v>
      </c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7"/>
      <c r="BH91" s="77"/>
      <c r="BI91" s="77"/>
      <c r="BJ91" s="77"/>
      <c r="BK91" s="77"/>
      <c r="BL91" s="77"/>
      <c r="BM91" s="78"/>
    </row>
    <row r="92">
      <c r="A92" s="79" t="s">
        <v>69</v>
      </c>
      <c r="B92" s="79" t="b">
        <v>0</v>
      </c>
      <c r="C92" s="79" t="b">
        <f t="shared" si="3"/>
        <v>1</v>
      </c>
      <c r="D92" s="80" t="s">
        <v>254</v>
      </c>
      <c r="E92" s="81" t="s">
        <v>1588</v>
      </c>
      <c r="F92" s="82" t="s">
        <v>1419</v>
      </c>
      <c r="G92" s="35" t="s">
        <v>6</v>
      </c>
      <c r="H92" s="37">
        <v>-0.2538885943054895</v>
      </c>
      <c r="I92" s="37">
        <v>4.084334384164625</v>
      </c>
      <c r="J92" s="83" t="s">
        <v>1589</v>
      </c>
      <c r="K92" s="35">
        <v>27.2</v>
      </c>
      <c r="L92" s="79">
        <v>37.7</v>
      </c>
      <c r="M92" s="84">
        <v>23.0</v>
      </c>
      <c r="N92" s="84">
        <v>7.0</v>
      </c>
      <c r="O92" s="96" t="s">
        <v>69</v>
      </c>
      <c r="P92" s="96" t="s">
        <v>69</v>
      </c>
      <c r="Q92" s="96" t="s">
        <v>69</v>
      </c>
      <c r="R92" s="96" t="s">
        <v>69</v>
      </c>
      <c r="S92" s="96" t="s">
        <v>69</v>
      </c>
      <c r="T92" s="96" t="s">
        <v>69</v>
      </c>
      <c r="U92" s="96" t="s">
        <v>69</v>
      </c>
      <c r="V92" s="96" t="s">
        <v>69</v>
      </c>
      <c r="W92" s="96" t="s">
        <v>69</v>
      </c>
      <c r="X92" s="96" t="s">
        <v>69</v>
      </c>
      <c r="Y92" s="95">
        <v>-0.6569954958771934</v>
      </c>
      <c r="Z92" s="95">
        <v>0.6553646397745425</v>
      </c>
      <c r="AA92" s="95">
        <v>-0.3825043957404056</v>
      </c>
      <c r="AB92" s="95">
        <v>0.130246657537567</v>
      </c>
      <c r="AC92" s="34" t="str">
        <f t="shared" ref="AC92:AP92" si="92">LET(
  skater, IFERROR(INDEX(AllProj, MATCH($E92, AllProjNames, 0), MATCH(AC$2, AllProjCats, 0) + 1), ""),
  goalie, IFERROR(INDEX(AllGProj, MATCH($E92, AllGProjNames, 0), MATCH(AC$2, AllGProjCats, 0) + 1), ""),
  val, IF(skater &lt;&gt; "", skater, goalie),
  IF(OR($E92="", AC$2="", val=""), "", val * AC$1)
)</f>
        <v/>
      </c>
      <c r="AD92" s="34" t="str">
        <f t="shared" si="92"/>
        <v/>
      </c>
      <c r="AE92" s="34" t="str">
        <f t="shared" si="92"/>
        <v/>
      </c>
      <c r="AF92" s="34" t="str">
        <f t="shared" si="92"/>
        <v/>
      </c>
      <c r="AG92" s="34" t="str">
        <f t="shared" si="92"/>
        <v/>
      </c>
      <c r="AH92" s="34" t="str">
        <f t="shared" si="92"/>
        <v/>
      </c>
      <c r="AI92" s="34" t="str">
        <f t="shared" si="92"/>
        <v/>
      </c>
      <c r="AJ92" s="34" t="str">
        <f t="shared" si="92"/>
        <v/>
      </c>
      <c r="AK92" s="34" t="str">
        <f t="shared" si="92"/>
        <v/>
      </c>
      <c r="AL92" s="34" t="str">
        <f t="shared" si="92"/>
        <v/>
      </c>
      <c r="AM92" s="34" t="str">
        <f t="shared" si="92"/>
        <v/>
      </c>
      <c r="AN92" s="34" t="str">
        <f t="shared" si="92"/>
        <v/>
      </c>
      <c r="AO92" s="34" t="str">
        <f t="shared" si="92"/>
        <v/>
      </c>
      <c r="AP92" s="34" t="str">
        <f t="shared" si="92"/>
        <v/>
      </c>
      <c r="AQ92" s="76" t="s">
        <v>126</v>
      </c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7"/>
      <c r="BH92" s="77"/>
      <c r="BI92" s="77"/>
      <c r="BJ92" s="77"/>
      <c r="BK92" s="77"/>
      <c r="BL92" s="77"/>
      <c r="BM92" s="78"/>
    </row>
    <row r="93">
      <c r="A93" s="41" t="s">
        <v>69</v>
      </c>
      <c r="B93" s="41" t="b">
        <v>0</v>
      </c>
      <c r="C93" s="41" t="b">
        <f t="shared" si="3"/>
        <v>1</v>
      </c>
      <c r="D93" s="42" t="s">
        <v>22</v>
      </c>
      <c r="E93" s="43" t="s">
        <v>1590</v>
      </c>
      <c r="F93" s="44" t="s">
        <v>1489</v>
      </c>
      <c r="G93" s="29" t="s">
        <v>837</v>
      </c>
      <c r="H93" s="32">
        <v>-0.29824526330529766</v>
      </c>
      <c r="I93" s="32">
        <v>5.231613508623603</v>
      </c>
      <c r="J93" s="45" t="s">
        <v>1591</v>
      </c>
      <c r="K93" s="29">
        <v>23.6</v>
      </c>
      <c r="L93" s="41">
        <v>81.28470588235294</v>
      </c>
      <c r="M93" s="46">
        <v>28.0</v>
      </c>
      <c r="N93" s="46">
        <v>7.0</v>
      </c>
      <c r="O93" s="47">
        <v>-1.4479925898354766</v>
      </c>
      <c r="P93" s="47">
        <v>0.4817992074284344</v>
      </c>
      <c r="Q93" s="47">
        <v>-0.03446218028918555</v>
      </c>
      <c r="R93" s="47">
        <v>0.7445927244376763</v>
      </c>
      <c r="S93" s="47">
        <v>0.284932986266326</v>
      </c>
      <c r="T93" s="47">
        <v>-0.7847619844259663</v>
      </c>
      <c r="U93" s="47">
        <v>0.13703760950811147</v>
      </c>
      <c r="V93" s="47">
        <v>0.0</v>
      </c>
      <c r="W93" s="47">
        <v>-1.975475333520583</v>
      </c>
      <c r="X93" s="47">
        <v>2.2960842971253657</v>
      </c>
      <c r="Y93" s="50" t="s">
        <v>69</v>
      </c>
      <c r="Z93" s="50" t="s">
        <v>69</v>
      </c>
      <c r="AA93" s="50" t="s">
        <v>69</v>
      </c>
      <c r="AB93" s="50" t="s">
        <v>69</v>
      </c>
      <c r="AC93" s="34" t="str">
        <f t="shared" ref="AC93:AP93" si="93">LET(
  skater, IFERROR(INDEX(AllProj, MATCH($E93, AllProjNames, 0), MATCH(AC$2, AllProjCats, 0) + 1), ""),
  goalie, IFERROR(INDEX(AllGProj, MATCH($E93, AllGProjNames, 0), MATCH(AC$2, AllGProjCats, 0) + 1), ""),
  val, IF(skater &lt;&gt; "", skater, goalie),
  IF(OR($E93="", AC$2="", val=""), "", val * AC$1)
)</f>
        <v/>
      </c>
      <c r="AD93" s="34" t="str">
        <f t="shared" si="93"/>
        <v/>
      </c>
      <c r="AE93" s="34" t="str">
        <f t="shared" si="93"/>
        <v/>
      </c>
      <c r="AF93" s="34" t="str">
        <f t="shared" si="93"/>
        <v/>
      </c>
      <c r="AG93" s="34" t="str">
        <f t="shared" si="93"/>
        <v/>
      </c>
      <c r="AH93" s="34" t="str">
        <f t="shared" si="93"/>
        <v/>
      </c>
      <c r="AI93" s="34" t="str">
        <f t="shared" si="93"/>
        <v/>
      </c>
      <c r="AJ93" s="34" t="str">
        <f t="shared" si="93"/>
        <v/>
      </c>
      <c r="AK93" s="34" t="str">
        <f t="shared" si="93"/>
        <v/>
      </c>
      <c r="AL93" s="34" t="str">
        <f t="shared" si="93"/>
        <v/>
      </c>
      <c r="AM93" s="34" t="str">
        <f t="shared" si="93"/>
        <v/>
      </c>
      <c r="AN93" s="34" t="str">
        <f t="shared" si="93"/>
        <v/>
      </c>
      <c r="AO93" s="34" t="str">
        <f t="shared" si="93"/>
        <v/>
      </c>
      <c r="AP93" s="34" t="str">
        <f t="shared" si="93"/>
        <v/>
      </c>
      <c r="AQ93" s="76" t="s">
        <v>127</v>
      </c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  <c r="BF93" s="77"/>
      <c r="BG93" s="77"/>
      <c r="BH93" s="77"/>
      <c r="BI93" s="77"/>
      <c r="BJ93" s="77"/>
      <c r="BK93" s="77"/>
      <c r="BL93" s="77"/>
      <c r="BM93" s="78"/>
    </row>
    <row r="94">
      <c r="A94" s="79" t="s">
        <v>69</v>
      </c>
      <c r="B94" s="79" t="b">
        <v>0</v>
      </c>
      <c r="C94" s="79" t="b">
        <f t="shared" si="3"/>
        <v>1</v>
      </c>
      <c r="D94" s="80" t="s">
        <v>824</v>
      </c>
      <c r="E94" s="81" t="s">
        <v>1592</v>
      </c>
      <c r="F94" s="82" t="s">
        <v>1489</v>
      </c>
      <c r="G94" s="35" t="s">
        <v>830</v>
      </c>
      <c r="H94" s="37">
        <v>-0.3099208792194228</v>
      </c>
      <c r="I94" s="37">
        <v>5.077959245693316</v>
      </c>
      <c r="J94" s="83" t="s">
        <v>1593</v>
      </c>
      <c r="K94" s="35">
        <v>24.1</v>
      </c>
      <c r="L94" s="79">
        <v>81.96941176470588</v>
      </c>
      <c r="M94" s="84">
        <v>28.0</v>
      </c>
      <c r="N94" s="84">
        <v>7.0</v>
      </c>
      <c r="O94" s="85">
        <v>0.7106427450795609</v>
      </c>
      <c r="P94" s="85">
        <v>0.184386645355398</v>
      </c>
      <c r="Q94" s="85">
        <v>0.15673322663017694</v>
      </c>
      <c r="R94" s="85">
        <v>-0.05893149574544745</v>
      </c>
      <c r="S94" s="85">
        <v>0.08711029480719053</v>
      </c>
      <c r="T94" s="85">
        <v>-0.13548133712409702</v>
      </c>
      <c r="U94" s="85">
        <v>0.5059549068329101</v>
      </c>
      <c r="V94" s="85">
        <v>0.9143374583181731</v>
      </c>
      <c r="W94" s="85">
        <v>-1.1755105874273604</v>
      </c>
      <c r="X94" s="85">
        <v>-1.4991627359459274</v>
      </c>
      <c r="Y94" s="50" t="s">
        <v>69</v>
      </c>
      <c r="Z94" s="50" t="s">
        <v>69</v>
      </c>
      <c r="AA94" s="50" t="s">
        <v>69</v>
      </c>
      <c r="AB94" s="50" t="s">
        <v>69</v>
      </c>
      <c r="AC94" s="34" t="str">
        <f t="shared" ref="AC94:AP94" si="94">LET(
  skater, IFERROR(INDEX(AllProj, MATCH($E94, AllProjNames, 0), MATCH(AC$2, AllProjCats, 0) + 1), ""),
  goalie, IFERROR(INDEX(AllGProj, MATCH($E94, AllGProjNames, 0), MATCH(AC$2, AllGProjCats, 0) + 1), ""),
  val, IF(skater &lt;&gt; "", skater, goalie),
  IF(OR($E94="", AC$2="", val=""), "", val * AC$1)
)</f>
        <v/>
      </c>
      <c r="AD94" s="34" t="str">
        <f t="shared" si="94"/>
        <v/>
      </c>
      <c r="AE94" s="34" t="str">
        <f t="shared" si="94"/>
        <v/>
      </c>
      <c r="AF94" s="34" t="str">
        <f t="shared" si="94"/>
        <v/>
      </c>
      <c r="AG94" s="34" t="str">
        <f t="shared" si="94"/>
        <v/>
      </c>
      <c r="AH94" s="34" t="str">
        <f t="shared" si="94"/>
        <v/>
      </c>
      <c r="AI94" s="34" t="str">
        <f t="shared" si="94"/>
        <v/>
      </c>
      <c r="AJ94" s="34" t="str">
        <f t="shared" si="94"/>
        <v/>
      </c>
      <c r="AK94" s="34" t="str">
        <f t="shared" si="94"/>
        <v/>
      </c>
      <c r="AL94" s="34" t="str">
        <f t="shared" si="94"/>
        <v/>
      </c>
      <c r="AM94" s="34" t="str">
        <f t="shared" si="94"/>
        <v/>
      </c>
      <c r="AN94" s="34" t="str">
        <f t="shared" si="94"/>
        <v/>
      </c>
      <c r="AO94" s="34" t="str">
        <f t="shared" si="94"/>
        <v/>
      </c>
      <c r="AP94" s="34" t="str">
        <f t="shared" si="94"/>
        <v/>
      </c>
      <c r="AQ94" s="76" t="s">
        <v>128</v>
      </c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  <c r="BG94" s="77"/>
      <c r="BH94" s="77"/>
      <c r="BI94" s="77"/>
      <c r="BJ94" s="77"/>
      <c r="BK94" s="77"/>
      <c r="BL94" s="77"/>
      <c r="BM94" s="78"/>
    </row>
    <row r="95">
      <c r="A95" s="41">
        <v>2.5</v>
      </c>
      <c r="B95" s="41" t="b">
        <v>0</v>
      </c>
      <c r="C95" s="41" t="b">
        <f t="shared" si="3"/>
        <v>0</v>
      </c>
      <c r="D95" s="42" t="s">
        <v>1565</v>
      </c>
      <c r="E95" s="43" t="s">
        <v>921</v>
      </c>
      <c r="F95" s="44" t="s">
        <v>1594</v>
      </c>
      <c r="G95" s="29" t="s">
        <v>6</v>
      </c>
      <c r="H95" s="32">
        <v>-0.34429122152950653</v>
      </c>
      <c r="I95" s="32">
        <v>3.9939317569406074</v>
      </c>
      <c r="J95" s="45" t="s">
        <v>1595</v>
      </c>
      <c r="K95" s="29">
        <v>30.1</v>
      </c>
      <c r="L95" s="41">
        <v>52.3</v>
      </c>
      <c r="M95" s="46">
        <v>26.0</v>
      </c>
      <c r="N95" s="46">
        <v>6.0</v>
      </c>
      <c r="O95" s="94" t="s">
        <v>69</v>
      </c>
      <c r="P95" s="94" t="s">
        <v>69</v>
      </c>
      <c r="Q95" s="94" t="s">
        <v>69</v>
      </c>
      <c r="R95" s="94" t="s">
        <v>69</v>
      </c>
      <c r="S95" s="94" t="s">
        <v>69</v>
      </c>
      <c r="T95" s="94" t="s">
        <v>69</v>
      </c>
      <c r="U95" s="94" t="s">
        <v>69</v>
      </c>
      <c r="V95" s="94" t="s">
        <v>69</v>
      </c>
      <c r="W95" s="94" t="s">
        <v>69</v>
      </c>
      <c r="X95" s="94" t="s">
        <v>69</v>
      </c>
      <c r="Y95" s="95">
        <v>-0.23178004040921416</v>
      </c>
      <c r="Z95" s="95">
        <v>0.40786293088699305</v>
      </c>
      <c r="AA95" s="95">
        <v>-0.5203741120072854</v>
      </c>
      <c r="AB95" s="95">
        <v>0.0</v>
      </c>
      <c r="AC95" s="34" t="str">
        <f t="shared" ref="AC95:AP95" si="95">LET(
  skater, IFERROR(INDEX(AllProj, MATCH($E95, AllProjNames, 0), MATCH(AC$2, AllProjCats, 0) + 1), ""),
  goalie, IFERROR(INDEX(AllGProj, MATCH($E95, AllGProjNames, 0), MATCH(AC$2, AllGProjCats, 0) + 1), ""),
  val, IF(skater &lt;&gt; "", skater, goalie),
  IF(OR($E95="", AC$2="", val=""), "", val * AC$1)
)</f>
        <v/>
      </c>
      <c r="AD95" s="34" t="str">
        <f t="shared" si="95"/>
        <v/>
      </c>
      <c r="AE95" s="34" t="str">
        <f t="shared" si="95"/>
        <v/>
      </c>
      <c r="AF95" s="34" t="str">
        <f t="shared" si="95"/>
        <v/>
      </c>
      <c r="AG95" s="34" t="str">
        <f t="shared" si="95"/>
        <v/>
      </c>
      <c r="AH95" s="34" t="str">
        <f t="shared" si="95"/>
        <v/>
      </c>
      <c r="AI95" s="34" t="str">
        <f t="shared" si="95"/>
        <v/>
      </c>
      <c r="AJ95" s="34" t="str">
        <f t="shared" si="95"/>
        <v/>
      </c>
      <c r="AK95" s="34" t="str">
        <f t="shared" si="95"/>
        <v/>
      </c>
      <c r="AL95" s="34" t="str">
        <f t="shared" si="95"/>
        <v/>
      </c>
      <c r="AM95" s="34" t="str">
        <f t="shared" si="95"/>
        <v/>
      </c>
      <c r="AN95" s="34" t="str">
        <f t="shared" si="95"/>
        <v/>
      </c>
      <c r="AO95" s="34" t="str">
        <f t="shared" si="95"/>
        <v/>
      </c>
      <c r="AP95" s="34" t="str">
        <f t="shared" si="95"/>
        <v/>
      </c>
      <c r="AQ95" s="76" t="s">
        <v>129</v>
      </c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  <c r="BF95" s="77"/>
      <c r="BG95" s="77"/>
      <c r="BH95" s="77"/>
      <c r="BI95" s="77"/>
      <c r="BJ95" s="77"/>
      <c r="BK95" s="77"/>
      <c r="BL95" s="77"/>
      <c r="BM95" s="78"/>
    </row>
    <row r="96">
      <c r="A96" s="79" t="s">
        <v>69</v>
      </c>
      <c r="B96" s="79" t="b">
        <v>0</v>
      </c>
      <c r="C96" s="79" t="b">
        <f t="shared" si="3"/>
        <v>1</v>
      </c>
      <c r="D96" s="80" t="s">
        <v>773</v>
      </c>
      <c r="E96" s="81" t="s">
        <v>1596</v>
      </c>
      <c r="F96" s="82" t="s">
        <v>1451</v>
      </c>
      <c r="G96" s="35" t="s">
        <v>836</v>
      </c>
      <c r="H96" s="37">
        <v>-0.37178329189776593</v>
      </c>
      <c r="I96" s="37">
        <v>5.070354316830091</v>
      </c>
      <c r="J96" s="83" t="s">
        <v>1597</v>
      </c>
      <c r="K96" s="35">
        <v>28.7</v>
      </c>
      <c r="L96" s="79">
        <v>83.35823529411765</v>
      </c>
      <c r="M96" s="84">
        <v>29.0</v>
      </c>
      <c r="N96" s="84">
        <v>7.0</v>
      </c>
      <c r="O96" s="85">
        <v>2.0091410846513478</v>
      </c>
      <c r="P96" s="85">
        <v>0.45866321318120706</v>
      </c>
      <c r="Q96" s="85">
        <v>-0.7735441766074268</v>
      </c>
      <c r="R96" s="85">
        <v>-1.2871493493696955</v>
      </c>
      <c r="S96" s="85">
        <v>1.133544563522638</v>
      </c>
      <c r="T96" s="85">
        <v>-0.777705067920755</v>
      </c>
      <c r="U96" s="85">
        <v>2.1845803537001434</v>
      </c>
      <c r="V96" s="85">
        <v>0.0</v>
      </c>
      <c r="W96" s="85">
        <v>-1.774047096089446</v>
      </c>
      <c r="X96" s="85">
        <v>-1.5452668169657786</v>
      </c>
      <c r="Y96" s="50" t="s">
        <v>69</v>
      </c>
      <c r="Z96" s="50" t="s">
        <v>69</v>
      </c>
      <c r="AA96" s="50" t="s">
        <v>69</v>
      </c>
      <c r="AB96" s="50" t="s">
        <v>69</v>
      </c>
      <c r="AC96" s="34" t="str">
        <f t="shared" ref="AC96:AP96" si="96">LET(
  skater, IFERROR(INDEX(AllProj, MATCH($E96, AllProjNames, 0), MATCH(AC$2, AllProjCats, 0) + 1), ""),
  goalie, IFERROR(INDEX(AllGProj, MATCH($E96, AllGProjNames, 0), MATCH(AC$2, AllGProjCats, 0) + 1), ""),
  val, IF(skater &lt;&gt; "", skater, goalie),
  IF(OR($E96="", AC$2="", val=""), "", val * AC$1)
)</f>
        <v/>
      </c>
      <c r="AD96" s="34" t="str">
        <f t="shared" si="96"/>
        <v/>
      </c>
      <c r="AE96" s="34" t="str">
        <f t="shared" si="96"/>
        <v/>
      </c>
      <c r="AF96" s="34" t="str">
        <f t="shared" si="96"/>
        <v/>
      </c>
      <c r="AG96" s="34" t="str">
        <f t="shared" si="96"/>
        <v/>
      </c>
      <c r="AH96" s="34" t="str">
        <f t="shared" si="96"/>
        <v/>
      </c>
      <c r="AI96" s="34" t="str">
        <f t="shared" si="96"/>
        <v/>
      </c>
      <c r="AJ96" s="34" t="str">
        <f t="shared" si="96"/>
        <v/>
      </c>
      <c r="AK96" s="34" t="str">
        <f t="shared" si="96"/>
        <v/>
      </c>
      <c r="AL96" s="34" t="str">
        <f t="shared" si="96"/>
        <v/>
      </c>
      <c r="AM96" s="34" t="str">
        <f t="shared" si="96"/>
        <v/>
      </c>
      <c r="AN96" s="34" t="str">
        <f t="shared" si="96"/>
        <v/>
      </c>
      <c r="AO96" s="34" t="str">
        <f t="shared" si="96"/>
        <v/>
      </c>
      <c r="AP96" s="34" t="str">
        <f t="shared" si="96"/>
        <v/>
      </c>
      <c r="AQ96" s="76" t="s">
        <v>130</v>
      </c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  <c r="BF96" s="77"/>
      <c r="BG96" s="77"/>
      <c r="BH96" s="77"/>
      <c r="BI96" s="77"/>
      <c r="BJ96" s="77"/>
      <c r="BK96" s="77"/>
      <c r="BL96" s="77"/>
      <c r="BM96" s="78"/>
    </row>
    <row r="97">
      <c r="A97" s="41" t="s">
        <v>69</v>
      </c>
      <c r="B97" s="41" t="b">
        <v>0</v>
      </c>
      <c r="C97" s="41" t="b">
        <f t="shared" si="3"/>
        <v>1</v>
      </c>
      <c r="D97" s="42" t="s">
        <v>254</v>
      </c>
      <c r="E97" s="43" t="s">
        <v>1598</v>
      </c>
      <c r="F97" s="44" t="s">
        <v>1461</v>
      </c>
      <c r="G97" s="29" t="s">
        <v>832</v>
      </c>
      <c r="H97" s="32">
        <v>-0.3945702119901522</v>
      </c>
      <c r="I97" s="32">
        <v>5.047567396737705</v>
      </c>
      <c r="J97" s="45" t="s">
        <v>1599</v>
      </c>
      <c r="K97" s="29">
        <v>26.2</v>
      </c>
      <c r="L97" s="41">
        <v>80.79161764705883</v>
      </c>
      <c r="M97" s="46">
        <v>23.0</v>
      </c>
      <c r="N97" s="46">
        <v>6.0</v>
      </c>
      <c r="O97" s="47">
        <v>1.1403744017458914</v>
      </c>
      <c r="P97" s="47">
        <v>0.6333364275579744</v>
      </c>
      <c r="Q97" s="47">
        <v>0.45490940575080874</v>
      </c>
      <c r="R97" s="47">
        <v>-1.2183445353469728</v>
      </c>
      <c r="S97" s="47">
        <v>0.9299385552947923</v>
      </c>
      <c r="T97" s="47">
        <v>-0.7416441084451734</v>
      </c>
      <c r="U97" s="47">
        <v>1.269604518261763</v>
      </c>
      <c r="V97" s="47">
        <v>0.0</v>
      </c>
      <c r="W97" s="47">
        <v>-1.3979768337750662</v>
      </c>
      <c r="X97" s="47">
        <v>-1.4647680430341696</v>
      </c>
      <c r="Y97" s="50" t="s">
        <v>69</v>
      </c>
      <c r="Z97" s="50" t="s">
        <v>69</v>
      </c>
      <c r="AA97" s="50" t="s">
        <v>69</v>
      </c>
      <c r="AB97" s="50" t="s">
        <v>69</v>
      </c>
      <c r="AC97" s="34" t="str">
        <f t="shared" ref="AC97:AP97" si="97">LET(
  skater, IFERROR(INDEX(AllProj, MATCH($E97, AllProjNames, 0), MATCH(AC$2, AllProjCats, 0) + 1), ""),
  goalie, IFERROR(INDEX(AllGProj, MATCH($E97, AllGProjNames, 0), MATCH(AC$2, AllGProjCats, 0) + 1), ""),
  val, IF(skater &lt;&gt; "", skater, goalie),
  IF(OR($E97="", AC$2="", val=""), "", val * AC$1)
)</f>
        <v/>
      </c>
      <c r="AD97" s="34" t="str">
        <f t="shared" si="97"/>
        <v/>
      </c>
      <c r="AE97" s="34" t="str">
        <f t="shared" si="97"/>
        <v/>
      </c>
      <c r="AF97" s="34" t="str">
        <f t="shared" si="97"/>
        <v/>
      </c>
      <c r="AG97" s="34" t="str">
        <f t="shared" si="97"/>
        <v/>
      </c>
      <c r="AH97" s="34" t="str">
        <f t="shared" si="97"/>
        <v/>
      </c>
      <c r="AI97" s="34" t="str">
        <f t="shared" si="97"/>
        <v/>
      </c>
      <c r="AJ97" s="34" t="str">
        <f t="shared" si="97"/>
        <v/>
      </c>
      <c r="AK97" s="34" t="str">
        <f t="shared" si="97"/>
        <v/>
      </c>
      <c r="AL97" s="34" t="str">
        <f t="shared" si="97"/>
        <v/>
      </c>
      <c r="AM97" s="34" t="str">
        <f t="shared" si="97"/>
        <v/>
      </c>
      <c r="AN97" s="34" t="str">
        <f t="shared" si="97"/>
        <v/>
      </c>
      <c r="AO97" s="34" t="str">
        <f t="shared" si="97"/>
        <v/>
      </c>
      <c r="AP97" s="34" t="str">
        <f t="shared" si="97"/>
        <v/>
      </c>
      <c r="AQ97" s="76" t="s">
        <v>131</v>
      </c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  <c r="BF97" s="77"/>
      <c r="BG97" s="77"/>
      <c r="BH97" s="77"/>
      <c r="BI97" s="77"/>
      <c r="BJ97" s="77"/>
      <c r="BK97" s="77"/>
      <c r="BL97" s="77"/>
      <c r="BM97" s="78"/>
    </row>
    <row r="98">
      <c r="A98" s="79">
        <v>2.5714285714285716</v>
      </c>
      <c r="B98" s="79" t="b">
        <v>0</v>
      </c>
      <c r="C98" s="79" t="b">
        <f t="shared" si="3"/>
        <v>0</v>
      </c>
      <c r="D98" s="80" t="s">
        <v>1565</v>
      </c>
      <c r="E98" s="81" t="s">
        <v>1015</v>
      </c>
      <c r="F98" s="82" t="s">
        <v>1401</v>
      </c>
      <c r="G98" s="35" t="s">
        <v>6</v>
      </c>
      <c r="H98" s="37">
        <v>-0.43031085138220604</v>
      </c>
      <c r="I98" s="37">
        <v>3.907912127087908</v>
      </c>
      <c r="J98" s="83" t="s">
        <v>1600</v>
      </c>
      <c r="K98" s="35">
        <v>32.7</v>
      </c>
      <c r="L98" s="79">
        <v>32.6</v>
      </c>
      <c r="M98" s="84">
        <v>25.0</v>
      </c>
      <c r="N98" s="84">
        <v>7.0</v>
      </c>
      <c r="O98" s="96" t="s">
        <v>69</v>
      </c>
      <c r="P98" s="96" t="s">
        <v>69</v>
      </c>
      <c r="Q98" s="96" t="s">
        <v>69</v>
      </c>
      <c r="R98" s="96" t="s">
        <v>69</v>
      </c>
      <c r="S98" s="96" t="s">
        <v>69</v>
      </c>
      <c r="T98" s="96" t="s">
        <v>69</v>
      </c>
      <c r="U98" s="96" t="s">
        <v>69</v>
      </c>
      <c r="V98" s="96" t="s">
        <v>69</v>
      </c>
      <c r="W98" s="96" t="s">
        <v>69</v>
      </c>
      <c r="X98" s="96" t="s">
        <v>69</v>
      </c>
      <c r="Y98" s="95">
        <v>-1.5301730489520782</v>
      </c>
      <c r="Z98" s="95">
        <v>0.13124337389503257</v>
      </c>
      <c r="AA98" s="95">
        <v>0.9686188236748396</v>
      </c>
      <c r="AB98" s="95">
        <v>0.0</v>
      </c>
      <c r="AC98" s="34" t="str">
        <f t="shared" ref="AC98:AP98" si="98">LET(
  skater, IFERROR(INDEX(AllProj, MATCH($E98, AllProjNames, 0), MATCH(AC$2, AllProjCats, 0) + 1), ""),
  goalie, IFERROR(INDEX(AllGProj, MATCH($E98, AllGProjNames, 0), MATCH(AC$2, AllGProjCats, 0) + 1), ""),
  val, IF(skater &lt;&gt; "", skater, goalie),
  IF(OR($E98="", AC$2="", val=""), "", val * AC$1)
)</f>
        <v/>
      </c>
      <c r="AD98" s="34" t="str">
        <f t="shared" si="98"/>
        <v/>
      </c>
      <c r="AE98" s="34" t="str">
        <f t="shared" si="98"/>
        <v/>
      </c>
      <c r="AF98" s="34" t="str">
        <f t="shared" si="98"/>
        <v/>
      </c>
      <c r="AG98" s="34" t="str">
        <f t="shared" si="98"/>
        <v/>
      </c>
      <c r="AH98" s="34" t="str">
        <f t="shared" si="98"/>
        <v/>
      </c>
      <c r="AI98" s="34" t="str">
        <f t="shared" si="98"/>
        <v/>
      </c>
      <c r="AJ98" s="34" t="str">
        <f t="shared" si="98"/>
        <v/>
      </c>
      <c r="AK98" s="34" t="str">
        <f t="shared" si="98"/>
        <v/>
      </c>
      <c r="AL98" s="34" t="str">
        <f t="shared" si="98"/>
        <v/>
      </c>
      <c r="AM98" s="34" t="str">
        <f t="shared" si="98"/>
        <v/>
      </c>
      <c r="AN98" s="34" t="str">
        <f t="shared" si="98"/>
        <v/>
      </c>
      <c r="AO98" s="34" t="str">
        <f t="shared" si="98"/>
        <v/>
      </c>
      <c r="AP98" s="34" t="str">
        <f t="shared" si="98"/>
        <v/>
      </c>
      <c r="AQ98" s="76" t="s">
        <v>132</v>
      </c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  <c r="BF98" s="77"/>
      <c r="BG98" s="77"/>
      <c r="BH98" s="77"/>
      <c r="BI98" s="77"/>
      <c r="BJ98" s="77"/>
      <c r="BK98" s="77"/>
      <c r="BL98" s="77"/>
      <c r="BM98" s="78"/>
    </row>
    <row r="99">
      <c r="A99" s="41" t="s">
        <v>69</v>
      </c>
      <c r="B99" s="41" t="b">
        <v>0</v>
      </c>
      <c r="C99" s="41" t="b">
        <f t="shared" si="3"/>
        <v>1</v>
      </c>
      <c r="D99" s="42" t="s">
        <v>502</v>
      </c>
      <c r="E99" s="43" t="s">
        <v>1601</v>
      </c>
      <c r="F99" s="44" t="s">
        <v>1429</v>
      </c>
      <c r="G99" s="29" t="s">
        <v>831</v>
      </c>
      <c r="H99" s="32">
        <v>-0.46552650465884415</v>
      </c>
      <c r="I99" s="32">
        <v>4.976611104069013</v>
      </c>
      <c r="J99" s="45" t="s">
        <v>1602</v>
      </c>
      <c r="K99" s="29">
        <v>34.8</v>
      </c>
      <c r="L99" s="41">
        <v>79.76279411764706</v>
      </c>
      <c r="M99" s="46">
        <v>24.0</v>
      </c>
      <c r="N99" s="46">
        <v>7.0</v>
      </c>
      <c r="O99" s="47">
        <v>-0.09365450900582364</v>
      </c>
      <c r="P99" s="47">
        <v>-0.9756714972552026</v>
      </c>
      <c r="Q99" s="47">
        <v>0.5611518768905123</v>
      </c>
      <c r="R99" s="47">
        <v>0.1799780726087089</v>
      </c>
      <c r="S99" s="47">
        <v>-1.273004973926128</v>
      </c>
      <c r="T99" s="47">
        <v>1.126768028181064</v>
      </c>
      <c r="U99" s="47">
        <v>0.45204455274293226</v>
      </c>
      <c r="V99" s="47">
        <v>0.0</v>
      </c>
      <c r="W99" s="47">
        <v>0.5712712677656325</v>
      </c>
      <c r="X99" s="47">
        <v>-1.0144093226605397</v>
      </c>
      <c r="Y99" s="50" t="s">
        <v>69</v>
      </c>
      <c r="Z99" s="50" t="s">
        <v>69</v>
      </c>
      <c r="AA99" s="50" t="s">
        <v>69</v>
      </c>
      <c r="AB99" s="50" t="s">
        <v>69</v>
      </c>
      <c r="AC99" s="34" t="str">
        <f t="shared" ref="AC99:AP99" si="99">LET(
  skater, IFERROR(INDEX(AllProj, MATCH($E99, AllProjNames, 0), MATCH(AC$2, AllProjCats, 0) + 1), ""),
  goalie, IFERROR(INDEX(AllGProj, MATCH($E99, AllGProjNames, 0), MATCH(AC$2, AllGProjCats, 0) + 1), ""),
  val, IF(skater &lt;&gt; "", skater, goalie),
  IF(OR($E99="", AC$2="", val=""), "", val * AC$1)
)</f>
        <v/>
      </c>
      <c r="AD99" s="34" t="str">
        <f t="shared" si="99"/>
        <v/>
      </c>
      <c r="AE99" s="34" t="str">
        <f t="shared" si="99"/>
        <v/>
      </c>
      <c r="AF99" s="34" t="str">
        <f t="shared" si="99"/>
        <v/>
      </c>
      <c r="AG99" s="34" t="str">
        <f t="shared" si="99"/>
        <v/>
      </c>
      <c r="AH99" s="34" t="str">
        <f t="shared" si="99"/>
        <v/>
      </c>
      <c r="AI99" s="34" t="str">
        <f t="shared" si="99"/>
        <v/>
      </c>
      <c r="AJ99" s="34" t="str">
        <f t="shared" si="99"/>
        <v/>
      </c>
      <c r="AK99" s="34" t="str">
        <f t="shared" si="99"/>
        <v/>
      </c>
      <c r="AL99" s="34" t="str">
        <f t="shared" si="99"/>
        <v/>
      </c>
      <c r="AM99" s="34" t="str">
        <f t="shared" si="99"/>
        <v/>
      </c>
      <c r="AN99" s="34" t="str">
        <f t="shared" si="99"/>
        <v/>
      </c>
      <c r="AO99" s="34" t="str">
        <f t="shared" si="99"/>
        <v/>
      </c>
      <c r="AP99" s="34" t="str">
        <f t="shared" si="99"/>
        <v/>
      </c>
      <c r="AQ99" s="76" t="s">
        <v>133</v>
      </c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  <c r="BF99" s="77"/>
      <c r="BG99" s="77"/>
      <c r="BH99" s="77"/>
      <c r="BI99" s="77"/>
      <c r="BJ99" s="77"/>
      <c r="BK99" s="77"/>
      <c r="BL99" s="77"/>
      <c r="BM99" s="78"/>
    </row>
    <row r="100">
      <c r="A100" s="79" t="s">
        <v>69</v>
      </c>
      <c r="B100" s="79" t="b">
        <v>0</v>
      </c>
      <c r="C100" s="79" t="b">
        <f t="shared" si="3"/>
        <v>1</v>
      </c>
      <c r="D100" s="80" t="s">
        <v>825</v>
      </c>
      <c r="E100" s="81" t="s">
        <v>1603</v>
      </c>
      <c r="F100" s="82" t="s">
        <v>1451</v>
      </c>
      <c r="G100" s="35" t="s">
        <v>6</v>
      </c>
      <c r="H100" s="37">
        <v>-0.5116973176271931</v>
      </c>
      <c r="I100" s="37">
        <v>3.826525660842921</v>
      </c>
      <c r="J100" s="83" t="s">
        <v>1604</v>
      </c>
      <c r="K100" s="35">
        <v>33.2</v>
      </c>
      <c r="L100" s="79">
        <v>53.3</v>
      </c>
      <c r="M100" s="84">
        <v>29.0</v>
      </c>
      <c r="N100" s="84">
        <v>7.0</v>
      </c>
      <c r="O100" s="96" t="s">
        <v>69</v>
      </c>
      <c r="P100" s="96" t="s">
        <v>69</v>
      </c>
      <c r="Q100" s="96" t="s">
        <v>69</v>
      </c>
      <c r="R100" s="96" t="s">
        <v>69</v>
      </c>
      <c r="S100" s="96" t="s">
        <v>69</v>
      </c>
      <c r="T100" s="96" t="s">
        <v>69</v>
      </c>
      <c r="U100" s="96" t="s">
        <v>69</v>
      </c>
      <c r="V100" s="96" t="s">
        <v>69</v>
      </c>
      <c r="W100" s="96" t="s">
        <v>69</v>
      </c>
      <c r="X100" s="96" t="s">
        <v>69</v>
      </c>
      <c r="Y100" s="95">
        <v>0.17787533063545855</v>
      </c>
      <c r="Z100" s="95">
        <v>-0.33464219577564647</v>
      </c>
      <c r="AA100" s="95">
        <v>-0.35493045248700517</v>
      </c>
      <c r="AB100" s="95">
        <v>0.0</v>
      </c>
      <c r="AC100" s="34" t="str">
        <f t="shared" ref="AC100:AP100" si="100">LET(
  skater, IFERROR(INDEX(AllProj, MATCH($E100, AllProjNames, 0), MATCH(AC$2, AllProjCats, 0) + 1), ""),
  goalie, IFERROR(INDEX(AllGProj, MATCH($E100, AllGProjNames, 0), MATCH(AC$2, AllGProjCats, 0) + 1), ""),
  val, IF(skater &lt;&gt; "", skater, goalie),
  IF(OR($E100="", AC$2="", val=""), "", val * AC$1)
)</f>
        <v/>
      </c>
      <c r="AD100" s="34" t="str">
        <f t="shared" si="100"/>
        <v/>
      </c>
      <c r="AE100" s="34" t="str">
        <f t="shared" si="100"/>
        <v/>
      </c>
      <c r="AF100" s="34" t="str">
        <f t="shared" si="100"/>
        <v/>
      </c>
      <c r="AG100" s="34" t="str">
        <f t="shared" si="100"/>
        <v/>
      </c>
      <c r="AH100" s="34" t="str">
        <f t="shared" si="100"/>
        <v/>
      </c>
      <c r="AI100" s="34" t="str">
        <f t="shared" si="100"/>
        <v/>
      </c>
      <c r="AJ100" s="34" t="str">
        <f t="shared" si="100"/>
        <v/>
      </c>
      <c r="AK100" s="34" t="str">
        <f t="shared" si="100"/>
        <v/>
      </c>
      <c r="AL100" s="34" t="str">
        <f t="shared" si="100"/>
        <v/>
      </c>
      <c r="AM100" s="34" t="str">
        <f t="shared" si="100"/>
        <v/>
      </c>
      <c r="AN100" s="34" t="str">
        <f t="shared" si="100"/>
        <v/>
      </c>
      <c r="AO100" s="34" t="str">
        <f t="shared" si="100"/>
        <v/>
      </c>
      <c r="AP100" s="34" t="str">
        <f t="shared" si="100"/>
        <v/>
      </c>
      <c r="AQ100" s="76" t="s">
        <v>134</v>
      </c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  <c r="BF100" s="77"/>
      <c r="BG100" s="77"/>
      <c r="BH100" s="77"/>
      <c r="BI100" s="77"/>
      <c r="BJ100" s="77"/>
      <c r="BK100" s="77"/>
      <c r="BL100" s="77"/>
      <c r="BM100" s="78"/>
    </row>
    <row r="101">
      <c r="A101" s="41" t="s">
        <v>69</v>
      </c>
      <c r="B101" s="41" t="b">
        <v>0</v>
      </c>
      <c r="C101" s="41" t="b">
        <f t="shared" si="3"/>
        <v>1</v>
      </c>
      <c r="D101" s="42" t="s">
        <v>502</v>
      </c>
      <c r="E101" s="43" t="s">
        <v>1605</v>
      </c>
      <c r="F101" s="44" t="s">
        <v>1505</v>
      </c>
      <c r="G101" s="29" t="s">
        <v>284</v>
      </c>
      <c r="H101" s="32">
        <v>-0.5485076048197692</v>
      </c>
      <c r="I101" s="32">
        <v>4.489558415363316</v>
      </c>
      <c r="J101" s="45" t="s">
        <v>1606</v>
      </c>
      <c r="K101" s="29">
        <v>22.4</v>
      </c>
      <c r="L101" s="41">
        <v>81.13485294117648</v>
      </c>
      <c r="M101" s="46">
        <v>30.0</v>
      </c>
      <c r="N101" s="46">
        <v>5.0</v>
      </c>
      <c r="O101" s="47">
        <v>1.244573248423122</v>
      </c>
      <c r="P101" s="47">
        <v>0.6006295729305479</v>
      </c>
      <c r="Q101" s="47">
        <v>-0.9931848378448571</v>
      </c>
      <c r="R101" s="47">
        <v>-0.27439983869583584</v>
      </c>
      <c r="S101" s="47">
        <v>0.8351152720819361</v>
      </c>
      <c r="T101" s="47">
        <v>-0.25705144978465116</v>
      </c>
      <c r="U101" s="47">
        <v>0.13532243122456422</v>
      </c>
      <c r="V101" s="47">
        <v>0.7668454921715265</v>
      </c>
      <c r="W101" s="47">
        <v>-1.1039951117329374</v>
      </c>
      <c r="X101" s="47">
        <v>-1.5023623835931845</v>
      </c>
      <c r="Y101" s="50" t="s">
        <v>69</v>
      </c>
      <c r="Z101" s="50" t="s">
        <v>69</v>
      </c>
      <c r="AA101" s="50" t="s">
        <v>69</v>
      </c>
      <c r="AB101" s="50" t="s">
        <v>69</v>
      </c>
      <c r="AC101" s="34" t="str">
        <f t="shared" ref="AC101:AP101" si="101">LET(
  skater, IFERROR(INDEX(AllProj, MATCH($E101, AllProjNames, 0), MATCH(AC$2, AllProjCats, 0) + 1), ""),
  goalie, IFERROR(INDEX(AllGProj, MATCH($E101, AllGProjNames, 0), MATCH(AC$2, AllGProjCats, 0) + 1), ""),
  val, IF(skater &lt;&gt; "", skater, goalie),
  IF(OR($E101="", AC$2="", val=""), "", val * AC$1)
)</f>
        <v/>
      </c>
      <c r="AD101" s="34" t="str">
        <f t="shared" si="101"/>
        <v/>
      </c>
      <c r="AE101" s="34" t="str">
        <f t="shared" si="101"/>
        <v/>
      </c>
      <c r="AF101" s="34" t="str">
        <f t="shared" si="101"/>
        <v/>
      </c>
      <c r="AG101" s="34" t="str">
        <f t="shared" si="101"/>
        <v/>
      </c>
      <c r="AH101" s="34" t="str">
        <f t="shared" si="101"/>
        <v/>
      </c>
      <c r="AI101" s="34" t="str">
        <f t="shared" si="101"/>
        <v/>
      </c>
      <c r="AJ101" s="34" t="str">
        <f t="shared" si="101"/>
        <v/>
      </c>
      <c r="AK101" s="34" t="str">
        <f t="shared" si="101"/>
        <v/>
      </c>
      <c r="AL101" s="34" t="str">
        <f t="shared" si="101"/>
        <v/>
      </c>
      <c r="AM101" s="34" t="str">
        <f t="shared" si="101"/>
        <v/>
      </c>
      <c r="AN101" s="34" t="str">
        <f t="shared" si="101"/>
        <v/>
      </c>
      <c r="AO101" s="34" t="str">
        <f t="shared" si="101"/>
        <v/>
      </c>
      <c r="AP101" s="34" t="str">
        <f t="shared" si="101"/>
        <v/>
      </c>
      <c r="AQ101" s="76" t="s">
        <v>135</v>
      </c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8"/>
    </row>
    <row r="102">
      <c r="A102" s="79" t="s">
        <v>69</v>
      </c>
      <c r="B102" s="79" t="b">
        <v>0</v>
      </c>
      <c r="C102" s="79" t="b">
        <f t="shared" si="3"/>
        <v>1</v>
      </c>
      <c r="D102" s="80" t="s">
        <v>824</v>
      </c>
      <c r="E102" s="81" t="s">
        <v>1607</v>
      </c>
      <c r="F102" s="82" t="s">
        <v>1444</v>
      </c>
      <c r="G102" s="35" t="s">
        <v>836</v>
      </c>
      <c r="H102" s="37">
        <v>-0.5555977995398607</v>
      </c>
      <c r="I102" s="37">
        <v>4.886539809187997</v>
      </c>
      <c r="J102" s="83" t="s">
        <v>1608</v>
      </c>
      <c r="K102" s="35">
        <v>24.6</v>
      </c>
      <c r="L102" s="79">
        <v>83.75235294117647</v>
      </c>
      <c r="M102" s="84">
        <v>33.0</v>
      </c>
      <c r="N102" s="84">
        <v>6.0</v>
      </c>
      <c r="O102" s="85">
        <v>0.027694957052003772</v>
      </c>
      <c r="P102" s="85">
        <v>-0.9558907741761794</v>
      </c>
      <c r="Q102" s="85">
        <v>-1.7475682443807499</v>
      </c>
      <c r="R102" s="85">
        <v>0.5900101741952144</v>
      </c>
      <c r="S102" s="85">
        <v>-0.860573817540287</v>
      </c>
      <c r="T102" s="85">
        <v>-0.08799980745209766</v>
      </c>
      <c r="U102" s="85">
        <v>-0.19152538631873417</v>
      </c>
      <c r="V102" s="85">
        <v>0.0</v>
      </c>
      <c r="W102" s="85">
        <v>3.479134301812327</v>
      </c>
      <c r="X102" s="85">
        <v>-0.8088792027313572</v>
      </c>
      <c r="Y102" s="50" t="s">
        <v>69</v>
      </c>
      <c r="Z102" s="50" t="s">
        <v>69</v>
      </c>
      <c r="AA102" s="50" t="s">
        <v>69</v>
      </c>
      <c r="AB102" s="50" t="s">
        <v>69</v>
      </c>
      <c r="AC102" s="34" t="str">
        <f t="shared" ref="AC102:AP102" si="102">LET(
  skater, IFERROR(INDEX(AllProj, MATCH($E102, AllProjNames, 0), MATCH(AC$2, AllProjCats, 0) + 1), ""),
  goalie, IFERROR(INDEX(AllGProj, MATCH($E102, AllGProjNames, 0), MATCH(AC$2, AllGProjCats, 0) + 1), ""),
  val, IF(skater &lt;&gt; "", skater, goalie),
  IF(OR($E102="", AC$2="", val=""), "", val * AC$1)
)</f>
        <v/>
      </c>
      <c r="AD102" s="34" t="str">
        <f t="shared" si="102"/>
        <v/>
      </c>
      <c r="AE102" s="34" t="str">
        <f t="shared" si="102"/>
        <v/>
      </c>
      <c r="AF102" s="34" t="str">
        <f t="shared" si="102"/>
        <v/>
      </c>
      <c r="AG102" s="34" t="str">
        <f t="shared" si="102"/>
        <v/>
      </c>
      <c r="AH102" s="34" t="str">
        <f t="shared" si="102"/>
        <v/>
      </c>
      <c r="AI102" s="34" t="str">
        <f t="shared" si="102"/>
        <v/>
      </c>
      <c r="AJ102" s="34" t="str">
        <f t="shared" si="102"/>
        <v/>
      </c>
      <c r="AK102" s="34" t="str">
        <f t="shared" si="102"/>
        <v/>
      </c>
      <c r="AL102" s="34" t="str">
        <f t="shared" si="102"/>
        <v/>
      </c>
      <c r="AM102" s="34" t="str">
        <f t="shared" si="102"/>
        <v/>
      </c>
      <c r="AN102" s="34" t="str">
        <f t="shared" si="102"/>
        <v/>
      </c>
      <c r="AO102" s="34" t="str">
        <f t="shared" si="102"/>
        <v/>
      </c>
      <c r="AP102" s="34" t="str">
        <f t="shared" si="102"/>
        <v/>
      </c>
      <c r="AQ102" s="76" t="s">
        <v>136</v>
      </c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8"/>
    </row>
    <row r="103">
      <c r="A103" s="41" t="s">
        <v>69</v>
      </c>
      <c r="B103" s="41" t="b">
        <v>0</v>
      </c>
      <c r="C103" s="41" t="b">
        <f t="shared" si="3"/>
        <v>1</v>
      </c>
      <c r="D103" s="42" t="s">
        <v>773</v>
      </c>
      <c r="E103" s="43" t="s">
        <v>1609</v>
      </c>
      <c r="F103" s="44" t="s">
        <v>1444</v>
      </c>
      <c r="G103" s="29" t="s">
        <v>837</v>
      </c>
      <c r="H103" s="32">
        <v>-0.5621895273536187</v>
      </c>
      <c r="I103" s="32">
        <v>4.967669244575283</v>
      </c>
      <c r="J103" s="45" t="s">
        <v>1610</v>
      </c>
      <c r="K103" s="29">
        <v>28.6</v>
      </c>
      <c r="L103" s="41">
        <v>78.31838235294117</v>
      </c>
      <c r="M103" s="46">
        <v>33.0</v>
      </c>
      <c r="N103" s="46">
        <v>6.0</v>
      </c>
      <c r="O103" s="47">
        <v>-1.088172753526799</v>
      </c>
      <c r="P103" s="47">
        <v>2.1481629851327275</v>
      </c>
      <c r="Q103" s="47">
        <v>-0.1619396369556945</v>
      </c>
      <c r="R103" s="47">
        <v>-0.8503299739024239</v>
      </c>
      <c r="S103" s="47">
        <v>1.6671826738063567</v>
      </c>
      <c r="T103" s="47">
        <v>-0.3097182488341184</v>
      </c>
      <c r="U103" s="47">
        <v>-0.7127200445326756</v>
      </c>
      <c r="V103" s="47">
        <v>0.0</v>
      </c>
      <c r="W103" s="47">
        <v>-1.8697331374931272</v>
      </c>
      <c r="X103" s="47">
        <v>0.6150786089521357</v>
      </c>
      <c r="Y103" s="50" t="s">
        <v>69</v>
      </c>
      <c r="Z103" s="50" t="s">
        <v>69</v>
      </c>
      <c r="AA103" s="50" t="s">
        <v>69</v>
      </c>
      <c r="AB103" s="50" t="s">
        <v>69</v>
      </c>
      <c r="AC103" s="34" t="str">
        <f t="shared" ref="AC103:AP103" si="103">LET(
  skater, IFERROR(INDEX(AllProj, MATCH($E103, AllProjNames, 0), MATCH(AC$2, AllProjCats, 0) + 1), ""),
  goalie, IFERROR(INDEX(AllGProj, MATCH($E103, AllGProjNames, 0), MATCH(AC$2, AllGProjCats, 0) + 1), ""),
  val, IF(skater &lt;&gt; "", skater, goalie),
  IF(OR($E103="", AC$2="", val=""), "", val * AC$1)
)</f>
        <v/>
      </c>
      <c r="AD103" s="34" t="str">
        <f t="shared" si="103"/>
        <v/>
      </c>
      <c r="AE103" s="34" t="str">
        <f t="shared" si="103"/>
        <v/>
      </c>
      <c r="AF103" s="34" t="str">
        <f t="shared" si="103"/>
        <v/>
      </c>
      <c r="AG103" s="34" t="str">
        <f t="shared" si="103"/>
        <v/>
      </c>
      <c r="AH103" s="34" t="str">
        <f t="shared" si="103"/>
        <v/>
      </c>
      <c r="AI103" s="34" t="str">
        <f t="shared" si="103"/>
        <v/>
      </c>
      <c r="AJ103" s="34" t="str">
        <f t="shared" si="103"/>
        <v/>
      </c>
      <c r="AK103" s="34" t="str">
        <f t="shared" si="103"/>
        <v/>
      </c>
      <c r="AL103" s="34" t="str">
        <f t="shared" si="103"/>
        <v/>
      </c>
      <c r="AM103" s="34" t="str">
        <f t="shared" si="103"/>
        <v/>
      </c>
      <c r="AN103" s="34" t="str">
        <f t="shared" si="103"/>
        <v/>
      </c>
      <c r="AO103" s="34" t="str">
        <f t="shared" si="103"/>
        <v/>
      </c>
      <c r="AP103" s="34" t="str">
        <f t="shared" si="103"/>
        <v/>
      </c>
      <c r="AQ103" s="76" t="s">
        <v>137</v>
      </c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7"/>
      <c r="BH103" s="77"/>
      <c r="BI103" s="77"/>
      <c r="BJ103" s="77"/>
      <c r="BK103" s="77"/>
      <c r="BL103" s="77"/>
      <c r="BM103" s="78"/>
    </row>
    <row r="104">
      <c r="A104" s="79" t="s">
        <v>69</v>
      </c>
      <c r="B104" s="79" t="b">
        <v>0</v>
      </c>
      <c r="C104" s="79" t="b">
        <f t="shared" si="3"/>
        <v>1</v>
      </c>
      <c r="D104" s="80" t="s">
        <v>826</v>
      </c>
      <c r="E104" s="81" t="s">
        <v>1611</v>
      </c>
      <c r="F104" s="82" t="s">
        <v>1482</v>
      </c>
      <c r="G104" s="35" t="s">
        <v>6</v>
      </c>
      <c r="H104" s="37">
        <v>-0.6282530691433622</v>
      </c>
      <c r="I104" s="37">
        <v>3.7099699093267517</v>
      </c>
      <c r="J104" s="83" t="s">
        <v>1612</v>
      </c>
      <c r="K104" s="35">
        <v>33.1</v>
      </c>
      <c r="L104" s="79">
        <v>49.2</v>
      </c>
      <c r="M104" s="84">
        <v>27.0</v>
      </c>
      <c r="N104" s="84">
        <v>6.0</v>
      </c>
      <c r="O104" s="96" t="s">
        <v>69</v>
      </c>
      <c r="P104" s="96" t="s">
        <v>69</v>
      </c>
      <c r="Q104" s="96" t="s">
        <v>69</v>
      </c>
      <c r="R104" s="96" t="s">
        <v>69</v>
      </c>
      <c r="S104" s="96" t="s">
        <v>69</v>
      </c>
      <c r="T104" s="96" t="s">
        <v>69</v>
      </c>
      <c r="U104" s="96" t="s">
        <v>69</v>
      </c>
      <c r="V104" s="96" t="s">
        <v>69</v>
      </c>
      <c r="W104" s="96" t="s">
        <v>69</v>
      </c>
      <c r="X104" s="96" t="s">
        <v>69</v>
      </c>
      <c r="Y104" s="95">
        <v>0.37182606393956225</v>
      </c>
      <c r="Z104" s="95">
        <v>-0.4219957400889019</v>
      </c>
      <c r="AA104" s="95">
        <v>-0.906409317554494</v>
      </c>
      <c r="AB104" s="95">
        <v>0.3283259245604715</v>
      </c>
      <c r="AC104" s="34" t="str">
        <f t="shared" ref="AC104:AP104" si="104">LET(
  skater, IFERROR(INDEX(AllProj, MATCH($E104, AllProjNames, 0), MATCH(AC$2, AllProjCats, 0) + 1), ""),
  goalie, IFERROR(INDEX(AllGProj, MATCH($E104, AllGProjNames, 0), MATCH(AC$2, AllGProjCats, 0) + 1), ""),
  val, IF(skater &lt;&gt; "", skater, goalie),
  IF(OR($E104="", AC$2="", val=""), "", val * AC$1)
)</f>
        <v/>
      </c>
      <c r="AD104" s="34" t="str">
        <f t="shared" si="104"/>
        <v/>
      </c>
      <c r="AE104" s="34" t="str">
        <f t="shared" si="104"/>
        <v/>
      </c>
      <c r="AF104" s="34" t="str">
        <f t="shared" si="104"/>
        <v/>
      </c>
      <c r="AG104" s="34" t="str">
        <f t="shared" si="104"/>
        <v/>
      </c>
      <c r="AH104" s="34" t="str">
        <f t="shared" si="104"/>
        <v/>
      </c>
      <c r="AI104" s="34" t="str">
        <f t="shared" si="104"/>
        <v/>
      </c>
      <c r="AJ104" s="34" t="str">
        <f t="shared" si="104"/>
        <v/>
      </c>
      <c r="AK104" s="34" t="str">
        <f t="shared" si="104"/>
        <v/>
      </c>
      <c r="AL104" s="34" t="str">
        <f t="shared" si="104"/>
        <v/>
      </c>
      <c r="AM104" s="34" t="str">
        <f t="shared" si="104"/>
        <v/>
      </c>
      <c r="AN104" s="34" t="str">
        <f t="shared" si="104"/>
        <v/>
      </c>
      <c r="AO104" s="34" t="str">
        <f t="shared" si="104"/>
        <v/>
      </c>
      <c r="AP104" s="34" t="str">
        <f t="shared" si="104"/>
        <v/>
      </c>
      <c r="AQ104" s="76" t="s">
        <v>138</v>
      </c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7"/>
      <c r="BJ104" s="77"/>
      <c r="BK104" s="77"/>
      <c r="BL104" s="77"/>
      <c r="BM104" s="78"/>
    </row>
    <row r="105">
      <c r="A105" s="41" t="s">
        <v>69</v>
      </c>
      <c r="B105" s="41" t="b">
        <v>0</v>
      </c>
      <c r="C105" s="41" t="b">
        <f t="shared" si="3"/>
        <v>1</v>
      </c>
      <c r="D105" s="42" t="s">
        <v>502</v>
      </c>
      <c r="E105" s="43" t="s">
        <v>1613</v>
      </c>
      <c r="F105" s="44" t="s">
        <v>1401</v>
      </c>
      <c r="G105" s="29" t="s">
        <v>829</v>
      </c>
      <c r="H105" s="32">
        <v>-0.6299989651821569</v>
      </c>
      <c r="I105" s="32">
        <v>4.8121386435457</v>
      </c>
      <c r="J105" s="45" t="s">
        <v>1614</v>
      </c>
      <c r="K105" s="29">
        <v>30.4</v>
      </c>
      <c r="L105" s="41">
        <v>80.35514705882352</v>
      </c>
      <c r="M105" s="46">
        <v>25.0</v>
      </c>
      <c r="N105" s="46">
        <v>7.0</v>
      </c>
      <c r="O105" s="47">
        <v>2.191390915228144</v>
      </c>
      <c r="P105" s="47">
        <v>1.485652118904191</v>
      </c>
      <c r="Q105" s="47">
        <v>-1.0734996827825938</v>
      </c>
      <c r="R105" s="47">
        <v>-1.4799800715580065</v>
      </c>
      <c r="S105" s="47">
        <v>1.5463739070803004</v>
      </c>
      <c r="T105" s="47">
        <v>-0.7369248296919009</v>
      </c>
      <c r="U105" s="47">
        <v>1.5352795608172078</v>
      </c>
      <c r="V105" s="47">
        <v>0.0</v>
      </c>
      <c r="W105" s="47">
        <v>-2.2716225648091655</v>
      </c>
      <c r="X105" s="47">
        <v>-1.8266683183703334</v>
      </c>
      <c r="Y105" s="50" t="s">
        <v>69</v>
      </c>
      <c r="Z105" s="50" t="s">
        <v>69</v>
      </c>
      <c r="AA105" s="50" t="s">
        <v>69</v>
      </c>
      <c r="AB105" s="50" t="s">
        <v>69</v>
      </c>
      <c r="AC105" s="34" t="str">
        <f t="shared" ref="AC105:AP105" si="105">LET(
  skater, IFERROR(INDEX(AllProj, MATCH($E105, AllProjNames, 0), MATCH(AC$2, AllProjCats, 0) + 1), ""),
  goalie, IFERROR(INDEX(AllGProj, MATCH($E105, AllGProjNames, 0), MATCH(AC$2, AllGProjCats, 0) + 1), ""),
  val, IF(skater &lt;&gt; "", skater, goalie),
  IF(OR($E105="", AC$2="", val=""), "", val * AC$1)
)</f>
        <v/>
      </c>
      <c r="AD105" s="34" t="str">
        <f t="shared" si="105"/>
        <v/>
      </c>
      <c r="AE105" s="34" t="str">
        <f t="shared" si="105"/>
        <v/>
      </c>
      <c r="AF105" s="34" t="str">
        <f t="shared" si="105"/>
        <v/>
      </c>
      <c r="AG105" s="34" t="str">
        <f t="shared" si="105"/>
        <v/>
      </c>
      <c r="AH105" s="34" t="str">
        <f t="shared" si="105"/>
        <v/>
      </c>
      <c r="AI105" s="34" t="str">
        <f t="shared" si="105"/>
        <v/>
      </c>
      <c r="AJ105" s="34" t="str">
        <f t="shared" si="105"/>
        <v/>
      </c>
      <c r="AK105" s="34" t="str">
        <f t="shared" si="105"/>
        <v/>
      </c>
      <c r="AL105" s="34" t="str">
        <f t="shared" si="105"/>
        <v/>
      </c>
      <c r="AM105" s="34" t="str">
        <f t="shared" si="105"/>
        <v/>
      </c>
      <c r="AN105" s="34" t="str">
        <f t="shared" si="105"/>
        <v/>
      </c>
      <c r="AO105" s="34" t="str">
        <f t="shared" si="105"/>
        <v/>
      </c>
      <c r="AP105" s="34" t="str">
        <f t="shared" si="105"/>
        <v/>
      </c>
      <c r="AQ105" s="76" t="s">
        <v>139</v>
      </c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7"/>
      <c r="BJ105" s="77"/>
      <c r="BK105" s="77"/>
      <c r="BL105" s="77"/>
      <c r="BM105" s="78"/>
    </row>
    <row r="106">
      <c r="A106" s="79" t="s">
        <v>69</v>
      </c>
      <c r="B106" s="79" t="b">
        <v>0</v>
      </c>
      <c r="C106" s="79" t="b">
        <f t="shared" si="3"/>
        <v>1</v>
      </c>
      <c r="D106" s="80" t="s">
        <v>254</v>
      </c>
      <c r="E106" s="81" t="s">
        <v>1615</v>
      </c>
      <c r="F106" s="82" t="s">
        <v>1043</v>
      </c>
      <c r="G106" s="35" t="s">
        <v>830</v>
      </c>
      <c r="H106" s="37">
        <v>-0.6971556949214474</v>
      </c>
      <c r="I106" s="37">
        <v>4.690724429991292</v>
      </c>
      <c r="J106" s="83" t="s">
        <v>1616</v>
      </c>
      <c r="K106" s="35">
        <v>32.8</v>
      </c>
      <c r="L106" s="79">
        <v>79.41044117647058</v>
      </c>
      <c r="M106" s="84">
        <v>28.0</v>
      </c>
      <c r="N106" s="84">
        <v>6.0</v>
      </c>
      <c r="O106" s="85">
        <v>0.8283882267814708</v>
      </c>
      <c r="P106" s="85">
        <v>-0.21025612808953412</v>
      </c>
      <c r="Q106" s="85">
        <v>-1.275548403745039</v>
      </c>
      <c r="R106" s="85">
        <v>-1.1896780887586835</v>
      </c>
      <c r="S106" s="85">
        <v>1.0865176884047796</v>
      </c>
      <c r="T106" s="85">
        <v>-0.7377469896849131</v>
      </c>
      <c r="U106" s="85">
        <v>0.5431419658800476</v>
      </c>
      <c r="V106" s="85">
        <v>1.9568913573177689</v>
      </c>
      <c r="W106" s="85">
        <v>-0.5087505878379069</v>
      </c>
      <c r="X106" s="85">
        <v>-1.1901147351894374</v>
      </c>
      <c r="Y106" s="50" t="s">
        <v>69</v>
      </c>
      <c r="Z106" s="50" t="s">
        <v>69</v>
      </c>
      <c r="AA106" s="50" t="s">
        <v>69</v>
      </c>
      <c r="AB106" s="50" t="s">
        <v>69</v>
      </c>
      <c r="AC106" s="34" t="str">
        <f t="shared" ref="AC106:AP106" si="106">LET(
  skater, IFERROR(INDEX(AllProj, MATCH($E106, AllProjNames, 0), MATCH(AC$2, AllProjCats, 0) + 1), ""),
  goalie, IFERROR(INDEX(AllGProj, MATCH($E106, AllGProjNames, 0), MATCH(AC$2, AllGProjCats, 0) + 1), ""),
  val, IF(skater &lt;&gt; "", skater, goalie),
  IF(OR($E106="", AC$2="", val=""), "", val * AC$1)
)</f>
        <v/>
      </c>
      <c r="AD106" s="34" t="str">
        <f t="shared" si="106"/>
        <v/>
      </c>
      <c r="AE106" s="34" t="str">
        <f t="shared" si="106"/>
        <v/>
      </c>
      <c r="AF106" s="34" t="str">
        <f t="shared" si="106"/>
        <v/>
      </c>
      <c r="AG106" s="34" t="str">
        <f t="shared" si="106"/>
        <v/>
      </c>
      <c r="AH106" s="34" t="str">
        <f t="shared" si="106"/>
        <v/>
      </c>
      <c r="AI106" s="34" t="str">
        <f t="shared" si="106"/>
        <v/>
      </c>
      <c r="AJ106" s="34" t="str">
        <f t="shared" si="106"/>
        <v/>
      </c>
      <c r="AK106" s="34" t="str">
        <f t="shared" si="106"/>
        <v/>
      </c>
      <c r="AL106" s="34" t="str">
        <f t="shared" si="106"/>
        <v/>
      </c>
      <c r="AM106" s="34" t="str">
        <f t="shared" si="106"/>
        <v/>
      </c>
      <c r="AN106" s="34" t="str">
        <f t="shared" si="106"/>
        <v/>
      </c>
      <c r="AO106" s="34" t="str">
        <f t="shared" si="106"/>
        <v/>
      </c>
      <c r="AP106" s="34" t="str">
        <f t="shared" si="106"/>
        <v/>
      </c>
      <c r="AQ106" s="76" t="s">
        <v>140</v>
      </c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  <c r="BG106" s="77"/>
      <c r="BH106" s="77"/>
      <c r="BI106" s="77"/>
      <c r="BJ106" s="77"/>
      <c r="BK106" s="77"/>
      <c r="BL106" s="77"/>
      <c r="BM106" s="78"/>
    </row>
    <row r="107">
      <c r="A107" s="41" t="s">
        <v>69</v>
      </c>
      <c r="B107" s="41" t="b">
        <v>0</v>
      </c>
      <c r="C107" s="41" t="b">
        <f t="shared" si="3"/>
        <v>1</v>
      </c>
      <c r="D107" s="42" t="s">
        <v>22</v>
      </c>
      <c r="E107" s="43" t="s">
        <v>1617</v>
      </c>
      <c r="F107" s="44" t="s">
        <v>1439</v>
      </c>
      <c r="G107" s="29" t="s">
        <v>837</v>
      </c>
      <c r="H107" s="32">
        <v>-0.760659139391886</v>
      </c>
      <c r="I107" s="32">
        <v>4.769199632537015</v>
      </c>
      <c r="J107" s="45" t="s">
        <v>1618</v>
      </c>
      <c r="K107" s="29">
        <v>27.2</v>
      </c>
      <c r="L107" s="41">
        <v>78.11338235294117</v>
      </c>
      <c r="M107" s="46">
        <v>25.0</v>
      </c>
      <c r="N107" s="46">
        <v>6.0</v>
      </c>
      <c r="O107" s="47">
        <v>-1.527692156470921</v>
      </c>
      <c r="P107" s="47">
        <v>1.2794693565075117</v>
      </c>
      <c r="Q107" s="47">
        <v>0.8777299804623195</v>
      </c>
      <c r="R107" s="47">
        <v>-1.0409931519324713</v>
      </c>
      <c r="S107" s="47">
        <v>1.0513479967565682</v>
      </c>
      <c r="T107" s="47">
        <v>-0.244669308717869</v>
      </c>
      <c r="U107" s="47">
        <v>-0.25484447621412964</v>
      </c>
      <c r="V107" s="47">
        <v>0.0</v>
      </c>
      <c r="W107" s="47">
        <v>-2.0496366626269733</v>
      </c>
      <c r="X107" s="47">
        <v>1.1486292828440787</v>
      </c>
      <c r="Y107" s="50" t="s">
        <v>69</v>
      </c>
      <c r="Z107" s="50" t="s">
        <v>69</v>
      </c>
      <c r="AA107" s="50" t="s">
        <v>69</v>
      </c>
      <c r="AB107" s="50" t="s">
        <v>69</v>
      </c>
      <c r="AC107" s="34" t="str">
        <f t="shared" ref="AC107:AP107" si="107">LET(
  skater, IFERROR(INDEX(AllProj, MATCH($E107, AllProjNames, 0), MATCH(AC$2, AllProjCats, 0) + 1), ""),
  goalie, IFERROR(INDEX(AllGProj, MATCH($E107, AllGProjNames, 0), MATCH(AC$2, AllGProjCats, 0) + 1), ""),
  val, IF(skater &lt;&gt; "", skater, goalie),
  IF(OR($E107="", AC$2="", val=""), "", val * AC$1)
)</f>
        <v/>
      </c>
      <c r="AD107" s="34" t="str">
        <f t="shared" si="107"/>
        <v/>
      </c>
      <c r="AE107" s="34" t="str">
        <f t="shared" si="107"/>
        <v/>
      </c>
      <c r="AF107" s="34" t="str">
        <f t="shared" si="107"/>
        <v/>
      </c>
      <c r="AG107" s="34" t="str">
        <f t="shared" si="107"/>
        <v/>
      </c>
      <c r="AH107" s="34" t="str">
        <f t="shared" si="107"/>
        <v/>
      </c>
      <c r="AI107" s="34" t="str">
        <f t="shared" si="107"/>
        <v/>
      </c>
      <c r="AJ107" s="34" t="str">
        <f t="shared" si="107"/>
        <v/>
      </c>
      <c r="AK107" s="34" t="str">
        <f t="shared" si="107"/>
        <v/>
      </c>
      <c r="AL107" s="34" t="str">
        <f t="shared" si="107"/>
        <v/>
      </c>
      <c r="AM107" s="34" t="str">
        <f t="shared" si="107"/>
        <v/>
      </c>
      <c r="AN107" s="34" t="str">
        <f t="shared" si="107"/>
        <v/>
      </c>
      <c r="AO107" s="34" t="str">
        <f t="shared" si="107"/>
        <v/>
      </c>
      <c r="AP107" s="34" t="str">
        <f t="shared" si="107"/>
        <v/>
      </c>
      <c r="AQ107" s="76" t="s">
        <v>141</v>
      </c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7"/>
      <c r="BJ107" s="77"/>
      <c r="BK107" s="77"/>
      <c r="BL107" s="77"/>
      <c r="BM107" s="78"/>
    </row>
    <row r="108">
      <c r="A108" s="79" t="s">
        <v>69</v>
      </c>
      <c r="B108" s="79" t="b">
        <v>0</v>
      </c>
      <c r="C108" s="79" t="b">
        <f t="shared" si="3"/>
        <v>1</v>
      </c>
      <c r="D108" s="80" t="s">
        <v>773</v>
      </c>
      <c r="E108" s="81" t="s">
        <v>1619</v>
      </c>
      <c r="F108" s="82" t="s">
        <v>1401</v>
      </c>
      <c r="G108" s="35" t="s">
        <v>284</v>
      </c>
      <c r="H108" s="37">
        <v>-0.7614224980541348</v>
      </c>
      <c r="I108" s="37">
        <v>4.276643522128951</v>
      </c>
      <c r="J108" s="83" t="s">
        <v>1620</v>
      </c>
      <c r="K108" s="35">
        <v>36.0</v>
      </c>
      <c r="L108" s="79">
        <v>81.44720588235293</v>
      </c>
      <c r="M108" s="84">
        <v>25.0</v>
      </c>
      <c r="N108" s="84">
        <v>7.0</v>
      </c>
      <c r="O108" s="85">
        <v>1.2321011458402016</v>
      </c>
      <c r="P108" s="85">
        <v>0.2808134006375198</v>
      </c>
      <c r="Q108" s="85">
        <v>-1.5666282807601564</v>
      </c>
      <c r="R108" s="85">
        <v>-0.8707588594381243</v>
      </c>
      <c r="S108" s="85">
        <v>0.3003291573617288</v>
      </c>
      <c r="T108" s="85">
        <v>-0.7824918860706556</v>
      </c>
      <c r="U108" s="85">
        <v>0.8649693747760198</v>
      </c>
      <c r="V108" s="85">
        <v>2.430555421510304</v>
      </c>
      <c r="W108" s="85">
        <v>-0.932814849666905</v>
      </c>
      <c r="X108" s="85">
        <v>-1.7174971222440678</v>
      </c>
      <c r="Y108" s="50" t="s">
        <v>69</v>
      </c>
      <c r="Z108" s="50" t="s">
        <v>69</v>
      </c>
      <c r="AA108" s="50" t="s">
        <v>69</v>
      </c>
      <c r="AB108" s="50" t="s">
        <v>69</v>
      </c>
      <c r="AC108" s="34" t="str">
        <f t="shared" ref="AC108:AP108" si="108">LET(
  skater, IFERROR(INDEX(AllProj, MATCH($E108, AllProjNames, 0), MATCH(AC$2, AllProjCats, 0) + 1), ""),
  goalie, IFERROR(INDEX(AllGProj, MATCH($E108, AllGProjNames, 0), MATCH(AC$2, AllGProjCats, 0) + 1), ""),
  val, IF(skater &lt;&gt; "", skater, goalie),
  IF(OR($E108="", AC$2="", val=""), "", val * AC$1)
)</f>
        <v/>
      </c>
      <c r="AD108" s="34" t="str">
        <f t="shared" si="108"/>
        <v/>
      </c>
      <c r="AE108" s="34" t="str">
        <f t="shared" si="108"/>
        <v/>
      </c>
      <c r="AF108" s="34" t="str">
        <f t="shared" si="108"/>
        <v/>
      </c>
      <c r="AG108" s="34" t="str">
        <f t="shared" si="108"/>
        <v/>
      </c>
      <c r="AH108" s="34" t="str">
        <f t="shared" si="108"/>
        <v/>
      </c>
      <c r="AI108" s="34" t="str">
        <f t="shared" si="108"/>
        <v/>
      </c>
      <c r="AJ108" s="34" t="str">
        <f t="shared" si="108"/>
        <v/>
      </c>
      <c r="AK108" s="34" t="str">
        <f t="shared" si="108"/>
        <v/>
      </c>
      <c r="AL108" s="34" t="str">
        <f t="shared" si="108"/>
        <v/>
      </c>
      <c r="AM108" s="34" t="str">
        <f t="shared" si="108"/>
        <v/>
      </c>
      <c r="AN108" s="34" t="str">
        <f t="shared" si="108"/>
        <v/>
      </c>
      <c r="AO108" s="34" t="str">
        <f t="shared" si="108"/>
        <v/>
      </c>
      <c r="AP108" s="34" t="str">
        <f t="shared" si="108"/>
        <v/>
      </c>
      <c r="AQ108" s="76" t="s">
        <v>142</v>
      </c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  <c r="BG108" s="77"/>
      <c r="BH108" s="77"/>
      <c r="BI108" s="77"/>
      <c r="BJ108" s="77"/>
      <c r="BK108" s="77"/>
      <c r="BL108" s="77"/>
      <c r="BM108" s="78"/>
    </row>
    <row r="109">
      <c r="A109" s="41" t="s">
        <v>69</v>
      </c>
      <c r="B109" s="41" t="b">
        <v>0</v>
      </c>
      <c r="C109" s="41" t="b">
        <f t="shared" si="3"/>
        <v>1</v>
      </c>
      <c r="D109" s="42" t="s">
        <v>502</v>
      </c>
      <c r="E109" s="43" t="s">
        <v>1621</v>
      </c>
      <c r="F109" s="44" t="s">
        <v>1464</v>
      </c>
      <c r="G109" s="29" t="s">
        <v>836</v>
      </c>
      <c r="H109" s="32">
        <v>-0.775538482282901</v>
      </c>
      <c r="I109" s="32">
        <v>4.6665991264449564</v>
      </c>
      <c r="J109" s="45" t="s">
        <v>1622</v>
      </c>
      <c r="K109" s="29">
        <v>28.1</v>
      </c>
      <c r="L109" s="41">
        <v>83.74573529411765</v>
      </c>
      <c r="M109" s="46">
        <v>24.0</v>
      </c>
      <c r="N109" s="46">
        <v>7.0</v>
      </c>
      <c r="O109" s="47">
        <v>0.26940750690212784</v>
      </c>
      <c r="P109" s="47">
        <v>2.0397810856279674</v>
      </c>
      <c r="Q109" s="47">
        <v>-0.4720283733006378</v>
      </c>
      <c r="R109" s="47">
        <v>-1.9482087992591193</v>
      </c>
      <c r="S109" s="47">
        <v>1.4043394336000934</v>
      </c>
      <c r="T109" s="47">
        <v>0.2783171278274757</v>
      </c>
      <c r="U109" s="47">
        <v>0.4674348793507773</v>
      </c>
      <c r="V109" s="47">
        <v>0.0</v>
      </c>
      <c r="W109" s="47">
        <v>-1.070907401013565</v>
      </c>
      <c r="X109" s="47">
        <v>-1.7436739420180205</v>
      </c>
      <c r="Y109" s="50" t="s">
        <v>69</v>
      </c>
      <c r="Z109" s="50" t="s">
        <v>69</v>
      </c>
      <c r="AA109" s="50" t="s">
        <v>69</v>
      </c>
      <c r="AB109" s="50" t="s">
        <v>69</v>
      </c>
      <c r="AC109" s="34" t="str">
        <f t="shared" ref="AC109:AP109" si="109">LET(
  skater, IFERROR(INDEX(AllProj, MATCH($E109, AllProjNames, 0), MATCH(AC$2, AllProjCats, 0) + 1), ""),
  goalie, IFERROR(INDEX(AllGProj, MATCH($E109, AllGProjNames, 0), MATCH(AC$2, AllGProjCats, 0) + 1), ""),
  val, IF(skater &lt;&gt; "", skater, goalie),
  IF(OR($E109="", AC$2="", val=""), "", val * AC$1)
)</f>
        <v/>
      </c>
      <c r="AD109" s="34" t="str">
        <f t="shared" si="109"/>
        <v/>
      </c>
      <c r="AE109" s="34" t="str">
        <f t="shared" si="109"/>
        <v/>
      </c>
      <c r="AF109" s="34" t="str">
        <f t="shared" si="109"/>
        <v/>
      </c>
      <c r="AG109" s="34" t="str">
        <f t="shared" si="109"/>
        <v/>
      </c>
      <c r="AH109" s="34" t="str">
        <f t="shared" si="109"/>
        <v/>
      </c>
      <c r="AI109" s="34" t="str">
        <f t="shared" si="109"/>
        <v/>
      </c>
      <c r="AJ109" s="34" t="str">
        <f t="shared" si="109"/>
        <v/>
      </c>
      <c r="AK109" s="34" t="str">
        <f t="shared" si="109"/>
        <v/>
      </c>
      <c r="AL109" s="34" t="str">
        <f t="shared" si="109"/>
        <v/>
      </c>
      <c r="AM109" s="34" t="str">
        <f t="shared" si="109"/>
        <v/>
      </c>
      <c r="AN109" s="34" t="str">
        <f t="shared" si="109"/>
        <v/>
      </c>
      <c r="AO109" s="34" t="str">
        <f t="shared" si="109"/>
        <v/>
      </c>
      <c r="AP109" s="34" t="str">
        <f t="shared" si="109"/>
        <v/>
      </c>
      <c r="AQ109" s="76" t="s">
        <v>143</v>
      </c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  <c r="BF109" s="77"/>
      <c r="BG109" s="77"/>
      <c r="BH109" s="77"/>
      <c r="BI109" s="77"/>
      <c r="BJ109" s="77"/>
      <c r="BK109" s="77"/>
      <c r="BL109" s="77"/>
      <c r="BM109" s="78"/>
    </row>
    <row r="110">
      <c r="A110" s="79" t="s">
        <v>69</v>
      </c>
      <c r="B110" s="79" t="b">
        <v>0</v>
      </c>
      <c r="C110" s="79" t="b">
        <f t="shared" si="3"/>
        <v>1</v>
      </c>
      <c r="D110" s="80" t="s">
        <v>824</v>
      </c>
      <c r="E110" s="81" t="s">
        <v>1623</v>
      </c>
      <c r="F110" s="82" t="s">
        <v>1419</v>
      </c>
      <c r="G110" s="35" t="s">
        <v>6</v>
      </c>
      <c r="H110" s="37">
        <v>-0.9148389105427164</v>
      </c>
      <c r="I110" s="37">
        <v>3.4233840679273975</v>
      </c>
      <c r="J110" s="83" t="s">
        <v>1624</v>
      </c>
      <c r="K110" s="35">
        <v>28.2</v>
      </c>
      <c r="L110" s="79">
        <v>43.3</v>
      </c>
      <c r="M110" s="84">
        <v>23.0</v>
      </c>
      <c r="N110" s="84">
        <v>7.0</v>
      </c>
      <c r="O110" s="96" t="s">
        <v>69</v>
      </c>
      <c r="P110" s="96" t="s">
        <v>69</v>
      </c>
      <c r="Q110" s="96" t="s">
        <v>69</v>
      </c>
      <c r="R110" s="96" t="s">
        <v>69</v>
      </c>
      <c r="S110" s="96" t="s">
        <v>69</v>
      </c>
      <c r="T110" s="96" t="s">
        <v>69</v>
      </c>
      <c r="U110" s="96" t="s">
        <v>69</v>
      </c>
      <c r="V110" s="96" t="s">
        <v>69</v>
      </c>
      <c r="W110" s="96" t="s">
        <v>69</v>
      </c>
      <c r="X110" s="96" t="s">
        <v>69</v>
      </c>
      <c r="Y110" s="95">
        <v>0.38159158155613043</v>
      </c>
      <c r="Z110" s="95">
        <v>0.961102044870923</v>
      </c>
      <c r="AA110" s="95">
        <v>-2.25753253696977</v>
      </c>
      <c r="AB110" s="95">
        <v>0.0</v>
      </c>
      <c r="AC110" s="34" t="str">
        <f t="shared" ref="AC110:AP110" si="110">LET(
  skater, IFERROR(INDEX(AllProj, MATCH($E110, AllProjNames, 0), MATCH(AC$2, AllProjCats, 0) + 1), ""),
  goalie, IFERROR(INDEX(AllGProj, MATCH($E110, AllGProjNames, 0), MATCH(AC$2, AllGProjCats, 0) + 1), ""),
  val, IF(skater &lt;&gt; "", skater, goalie),
  IF(OR($E110="", AC$2="", val=""), "", val * AC$1)
)</f>
        <v/>
      </c>
      <c r="AD110" s="34" t="str">
        <f t="shared" si="110"/>
        <v/>
      </c>
      <c r="AE110" s="34" t="str">
        <f t="shared" si="110"/>
        <v/>
      </c>
      <c r="AF110" s="34" t="str">
        <f t="shared" si="110"/>
        <v/>
      </c>
      <c r="AG110" s="34" t="str">
        <f t="shared" si="110"/>
        <v/>
      </c>
      <c r="AH110" s="34" t="str">
        <f t="shared" si="110"/>
        <v/>
      </c>
      <c r="AI110" s="34" t="str">
        <f t="shared" si="110"/>
        <v/>
      </c>
      <c r="AJ110" s="34" t="str">
        <f t="shared" si="110"/>
        <v/>
      </c>
      <c r="AK110" s="34" t="str">
        <f t="shared" si="110"/>
        <v/>
      </c>
      <c r="AL110" s="34" t="str">
        <f t="shared" si="110"/>
        <v/>
      </c>
      <c r="AM110" s="34" t="str">
        <f t="shared" si="110"/>
        <v/>
      </c>
      <c r="AN110" s="34" t="str">
        <f t="shared" si="110"/>
        <v/>
      </c>
      <c r="AO110" s="34" t="str">
        <f t="shared" si="110"/>
        <v/>
      </c>
      <c r="AP110" s="34" t="str">
        <f t="shared" si="110"/>
        <v/>
      </c>
      <c r="AQ110" s="76" t="s">
        <v>144</v>
      </c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  <c r="BG110" s="77"/>
      <c r="BH110" s="77"/>
      <c r="BI110" s="77"/>
      <c r="BJ110" s="77"/>
      <c r="BK110" s="77"/>
      <c r="BL110" s="77"/>
      <c r="BM110" s="78"/>
    </row>
    <row r="111">
      <c r="A111" s="41" t="s">
        <v>69</v>
      </c>
      <c r="B111" s="41" t="b">
        <v>0</v>
      </c>
      <c r="C111" s="41" t="b">
        <f t="shared" si="3"/>
        <v>1</v>
      </c>
      <c r="D111" s="42" t="s">
        <v>825</v>
      </c>
      <c r="E111" s="43" t="s">
        <v>1625</v>
      </c>
      <c r="F111" s="44" t="s">
        <v>1489</v>
      </c>
      <c r="G111" s="29" t="s">
        <v>835</v>
      </c>
      <c r="H111" s="32">
        <v>-0.9879370255765814</v>
      </c>
      <c r="I111" s="32">
        <v>4.3999430993361575</v>
      </c>
      <c r="J111" s="45" t="s">
        <v>1626</v>
      </c>
      <c r="K111" s="29">
        <v>34.9</v>
      </c>
      <c r="L111" s="41">
        <v>81.36088235294118</v>
      </c>
      <c r="M111" s="46">
        <v>28.0</v>
      </c>
      <c r="N111" s="46">
        <v>7.0</v>
      </c>
      <c r="O111" s="47">
        <v>1.5911839208258953</v>
      </c>
      <c r="P111" s="47">
        <v>1.905977619350029</v>
      </c>
      <c r="Q111" s="47">
        <v>-0.806654494471928</v>
      </c>
      <c r="R111" s="47">
        <v>-1.6034094995062045</v>
      </c>
      <c r="S111" s="47">
        <v>1.6095052331780066</v>
      </c>
      <c r="T111" s="47">
        <v>-0.7862713445091395</v>
      </c>
      <c r="U111" s="47">
        <v>1.6903212611562588</v>
      </c>
      <c r="V111" s="47">
        <v>0.0</v>
      </c>
      <c r="W111" s="47">
        <v>-2.3465371875945147</v>
      </c>
      <c r="X111" s="47">
        <v>-2.2420525340049844</v>
      </c>
      <c r="Y111" s="50" t="s">
        <v>69</v>
      </c>
      <c r="Z111" s="50" t="s">
        <v>69</v>
      </c>
      <c r="AA111" s="50" t="s">
        <v>69</v>
      </c>
      <c r="AB111" s="50" t="s">
        <v>69</v>
      </c>
      <c r="AC111" s="34" t="str">
        <f t="shared" ref="AC111:AP111" si="111">LET(
  skater, IFERROR(INDEX(AllProj, MATCH($E111, AllProjNames, 0), MATCH(AC$2, AllProjCats, 0) + 1), ""),
  goalie, IFERROR(INDEX(AllGProj, MATCH($E111, AllGProjNames, 0), MATCH(AC$2, AllGProjCats, 0) + 1), ""),
  val, IF(skater &lt;&gt; "", skater, goalie),
  IF(OR($E111="", AC$2="", val=""), "", val * AC$1)
)</f>
        <v/>
      </c>
      <c r="AD111" s="34" t="str">
        <f t="shared" si="111"/>
        <v/>
      </c>
      <c r="AE111" s="34" t="str">
        <f t="shared" si="111"/>
        <v/>
      </c>
      <c r="AF111" s="34" t="str">
        <f t="shared" si="111"/>
        <v/>
      </c>
      <c r="AG111" s="34" t="str">
        <f t="shared" si="111"/>
        <v/>
      </c>
      <c r="AH111" s="34" t="str">
        <f t="shared" si="111"/>
        <v/>
      </c>
      <c r="AI111" s="34" t="str">
        <f t="shared" si="111"/>
        <v/>
      </c>
      <c r="AJ111" s="34" t="str">
        <f t="shared" si="111"/>
        <v/>
      </c>
      <c r="AK111" s="34" t="str">
        <f t="shared" si="111"/>
        <v/>
      </c>
      <c r="AL111" s="34" t="str">
        <f t="shared" si="111"/>
        <v/>
      </c>
      <c r="AM111" s="34" t="str">
        <f t="shared" si="111"/>
        <v/>
      </c>
      <c r="AN111" s="34" t="str">
        <f t="shared" si="111"/>
        <v/>
      </c>
      <c r="AO111" s="34" t="str">
        <f t="shared" si="111"/>
        <v/>
      </c>
      <c r="AP111" s="34" t="str">
        <f t="shared" si="111"/>
        <v/>
      </c>
      <c r="AQ111" s="76" t="s">
        <v>145</v>
      </c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  <c r="BG111" s="77"/>
      <c r="BH111" s="77"/>
      <c r="BI111" s="77"/>
      <c r="BJ111" s="77"/>
      <c r="BK111" s="77"/>
      <c r="BL111" s="77"/>
      <c r="BM111" s="78"/>
    </row>
    <row r="112">
      <c r="A112" s="79" t="s">
        <v>69</v>
      </c>
      <c r="B112" s="79" t="b">
        <v>0</v>
      </c>
      <c r="C112" s="79" t="b">
        <f t="shared" si="3"/>
        <v>1</v>
      </c>
      <c r="D112" s="80" t="s">
        <v>254</v>
      </c>
      <c r="E112" s="81" t="s">
        <v>1627</v>
      </c>
      <c r="F112" s="82" t="s">
        <v>1505</v>
      </c>
      <c r="G112" s="35" t="s">
        <v>837</v>
      </c>
      <c r="H112" s="37">
        <v>-1.1111401154938583</v>
      </c>
      <c r="I112" s="37">
        <v>4.418718656435043</v>
      </c>
      <c r="J112" s="83" t="s">
        <v>1628</v>
      </c>
      <c r="K112" s="35">
        <v>32.7</v>
      </c>
      <c r="L112" s="79">
        <v>82.00470588235294</v>
      </c>
      <c r="M112" s="84">
        <v>30.0</v>
      </c>
      <c r="N112" s="84">
        <v>5.0</v>
      </c>
      <c r="O112" s="85">
        <v>-1.7580155106170257</v>
      </c>
      <c r="P112" s="85">
        <v>-0.4516827404294686</v>
      </c>
      <c r="Q112" s="85">
        <v>-1.9782064665304018</v>
      </c>
      <c r="R112" s="85">
        <v>0.7391221724174525</v>
      </c>
      <c r="S112" s="85">
        <v>-0.8304754465569636</v>
      </c>
      <c r="T112" s="85">
        <v>-0.03769740043325992</v>
      </c>
      <c r="U112" s="85">
        <v>-0.2409819461686203</v>
      </c>
      <c r="V112" s="85">
        <v>0.0</v>
      </c>
      <c r="W112" s="85">
        <v>0.9048242577876249</v>
      </c>
      <c r="X112" s="85">
        <v>2.541972965036804</v>
      </c>
      <c r="Y112" s="50" t="s">
        <v>69</v>
      </c>
      <c r="Z112" s="50" t="s">
        <v>69</v>
      </c>
      <c r="AA112" s="50" t="s">
        <v>69</v>
      </c>
      <c r="AB112" s="50" t="s">
        <v>69</v>
      </c>
      <c r="AC112" s="34" t="str">
        <f t="shared" ref="AC112:AP112" si="112">LET(
  skater, IFERROR(INDEX(AllProj, MATCH($E112, AllProjNames, 0), MATCH(AC$2, AllProjCats, 0) + 1), ""),
  goalie, IFERROR(INDEX(AllGProj, MATCH($E112, AllGProjNames, 0), MATCH(AC$2, AllGProjCats, 0) + 1), ""),
  val, IF(skater &lt;&gt; "", skater, goalie),
  IF(OR($E112="", AC$2="", val=""), "", val * AC$1)
)</f>
        <v/>
      </c>
      <c r="AD112" s="34" t="str">
        <f t="shared" si="112"/>
        <v/>
      </c>
      <c r="AE112" s="34" t="str">
        <f t="shared" si="112"/>
        <v/>
      </c>
      <c r="AF112" s="34" t="str">
        <f t="shared" si="112"/>
        <v/>
      </c>
      <c r="AG112" s="34" t="str">
        <f t="shared" si="112"/>
        <v/>
      </c>
      <c r="AH112" s="34" t="str">
        <f t="shared" si="112"/>
        <v/>
      </c>
      <c r="AI112" s="34" t="str">
        <f t="shared" si="112"/>
        <v/>
      </c>
      <c r="AJ112" s="34" t="str">
        <f t="shared" si="112"/>
        <v/>
      </c>
      <c r="AK112" s="34" t="str">
        <f t="shared" si="112"/>
        <v/>
      </c>
      <c r="AL112" s="34" t="str">
        <f t="shared" si="112"/>
        <v/>
      </c>
      <c r="AM112" s="34" t="str">
        <f t="shared" si="112"/>
        <v/>
      </c>
      <c r="AN112" s="34" t="str">
        <f t="shared" si="112"/>
        <v/>
      </c>
      <c r="AO112" s="34" t="str">
        <f t="shared" si="112"/>
        <v/>
      </c>
      <c r="AP112" s="34" t="str">
        <f t="shared" si="112"/>
        <v/>
      </c>
      <c r="AQ112" s="76" t="s">
        <v>146</v>
      </c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  <c r="BG112" s="77"/>
      <c r="BH112" s="77"/>
      <c r="BI112" s="77"/>
      <c r="BJ112" s="77"/>
      <c r="BK112" s="77"/>
      <c r="BL112" s="77"/>
      <c r="BM112" s="78"/>
    </row>
    <row r="113">
      <c r="A113" s="41">
        <v>2.5</v>
      </c>
      <c r="B113" s="41" t="b">
        <v>0</v>
      </c>
      <c r="C113" s="41" t="b">
        <f t="shared" si="3"/>
        <v>0</v>
      </c>
      <c r="D113" s="42" t="s">
        <v>1565</v>
      </c>
      <c r="E113" s="43" t="s">
        <v>877</v>
      </c>
      <c r="F113" s="44" t="s">
        <v>1482</v>
      </c>
      <c r="G113" s="29" t="s">
        <v>284</v>
      </c>
      <c r="H113" s="32">
        <v>-1.1489927617901692</v>
      </c>
      <c r="I113" s="32">
        <v>3.8890732583929157</v>
      </c>
      <c r="J113" s="45" t="s">
        <v>1629</v>
      </c>
      <c r="K113" s="29">
        <v>25.8</v>
      </c>
      <c r="L113" s="41">
        <v>78.08911764705881</v>
      </c>
      <c r="M113" s="46">
        <v>27.0</v>
      </c>
      <c r="N113" s="46">
        <v>6.0</v>
      </c>
      <c r="O113" s="47">
        <v>0.3654984814257637</v>
      </c>
      <c r="P113" s="47">
        <v>-0.695604738587279</v>
      </c>
      <c r="Q113" s="47">
        <v>0.013752490107534546</v>
      </c>
      <c r="R113" s="47">
        <v>-0.609337961331079</v>
      </c>
      <c r="S113" s="47">
        <v>-0.8943785815631995</v>
      </c>
      <c r="T113" s="47">
        <v>1.4022913158730546</v>
      </c>
      <c r="U113" s="47">
        <v>0.032812365900262506</v>
      </c>
      <c r="V113" s="47">
        <v>0.9628196371975923</v>
      </c>
      <c r="W113" s="47">
        <v>-0.7693674545776715</v>
      </c>
      <c r="X113" s="47">
        <v>-0.9574783162351477</v>
      </c>
      <c r="Y113" s="50" t="s">
        <v>69</v>
      </c>
      <c r="Z113" s="50" t="s">
        <v>69</v>
      </c>
      <c r="AA113" s="50" t="s">
        <v>69</v>
      </c>
      <c r="AB113" s="50" t="s">
        <v>69</v>
      </c>
      <c r="AC113" s="34" t="str">
        <f t="shared" ref="AC113:AP113" si="113">LET(
  skater, IFERROR(INDEX(AllProj, MATCH($E113, AllProjNames, 0), MATCH(AC$2, AllProjCats, 0) + 1), ""),
  goalie, IFERROR(INDEX(AllGProj, MATCH($E113, AllGProjNames, 0), MATCH(AC$2, AllGProjCats, 0) + 1), ""),
  val, IF(skater &lt;&gt; "", skater, goalie),
  IF(OR($E113="", AC$2="", val=""), "", val * AC$1)
)</f>
        <v/>
      </c>
      <c r="AD113" s="34" t="str">
        <f t="shared" si="113"/>
        <v/>
      </c>
      <c r="AE113" s="34" t="str">
        <f t="shared" si="113"/>
        <v/>
      </c>
      <c r="AF113" s="34" t="str">
        <f t="shared" si="113"/>
        <v/>
      </c>
      <c r="AG113" s="34" t="str">
        <f t="shared" si="113"/>
        <v/>
      </c>
      <c r="AH113" s="34" t="str">
        <f t="shared" si="113"/>
        <v/>
      </c>
      <c r="AI113" s="34" t="str">
        <f t="shared" si="113"/>
        <v/>
      </c>
      <c r="AJ113" s="34" t="str">
        <f t="shared" si="113"/>
        <v/>
      </c>
      <c r="AK113" s="34" t="str">
        <f t="shared" si="113"/>
        <v/>
      </c>
      <c r="AL113" s="34" t="str">
        <f t="shared" si="113"/>
        <v/>
      </c>
      <c r="AM113" s="34" t="str">
        <f t="shared" si="113"/>
        <v/>
      </c>
      <c r="AN113" s="34" t="str">
        <f t="shared" si="113"/>
        <v/>
      </c>
      <c r="AO113" s="34" t="str">
        <f t="shared" si="113"/>
        <v/>
      </c>
      <c r="AP113" s="34" t="str">
        <f t="shared" si="113"/>
        <v/>
      </c>
      <c r="AQ113" s="76" t="s">
        <v>147</v>
      </c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7"/>
      <c r="BM113" s="78"/>
    </row>
    <row r="114">
      <c r="A114" s="79" t="s">
        <v>69</v>
      </c>
      <c r="B114" s="79" t="b">
        <v>0</v>
      </c>
      <c r="C114" s="79" t="b">
        <f t="shared" si="3"/>
        <v>1</v>
      </c>
      <c r="D114" s="80" t="s">
        <v>773</v>
      </c>
      <c r="E114" s="81" t="s">
        <v>1630</v>
      </c>
      <c r="F114" s="82" t="s">
        <v>1464</v>
      </c>
      <c r="G114" s="35" t="s">
        <v>836</v>
      </c>
      <c r="H114" s="37">
        <v>-1.1603927704117407</v>
      </c>
      <c r="I114" s="37">
        <v>4.281744838316117</v>
      </c>
      <c r="J114" s="83" t="s">
        <v>1631</v>
      </c>
      <c r="K114" s="35">
        <v>29.9</v>
      </c>
      <c r="L114" s="79">
        <v>81.04132352941176</v>
      </c>
      <c r="M114" s="84">
        <v>24.0</v>
      </c>
      <c r="N114" s="84">
        <v>7.0</v>
      </c>
      <c r="O114" s="85">
        <v>0.8847196848612887</v>
      </c>
      <c r="P114" s="85">
        <v>-0.5756031111640423</v>
      </c>
      <c r="Q114" s="85">
        <v>-1.2682819819479407</v>
      </c>
      <c r="R114" s="85">
        <v>-0.5760725118800423</v>
      </c>
      <c r="S114" s="85">
        <v>-0.051573740204606255</v>
      </c>
      <c r="T114" s="85">
        <v>-0.7681255832936559</v>
      </c>
      <c r="U114" s="85">
        <v>2.0939470264090456</v>
      </c>
      <c r="V114" s="85">
        <v>0.0</v>
      </c>
      <c r="W114" s="85">
        <v>0.05059012220352344</v>
      </c>
      <c r="X114" s="85">
        <v>-0.949992675395311</v>
      </c>
      <c r="Y114" s="50" t="s">
        <v>69</v>
      </c>
      <c r="Z114" s="50" t="s">
        <v>69</v>
      </c>
      <c r="AA114" s="50" t="s">
        <v>69</v>
      </c>
      <c r="AB114" s="50" t="s">
        <v>69</v>
      </c>
      <c r="AC114" s="34" t="str">
        <f t="shared" ref="AC114:AP114" si="114">LET(
  skater, IFERROR(INDEX(AllProj, MATCH($E114, AllProjNames, 0), MATCH(AC$2, AllProjCats, 0) + 1), ""),
  goalie, IFERROR(INDEX(AllGProj, MATCH($E114, AllGProjNames, 0), MATCH(AC$2, AllGProjCats, 0) + 1), ""),
  val, IF(skater &lt;&gt; "", skater, goalie),
  IF(OR($E114="", AC$2="", val=""), "", val * AC$1)
)</f>
        <v/>
      </c>
      <c r="AD114" s="34" t="str">
        <f t="shared" si="114"/>
        <v/>
      </c>
      <c r="AE114" s="34" t="str">
        <f t="shared" si="114"/>
        <v/>
      </c>
      <c r="AF114" s="34" t="str">
        <f t="shared" si="114"/>
        <v/>
      </c>
      <c r="AG114" s="34" t="str">
        <f t="shared" si="114"/>
        <v/>
      </c>
      <c r="AH114" s="34" t="str">
        <f t="shared" si="114"/>
        <v/>
      </c>
      <c r="AI114" s="34" t="str">
        <f t="shared" si="114"/>
        <v/>
      </c>
      <c r="AJ114" s="34" t="str">
        <f t="shared" si="114"/>
        <v/>
      </c>
      <c r="AK114" s="34" t="str">
        <f t="shared" si="114"/>
        <v/>
      </c>
      <c r="AL114" s="34" t="str">
        <f t="shared" si="114"/>
        <v/>
      </c>
      <c r="AM114" s="34" t="str">
        <f t="shared" si="114"/>
        <v/>
      </c>
      <c r="AN114" s="34" t="str">
        <f t="shared" si="114"/>
        <v/>
      </c>
      <c r="AO114" s="34" t="str">
        <f t="shared" si="114"/>
        <v/>
      </c>
      <c r="AP114" s="34" t="str">
        <f t="shared" si="114"/>
        <v/>
      </c>
      <c r="AQ114" s="76" t="s">
        <v>148</v>
      </c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7"/>
      <c r="BK114" s="77"/>
      <c r="BL114" s="77"/>
      <c r="BM114" s="78"/>
    </row>
    <row r="115">
      <c r="A115" s="41" t="s">
        <v>69</v>
      </c>
      <c r="B115" s="41" t="b">
        <v>0</v>
      </c>
      <c r="C115" s="41" t="b">
        <f t="shared" si="3"/>
        <v>1</v>
      </c>
      <c r="D115" s="42" t="s">
        <v>22</v>
      </c>
      <c r="E115" s="43" t="s">
        <v>1632</v>
      </c>
      <c r="F115" s="44" t="s">
        <v>1299</v>
      </c>
      <c r="G115" s="29" t="s">
        <v>832</v>
      </c>
      <c r="H115" s="32">
        <v>-1.1611020926391593</v>
      </c>
      <c r="I115" s="32">
        <v>4.281035516088698</v>
      </c>
      <c r="J115" s="45" t="s">
        <v>1633</v>
      </c>
      <c r="K115" s="29">
        <v>31.5</v>
      </c>
      <c r="L115" s="41">
        <v>78.52441176470587</v>
      </c>
      <c r="M115" s="46">
        <v>31.0</v>
      </c>
      <c r="N115" s="46">
        <v>7.0</v>
      </c>
      <c r="O115" s="47">
        <v>-0.16226459633553544</v>
      </c>
      <c r="P115" s="47">
        <v>-1.2234401428458728</v>
      </c>
      <c r="Q115" s="47">
        <v>-1.842090340806534</v>
      </c>
      <c r="R115" s="47">
        <v>-0.02837157589405755</v>
      </c>
      <c r="S115" s="47">
        <v>-1.0825315467990992</v>
      </c>
      <c r="T115" s="47">
        <v>0.22710287637376947</v>
      </c>
      <c r="U115" s="47">
        <v>-0.05964183639875013</v>
      </c>
      <c r="V115" s="47">
        <v>0.0</v>
      </c>
      <c r="W115" s="47">
        <v>4.727577544683814</v>
      </c>
      <c r="X115" s="47">
        <v>-1.7174424746168928</v>
      </c>
      <c r="Y115" s="50" t="s">
        <v>69</v>
      </c>
      <c r="Z115" s="50" t="s">
        <v>69</v>
      </c>
      <c r="AA115" s="50" t="s">
        <v>69</v>
      </c>
      <c r="AB115" s="50" t="s">
        <v>69</v>
      </c>
      <c r="AC115" s="34" t="str">
        <f t="shared" ref="AC115:AP115" si="115">LET(
  skater, IFERROR(INDEX(AllProj, MATCH($E115, AllProjNames, 0), MATCH(AC$2, AllProjCats, 0) + 1), ""),
  goalie, IFERROR(INDEX(AllGProj, MATCH($E115, AllGProjNames, 0), MATCH(AC$2, AllGProjCats, 0) + 1), ""),
  val, IF(skater &lt;&gt; "", skater, goalie),
  IF(OR($E115="", AC$2="", val=""), "", val * AC$1)
)</f>
        <v/>
      </c>
      <c r="AD115" s="34" t="str">
        <f t="shared" si="115"/>
        <v/>
      </c>
      <c r="AE115" s="34" t="str">
        <f t="shared" si="115"/>
        <v/>
      </c>
      <c r="AF115" s="34" t="str">
        <f t="shared" si="115"/>
        <v/>
      </c>
      <c r="AG115" s="34" t="str">
        <f t="shared" si="115"/>
        <v/>
      </c>
      <c r="AH115" s="34" t="str">
        <f t="shared" si="115"/>
        <v/>
      </c>
      <c r="AI115" s="34" t="str">
        <f t="shared" si="115"/>
        <v/>
      </c>
      <c r="AJ115" s="34" t="str">
        <f t="shared" si="115"/>
        <v/>
      </c>
      <c r="AK115" s="34" t="str">
        <f t="shared" si="115"/>
        <v/>
      </c>
      <c r="AL115" s="34" t="str">
        <f t="shared" si="115"/>
        <v/>
      </c>
      <c r="AM115" s="34" t="str">
        <f t="shared" si="115"/>
        <v/>
      </c>
      <c r="AN115" s="34" t="str">
        <f t="shared" si="115"/>
        <v/>
      </c>
      <c r="AO115" s="34" t="str">
        <f t="shared" si="115"/>
        <v/>
      </c>
      <c r="AP115" s="34" t="str">
        <f t="shared" si="115"/>
        <v/>
      </c>
      <c r="AQ115" s="76" t="s">
        <v>149</v>
      </c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7"/>
      <c r="BK115" s="77"/>
      <c r="BL115" s="77"/>
      <c r="BM115" s="78"/>
    </row>
    <row r="116">
      <c r="A116" s="79" t="s">
        <v>69</v>
      </c>
      <c r="B116" s="79" t="b">
        <v>0</v>
      </c>
      <c r="C116" s="79" t="b">
        <f t="shared" si="3"/>
        <v>1</v>
      </c>
      <c r="D116" s="80" t="s">
        <v>825</v>
      </c>
      <c r="E116" s="81" t="s">
        <v>1634</v>
      </c>
      <c r="F116" s="82" t="s">
        <v>279</v>
      </c>
      <c r="G116" s="35" t="s">
        <v>837</v>
      </c>
      <c r="H116" s="37">
        <v>-1.2078652757803048</v>
      </c>
      <c r="I116" s="37">
        <v>4.321993496148597</v>
      </c>
      <c r="J116" s="83" t="s">
        <v>1635</v>
      </c>
      <c r="K116" s="35">
        <v>34.9</v>
      </c>
      <c r="L116" s="79">
        <v>79.22229166666666</v>
      </c>
      <c r="M116" s="84">
        <v>34.0</v>
      </c>
      <c r="N116" s="84">
        <v>7.0</v>
      </c>
      <c r="O116" s="85">
        <v>-2.0528450094022728</v>
      </c>
      <c r="P116" s="85">
        <v>-0.8940168004814047</v>
      </c>
      <c r="Q116" s="85">
        <v>1.957250587909617</v>
      </c>
      <c r="R116" s="85">
        <v>1.7902011969988125</v>
      </c>
      <c r="S116" s="85">
        <v>-1.712003390146099</v>
      </c>
      <c r="T116" s="85">
        <v>-0.3069116123608059</v>
      </c>
      <c r="U116" s="85">
        <v>-1.1123222060198847</v>
      </c>
      <c r="V116" s="85">
        <v>0.0</v>
      </c>
      <c r="W116" s="85">
        <v>0.7650516199323092</v>
      </c>
      <c r="X116" s="85">
        <v>0.3577303377894242</v>
      </c>
      <c r="Y116" s="50" t="s">
        <v>69</v>
      </c>
      <c r="Z116" s="50" t="s">
        <v>69</v>
      </c>
      <c r="AA116" s="50" t="s">
        <v>69</v>
      </c>
      <c r="AB116" s="50" t="s">
        <v>69</v>
      </c>
      <c r="AC116" s="34" t="str">
        <f t="shared" ref="AC116:AP116" si="116">LET(
  skater, IFERROR(INDEX(AllProj, MATCH($E116, AllProjNames, 0), MATCH(AC$2, AllProjCats, 0) + 1), ""),
  goalie, IFERROR(INDEX(AllGProj, MATCH($E116, AllGProjNames, 0), MATCH(AC$2, AllGProjCats, 0) + 1), ""),
  val, IF(skater &lt;&gt; "", skater, goalie),
  IF(OR($E116="", AC$2="", val=""), "", val * AC$1)
)</f>
        <v/>
      </c>
      <c r="AD116" s="34" t="str">
        <f t="shared" si="116"/>
        <v/>
      </c>
      <c r="AE116" s="34" t="str">
        <f t="shared" si="116"/>
        <v/>
      </c>
      <c r="AF116" s="34" t="str">
        <f t="shared" si="116"/>
        <v/>
      </c>
      <c r="AG116" s="34" t="str">
        <f t="shared" si="116"/>
        <v/>
      </c>
      <c r="AH116" s="34" t="str">
        <f t="shared" si="116"/>
        <v/>
      </c>
      <c r="AI116" s="34" t="str">
        <f t="shared" si="116"/>
        <v/>
      </c>
      <c r="AJ116" s="34" t="str">
        <f t="shared" si="116"/>
        <v/>
      </c>
      <c r="AK116" s="34" t="str">
        <f t="shared" si="116"/>
        <v/>
      </c>
      <c r="AL116" s="34" t="str">
        <f t="shared" si="116"/>
        <v/>
      </c>
      <c r="AM116" s="34" t="str">
        <f t="shared" si="116"/>
        <v/>
      </c>
      <c r="AN116" s="34" t="str">
        <f t="shared" si="116"/>
        <v/>
      </c>
      <c r="AO116" s="34" t="str">
        <f t="shared" si="116"/>
        <v/>
      </c>
      <c r="AP116" s="34" t="str">
        <f t="shared" si="116"/>
        <v/>
      </c>
      <c r="AQ116" s="76" t="s">
        <v>150</v>
      </c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7"/>
      <c r="BK116" s="77"/>
      <c r="BL116" s="77"/>
      <c r="BM116" s="78"/>
    </row>
    <row r="117">
      <c r="A117" s="41" t="s">
        <v>69</v>
      </c>
      <c r="B117" s="41" t="b">
        <v>0</v>
      </c>
      <c r="C117" s="41" t="b">
        <f t="shared" si="3"/>
        <v>1</v>
      </c>
      <c r="D117" s="42" t="s">
        <v>254</v>
      </c>
      <c r="E117" s="43" t="s">
        <v>1636</v>
      </c>
      <c r="F117" s="44" t="s">
        <v>1505</v>
      </c>
      <c r="G117" s="29" t="s">
        <v>837</v>
      </c>
      <c r="H117" s="32">
        <v>-1.238597594784994</v>
      </c>
      <c r="I117" s="32">
        <v>4.291261177143907</v>
      </c>
      <c r="J117" s="45" t="s">
        <v>1637</v>
      </c>
      <c r="K117" s="29">
        <v>28.2</v>
      </c>
      <c r="L117" s="41">
        <v>80.4410294117647</v>
      </c>
      <c r="M117" s="46">
        <v>30.0</v>
      </c>
      <c r="N117" s="46">
        <v>5.0</v>
      </c>
      <c r="O117" s="47">
        <v>-1.2293517551570412</v>
      </c>
      <c r="P117" s="47">
        <v>1.221354688253384</v>
      </c>
      <c r="Q117" s="47">
        <v>-1.4115645694352428</v>
      </c>
      <c r="R117" s="47">
        <v>-0.4032886348644207</v>
      </c>
      <c r="S117" s="47">
        <v>1.2355682138634867</v>
      </c>
      <c r="T117" s="47">
        <v>-0.1368367156551586</v>
      </c>
      <c r="U117" s="47">
        <v>-0.3407648046979832</v>
      </c>
      <c r="V117" s="47">
        <v>0.0</v>
      </c>
      <c r="W117" s="47">
        <v>-1.5417080857635037</v>
      </c>
      <c r="X117" s="47">
        <v>1.3679940686714858</v>
      </c>
      <c r="Y117" s="50" t="s">
        <v>69</v>
      </c>
      <c r="Z117" s="50" t="s">
        <v>69</v>
      </c>
      <c r="AA117" s="50" t="s">
        <v>69</v>
      </c>
      <c r="AB117" s="50" t="s">
        <v>69</v>
      </c>
      <c r="AC117" s="34" t="str">
        <f t="shared" ref="AC117:AP117" si="117">LET(
  skater, IFERROR(INDEX(AllProj, MATCH($E117, AllProjNames, 0), MATCH(AC$2, AllProjCats, 0) + 1), ""),
  goalie, IFERROR(INDEX(AllGProj, MATCH($E117, AllGProjNames, 0), MATCH(AC$2, AllGProjCats, 0) + 1), ""),
  val, IF(skater &lt;&gt; "", skater, goalie),
  IF(OR($E117="", AC$2="", val=""), "", val * AC$1)
)</f>
        <v/>
      </c>
      <c r="AD117" s="34" t="str">
        <f t="shared" si="117"/>
        <v/>
      </c>
      <c r="AE117" s="34" t="str">
        <f t="shared" si="117"/>
        <v/>
      </c>
      <c r="AF117" s="34" t="str">
        <f t="shared" si="117"/>
        <v/>
      </c>
      <c r="AG117" s="34" t="str">
        <f t="shared" si="117"/>
        <v/>
      </c>
      <c r="AH117" s="34" t="str">
        <f t="shared" si="117"/>
        <v/>
      </c>
      <c r="AI117" s="34" t="str">
        <f t="shared" si="117"/>
        <v/>
      </c>
      <c r="AJ117" s="34" t="str">
        <f t="shared" si="117"/>
        <v/>
      </c>
      <c r="AK117" s="34" t="str">
        <f t="shared" si="117"/>
        <v/>
      </c>
      <c r="AL117" s="34" t="str">
        <f t="shared" si="117"/>
        <v/>
      </c>
      <c r="AM117" s="34" t="str">
        <f t="shared" si="117"/>
        <v/>
      </c>
      <c r="AN117" s="34" t="str">
        <f t="shared" si="117"/>
        <v/>
      </c>
      <c r="AO117" s="34" t="str">
        <f t="shared" si="117"/>
        <v/>
      </c>
      <c r="AP117" s="34" t="str">
        <f t="shared" si="117"/>
        <v/>
      </c>
      <c r="AQ117" s="76" t="s">
        <v>151</v>
      </c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 s="77"/>
      <c r="BH117" s="77"/>
      <c r="BI117" s="77"/>
      <c r="BJ117" s="77"/>
      <c r="BK117" s="77"/>
      <c r="BL117" s="77"/>
      <c r="BM117" s="78"/>
    </row>
    <row r="118">
      <c r="A118" s="79" t="s">
        <v>69</v>
      </c>
      <c r="B118" s="79" t="b">
        <v>0</v>
      </c>
      <c r="C118" s="79" t="b">
        <f t="shared" si="3"/>
        <v>1</v>
      </c>
      <c r="D118" s="80" t="s">
        <v>773</v>
      </c>
      <c r="E118" s="81" t="s">
        <v>1638</v>
      </c>
      <c r="F118" s="82" t="s">
        <v>854</v>
      </c>
      <c r="G118" s="35" t="s">
        <v>837</v>
      </c>
      <c r="H118" s="37">
        <v>-1.4212536199075174</v>
      </c>
      <c r="I118" s="37">
        <v>4.108605152021384</v>
      </c>
      <c r="J118" s="83" t="s">
        <v>1639</v>
      </c>
      <c r="K118" s="35">
        <v>36.7</v>
      </c>
      <c r="L118" s="79">
        <v>79.8820588235294</v>
      </c>
      <c r="M118" s="84">
        <v>16.0</v>
      </c>
      <c r="N118" s="84">
        <v>6.0</v>
      </c>
      <c r="O118" s="85">
        <v>-1.2292977668128466</v>
      </c>
      <c r="P118" s="85">
        <v>1.1295114336950822</v>
      </c>
      <c r="Q118" s="85">
        <v>0.6952243216295227</v>
      </c>
      <c r="R118" s="85">
        <v>-1.028530136047758</v>
      </c>
      <c r="S118" s="85">
        <v>0.3224079807410616</v>
      </c>
      <c r="T118" s="85">
        <v>-0.4703974531231911</v>
      </c>
      <c r="U118" s="85">
        <v>0.010997961631766926</v>
      </c>
      <c r="V118" s="85">
        <v>0.0</v>
      </c>
      <c r="W118" s="85">
        <v>-1.8350161437604937</v>
      </c>
      <c r="X118" s="85">
        <v>0.9838461821393386</v>
      </c>
      <c r="Y118" s="50" t="s">
        <v>69</v>
      </c>
      <c r="Z118" s="50" t="s">
        <v>69</v>
      </c>
      <c r="AA118" s="50" t="s">
        <v>69</v>
      </c>
      <c r="AB118" s="50" t="s">
        <v>69</v>
      </c>
      <c r="AC118" s="34" t="str">
        <f t="shared" ref="AC118:AP118" si="118">LET(
  skater, IFERROR(INDEX(AllProj, MATCH($E118, AllProjNames, 0), MATCH(AC$2, AllProjCats, 0) + 1), ""),
  goalie, IFERROR(INDEX(AllGProj, MATCH($E118, AllGProjNames, 0), MATCH(AC$2, AllGProjCats, 0) + 1), ""),
  val, IF(skater &lt;&gt; "", skater, goalie),
  IF(OR($E118="", AC$2="", val=""), "", val * AC$1)
)</f>
        <v/>
      </c>
      <c r="AD118" s="34" t="str">
        <f t="shared" si="118"/>
        <v/>
      </c>
      <c r="AE118" s="34" t="str">
        <f t="shared" si="118"/>
        <v/>
      </c>
      <c r="AF118" s="34" t="str">
        <f t="shared" si="118"/>
        <v/>
      </c>
      <c r="AG118" s="34" t="str">
        <f t="shared" si="118"/>
        <v/>
      </c>
      <c r="AH118" s="34" t="str">
        <f t="shared" si="118"/>
        <v/>
      </c>
      <c r="AI118" s="34" t="str">
        <f t="shared" si="118"/>
        <v/>
      </c>
      <c r="AJ118" s="34" t="str">
        <f t="shared" si="118"/>
        <v/>
      </c>
      <c r="AK118" s="34" t="str">
        <f t="shared" si="118"/>
        <v/>
      </c>
      <c r="AL118" s="34" t="str">
        <f t="shared" si="118"/>
        <v/>
      </c>
      <c r="AM118" s="34" t="str">
        <f t="shared" si="118"/>
        <v/>
      </c>
      <c r="AN118" s="34" t="str">
        <f t="shared" si="118"/>
        <v/>
      </c>
      <c r="AO118" s="34" t="str">
        <f t="shared" si="118"/>
        <v/>
      </c>
      <c r="AP118" s="34" t="str">
        <f t="shared" si="118"/>
        <v/>
      </c>
      <c r="AQ118" s="76" t="s">
        <v>152</v>
      </c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  <c r="BF118" s="77"/>
      <c r="BG118" s="77"/>
      <c r="BH118" s="77"/>
      <c r="BI118" s="77"/>
      <c r="BJ118" s="77"/>
      <c r="BK118" s="77"/>
      <c r="BL118" s="77"/>
      <c r="BM118" s="78"/>
    </row>
    <row r="119">
      <c r="A119" s="41" t="s">
        <v>69</v>
      </c>
      <c r="B119" s="41" t="b">
        <v>0</v>
      </c>
      <c r="C119" s="41" t="b">
        <f t="shared" si="3"/>
        <v>1</v>
      </c>
      <c r="D119" s="42" t="s">
        <v>824</v>
      </c>
      <c r="E119" s="43" t="s">
        <v>1640</v>
      </c>
      <c r="F119" s="44" t="s">
        <v>1299</v>
      </c>
      <c r="G119" s="29" t="s">
        <v>837</v>
      </c>
      <c r="H119" s="32">
        <v>-1.4699530434417665</v>
      </c>
      <c r="I119" s="32">
        <v>4.059905728487134</v>
      </c>
      <c r="J119" s="45" t="s">
        <v>1641</v>
      </c>
      <c r="K119" s="29">
        <v>31.6</v>
      </c>
      <c r="L119" s="41">
        <v>82.07735294117647</v>
      </c>
      <c r="M119" s="46">
        <v>31.0</v>
      </c>
      <c r="N119" s="46">
        <v>7.0</v>
      </c>
      <c r="O119" s="47">
        <v>-1.7959582487547703</v>
      </c>
      <c r="P119" s="47">
        <v>-0.9724364715464042</v>
      </c>
      <c r="Q119" s="47">
        <v>-1.526909261701922</v>
      </c>
      <c r="R119" s="47">
        <v>1.9765911772455393</v>
      </c>
      <c r="S119" s="47">
        <v>-1.5520129235065456</v>
      </c>
      <c r="T119" s="47">
        <v>-0.047793608205821264</v>
      </c>
      <c r="U119" s="47">
        <v>-0.02271166144475656</v>
      </c>
      <c r="V119" s="47">
        <v>0.0</v>
      </c>
      <c r="W119" s="47">
        <v>0.34875876653420057</v>
      </c>
      <c r="X119" s="47">
        <v>2.122519187938713</v>
      </c>
      <c r="Y119" s="50" t="s">
        <v>69</v>
      </c>
      <c r="Z119" s="50" t="s">
        <v>69</v>
      </c>
      <c r="AA119" s="50" t="s">
        <v>69</v>
      </c>
      <c r="AB119" s="50" t="s">
        <v>69</v>
      </c>
      <c r="AC119" s="34" t="str">
        <f t="shared" ref="AC119:AP119" si="119">LET(
  skater, IFERROR(INDEX(AllProj, MATCH($E119, AllProjNames, 0), MATCH(AC$2, AllProjCats, 0) + 1), ""),
  goalie, IFERROR(INDEX(AllGProj, MATCH($E119, AllGProjNames, 0), MATCH(AC$2, AllGProjCats, 0) + 1), ""),
  val, IF(skater &lt;&gt; "", skater, goalie),
  IF(OR($E119="", AC$2="", val=""), "", val * AC$1)
)</f>
        <v/>
      </c>
      <c r="AD119" s="34" t="str">
        <f t="shared" si="119"/>
        <v/>
      </c>
      <c r="AE119" s="34" t="str">
        <f t="shared" si="119"/>
        <v/>
      </c>
      <c r="AF119" s="34" t="str">
        <f t="shared" si="119"/>
        <v/>
      </c>
      <c r="AG119" s="34" t="str">
        <f t="shared" si="119"/>
        <v/>
      </c>
      <c r="AH119" s="34" t="str">
        <f t="shared" si="119"/>
        <v/>
      </c>
      <c r="AI119" s="34" t="str">
        <f t="shared" si="119"/>
        <v/>
      </c>
      <c r="AJ119" s="34" t="str">
        <f t="shared" si="119"/>
        <v/>
      </c>
      <c r="AK119" s="34" t="str">
        <f t="shared" si="119"/>
        <v/>
      </c>
      <c r="AL119" s="34" t="str">
        <f t="shared" si="119"/>
        <v/>
      </c>
      <c r="AM119" s="34" t="str">
        <f t="shared" si="119"/>
        <v/>
      </c>
      <c r="AN119" s="34" t="str">
        <f t="shared" si="119"/>
        <v/>
      </c>
      <c r="AO119" s="34" t="str">
        <f t="shared" si="119"/>
        <v/>
      </c>
      <c r="AP119" s="34" t="str">
        <f t="shared" si="119"/>
        <v/>
      </c>
      <c r="AQ119" s="76" t="s">
        <v>153</v>
      </c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  <c r="BF119" s="77"/>
      <c r="BG119" s="77"/>
      <c r="BH119" s="77"/>
      <c r="BI119" s="77"/>
      <c r="BJ119" s="77"/>
      <c r="BK119" s="77"/>
      <c r="BL119" s="77"/>
      <c r="BM119" s="78"/>
    </row>
    <row r="120">
      <c r="A120" s="79" t="s">
        <v>69</v>
      </c>
      <c r="B120" s="79" t="b">
        <v>0</v>
      </c>
      <c r="C120" s="79" t="b">
        <f t="shared" si="3"/>
        <v>1</v>
      </c>
      <c r="D120" s="80" t="s">
        <v>826</v>
      </c>
      <c r="E120" s="81" t="s">
        <v>1642</v>
      </c>
      <c r="F120" s="82" t="s">
        <v>1419</v>
      </c>
      <c r="G120" s="35" t="s">
        <v>836</v>
      </c>
      <c r="H120" s="37">
        <v>-1.4786425838822892</v>
      </c>
      <c r="I120" s="37">
        <v>3.9634950248455683</v>
      </c>
      <c r="J120" s="83" t="s">
        <v>1643</v>
      </c>
      <c r="K120" s="35">
        <v>30.6</v>
      </c>
      <c r="L120" s="79">
        <v>81.21926470588235</v>
      </c>
      <c r="M120" s="84">
        <v>23.0</v>
      </c>
      <c r="N120" s="84">
        <v>7.0</v>
      </c>
      <c r="O120" s="85">
        <v>0.6428280938797377</v>
      </c>
      <c r="P120" s="85">
        <v>0.9023946660675773</v>
      </c>
      <c r="Q120" s="85">
        <v>1.1512977810447234</v>
      </c>
      <c r="R120" s="85">
        <v>-1.7115960798828074</v>
      </c>
      <c r="S120" s="85">
        <v>1.1806862023921447</v>
      </c>
      <c r="T120" s="85">
        <v>-0.7840203840298666</v>
      </c>
      <c r="U120" s="85">
        <v>1.0368450008619847</v>
      </c>
      <c r="V120" s="85">
        <v>0.0</v>
      </c>
      <c r="W120" s="85">
        <v>-2.06570218114351</v>
      </c>
      <c r="X120" s="85">
        <v>-1.8313756830722732</v>
      </c>
      <c r="Y120" s="50" t="s">
        <v>69</v>
      </c>
      <c r="Z120" s="50" t="s">
        <v>69</v>
      </c>
      <c r="AA120" s="50" t="s">
        <v>69</v>
      </c>
      <c r="AB120" s="50" t="s">
        <v>69</v>
      </c>
      <c r="AC120" s="34" t="str">
        <f t="shared" ref="AC120:AP120" si="120">LET(
  skater, IFERROR(INDEX(AllProj, MATCH($E120, AllProjNames, 0), MATCH(AC$2, AllProjCats, 0) + 1), ""),
  goalie, IFERROR(INDEX(AllGProj, MATCH($E120, AllGProjNames, 0), MATCH(AC$2, AllGProjCats, 0) + 1), ""),
  val, IF(skater &lt;&gt; "", skater, goalie),
  IF(OR($E120="", AC$2="", val=""), "", val * AC$1)
)</f>
        <v/>
      </c>
      <c r="AD120" s="34" t="str">
        <f t="shared" si="120"/>
        <v/>
      </c>
      <c r="AE120" s="34" t="str">
        <f t="shared" si="120"/>
        <v/>
      </c>
      <c r="AF120" s="34" t="str">
        <f t="shared" si="120"/>
        <v/>
      </c>
      <c r="AG120" s="34" t="str">
        <f t="shared" si="120"/>
        <v/>
      </c>
      <c r="AH120" s="34" t="str">
        <f t="shared" si="120"/>
        <v/>
      </c>
      <c r="AI120" s="34" t="str">
        <f t="shared" si="120"/>
        <v/>
      </c>
      <c r="AJ120" s="34" t="str">
        <f t="shared" si="120"/>
        <v/>
      </c>
      <c r="AK120" s="34" t="str">
        <f t="shared" si="120"/>
        <v/>
      </c>
      <c r="AL120" s="34" t="str">
        <f t="shared" si="120"/>
        <v/>
      </c>
      <c r="AM120" s="34" t="str">
        <f t="shared" si="120"/>
        <v/>
      </c>
      <c r="AN120" s="34" t="str">
        <f t="shared" si="120"/>
        <v/>
      </c>
      <c r="AO120" s="34" t="str">
        <f t="shared" si="120"/>
        <v/>
      </c>
      <c r="AP120" s="34" t="str">
        <f t="shared" si="120"/>
        <v/>
      </c>
      <c r="AQ120" s="76" t="s">
        <v>154</v>
      </c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  <c r="BF120" s="77"/>
      <c r="BG120" s="77"/>
      <c r="BH120" s="77"/>
      <c r="BI120" s="77"/>
      <c r="BJ120" s="77"/>
      <c r="BK120" s="77"/>
      <c r="BL120" s="77"/>
      <c r="BM120" s="78"/>
    </row>
    <row r="121">
      <c r="A121" s="41" t="s">
        <v>69</v>
      </c>
      <c r="B121" s="41" t="b">
        <v>0</v>
      </c>
      <c r="C121" s="41" t="b">
        <f t="shared" si="3"/>
        <v>1</v>
      </c>
      <c r="D121" s="42" t="s">
        <v>22</v>
      </c>
      <c r="E121" s="43" t="s">
        <v>1644</v>
      </c>
      <c r="F121" s="44" t="s">
        <v>1429</v>
      </c>
      <c r="G121" s="29" t="s">
        <v>6</v>
      </c>
      <c r="H121" s="32">
        <v>-1.4856870228097507</v>
      </c>
      <c r="I121" s="32">
        <v>2.852535955660363</v>
      </c>
      <c r="J121" s="45" t="s">
        <v>1645</v>
      </c>
      <c r="K121" s="29">
        <v>28.3</v>
      </c>
      <c r="L121" s="41">
        <v>36.6</v>
      </c>
      <c r="M121" s="46">
        <v>24.0</v>
      </c>
      <c r="N121" s="46">
        <v>7.0</v>
      </c>
      <c r="O121" s="94" t="s">
        <v>69</v>
      </c>
      <c r="P121" s="94" t="s">
        <v>69</v>
      </c>
      <c r="Q121" s="94" t="s">
        <v>69</v>
      </c>
      <c r="R121" s="94" t="s">
        <v>69</v>
      </c>
      <c r="S121" s="94" t="s">
        <v>69</v>
      </c>
      <c r="T121" s="94" t="s">
        <v>69</v>
      </c>
      <c r="U121" s="94" t="s">
        <v>69</v>
      </c>
      <c r="V121" s="94" t="s">
        <v>69</v>
      </c>
      <c r="W121" s="94" t="s">
        <v>69</v>
      </c>
      <c r="X121" s="94" t="s">
        <v>69</v>
      </c>
      <c r="Y121" s="95">
        <v>-1.0786932068777682</v>
      </c>
      <c r="Z121" s="95">
        <v>-0.4656725122455251</v>
      </c>
      <c r="AA121" s="95">
        <v>0.058678696313542666</v>
      </c>
      <c r="AB121" s="95">
        <v>0.0</v>
      </c>
      <c r="AC121" s="34" t="str">
        <f t="shared" ref="AC121:AP121" si="121">LET(
  skater, IFERROR(INDEX(AllProj, MATCH($E121, AllProjNames, 0), MATCH(AC$2, AllProjCats, 0) + 1), ""),
  goalie, IFERROR(INDEX(AllGProj, MATCH($E121, AllGProjNames, 0), MATCH(AC$2, AllGProjCats, 0) + 1), ""),
  val, IF(skater &lt;&gt; "", skater, goalie),
  IF(OR($E121="", AC$2="", val=""), "", val * AC$1)
)</f>
        <v/>
      </c>
      <c r="AD121" s="34" t="str">
        <f t="shared" si="121"/>
        <v/>
      </c>
      <c r="AE121" s="34" t="str">
        <f t="shared" si="121"/>
        <v/>
      </c>
      <c r="AF121" s="34" t="str">
        <f t="shared" si="121"/>
        <v/>
      </c>
      <c r="AG121" s="34" t="str">
        <f t="shared" si="121"/>
        <v/>
      </c>
      <c r="AH121" s="34" t="str">
        <f t="shared" si="121"/>
        <v/>
      </c>
      <c r="AI121" s="34" t="str">
        <f t="shared" si="121"/>
        <v/>
      </c>
      <c r="AJ121" s="34" t="str">
        <f t="shared" si="121"/>
        <v/>
      </c>
      <c r="AK121" s="34" t="str">
        <f t="shared" si="121"/>
        <v/>
      </c>
      <c r="AL121" s="34" t="str">
        <f t="shared" si="121"/>
        <v/>
      </c>
      <c r="AM121" s="34" t="str">
        <f t="shared" si="121"/>
        <v/>
      </c>
      <c r="AN121" s="34" t="str">
        <f t="shared" si="121"/>
        <v/>
      </c>
      <c r="AO121" s="34" t="str">
        <f t="shared" si="121"/>
        <v/>
      </c>
      <c r="AP121" s="34" t="str">
        <f t="shared" si="121"/>
        <v/>
      </c>
      <c r="AQ121" s="76" t="s">
        <v>155</v>
      </c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  <c r="BF121" s="77"/>
      <c r="BG121" s="77"/>
      <c r="BH121" s="77"/>
      <c r="BI121" s="77"/>
      <c r="BJ121" s="77"/>
      <c r="BK121" s="77"/>
      <c r="BL121" s="77"/>
      <c r="BM121" s="78"/>
    </row>
    <row r="122">
      <c r="A122" s="79" t="s">
        <v>69</v>
      </c>
      <c r="B122" s="79" t="b">
        <v>0</v>
      </c>
      <c r="C122" s="79" t="b">
        <f t="shared" si="3"/>
        <v>1</v>
      </c>
      <c r="D122" s="80" t="s">
        <v>773</v>
      </c>
      <c r="E122" s="81" t="s">
        <v>1646</v>
      </c>
      <c r="F122" s="82" t="s">
        <v>1482</v>
      </c>
      <c r="G122" s="35" t="s">
        <v>836</v>
      </c>
      <c r="H122" s="37">
        <v>-1.4892757640836065</v>
      </c>
      <c r="I122" s="37">
        <v>3.952861844644251</v>
      </c>
      <c r="J122" s="83" t="s">
        <v>1647</v>
      </c>
      <c r="K122" s="35">
        <v>28.4</v>
      </c>
      <c r="L122" s="79">
        <v>82.61720588235295</v>
      </c>
      <c r="M122" s="84">
        <v>27.0</v>
      </c>
      <c r="N122" s="84">
        <v>6.0</v>
      </c>
      <c r="O122" s="85">
        <v>0.9717887127383908</v>
      </c>
      <c r="P122" s="85">
        <v>0.5900590872394282</v>
      </c>
      <c r="Q122" s="85">
        <v>-1.2061079340791079</v>
      </c>
      <c r="R122" s="85">
        <v>-0.85847284782462</v>
      </c>
      <c r="S122" s="85">
        <v>1.519400434505044</v>
      </c>
      <c r="T122" s="85">
        <v>-0.7842393979202164</v>
      </c>
      <c r="U122" s="85">
        <v>0.28623766923024047</v>
      </c>
      <c r="V122" s="85">
        <v>0.0</v>
      </c>
      <c r="W122" s="85">
        <v>-0.11688969625822604</v>
      </c>
      <c r="X122" s="85">
        <v>-1.89105179171454</v>
      </c>
      <c r="Y122" s="50" t="s">
        <v>69</v>
      </c>
      <c r="Z122" s="50" t="s">
        <v>69</v>
      </c>
      <c r="AA122" s="50" t="s">
        <v>69</v>
      </c>
      <c r="AB122" s="50" t="s">
        <v>69</v>
      </c>
      <c r="AC122" s="34" t="str">
        <f t="shared" ref="AC122:AP122" si="122">LET(
  skater, IFERROR(INDEX(AllProj, MATCH($E122, AllProjNames, 0), MATCH(AC$2, AllProjCats, 0) + 1), ""),
  goalie, IFERROR(INDEX(AllGProj, MATCH($E122, AllGProjNames, 0), MATCH(AC$2, AllGProjCats, 0) + 1), ""),
  val, IF(skater &lt;&gt; "", skater, goalie),
  IF(OR($E122="", AC$2="", val=""), "", val * AC$1)
)</f>
        <v/>
      </c>
      <c r="AD122" s="34" t="str">
        <f t="shared" si="122"/>
        <v/>
      </c>
      <c r="AE122" s="34" t="str">
        <f t="shared" si="122"/>
        <v/>
      </c>
      <c r="AF122" s="34" t="str">
        <f t="shared" si="122"/>
        <v/>
      </c>
      <c r="AG122" s="34" t="str">
        <f t="shared" si="122"/>
        <v/>
      </c>
      <c r="AH122" s="34" t="str">
        <f t="shared" si="122"/>
        <v/>
      </c>
      <c r="AI122" s="34" t="str">
        <f t="shared" si="122"/>
        <v/>
      </c>
      <c r="AJ122" s="34" t="str">
        <f t="shared" si="122"/>
        <v/>
      </c>
      <c r="AK122" s="34" t="str">
        <f t="shared" si="122"/>
        <v/>
      </c>
      <c r="AL122" s="34" t="str">
        <f t="shared" si="122"/>
        <v/>
      </c>
      <c r="AM122" s="34" t="str">
        <f t="shared" si="122"/>
        <v/>
      </c>
      <c r="AN122" s="34" t="str">
        <f t="shared" si="122"/>
        <v/>
      </c>
      <c r="AO122" s="34" t="str">
        <f t="shared" si="122"/>
        <v/>
      </c>
      <c r="AP122" s="34" t="str">
        <f t="shared" si="122"/>
        <v/>
      </c>
      <c r="AQ122" s="76" t="s">
        <v>156</v>
      </c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  <c r="BF122" s="77"/>
      <c r="BG122" s="77"/>
      <c r="BH122" s="77"/>
      <c r="BI122" s="77"/>
      <c r="BJ122" s="77"/>
      <c r="BK122" s="77"/>
      <c r="BL122" s="77"/>
      <c r="BM122" s="78"/>
    </row>
    <row r="123">
      <c r="A123" s="41" t="s">
        <v>69</v>
      </c>
      <c r="B123" s="41" t="b">
        <v>0</v>
      </c>
      <c r="C123" s="41" t="b">
        <f t="shared" si="3"/>
        <v>1</v>
      </c>
      <c r="D123" s="42" t="s">
        <v>773</v>
      </c>
      <c r="E123" s="43" t="s">
        <v>1648</v>
      </c>
      <c r="F123" s="44" t="s">
        <v>1464</v>
      </c>
      <c r="G123" s="29" t="s">
        <v>6</v>
      </c>
      <c r="H123" s="32">
        <v>-1.558002607857207</v>
      </c>
      <c r="I123" s="32">
        <v>2.780220370612907</v>
      </c>
      <c r="J123" s="45" t="s">
        <v>1649</v>
      </c>
      <c r="K123" s="29">
        <v>36.1</v>
      </c>
      <c r="L123" s="41">
        <v>45.6</v>
      </c>
      <c r="M123" s="46">
        <v>24.0</v>
      </c>
      <c r="N123" s="46">
        <v>7.0</v>
      </c>
      <c r="O123" s="94" t="s">
        <v>69</v>
      </c>
      <c r="P123" s="94" t="s">
        <v>69</v>
      </c>
      <c r="Q123" s="94" t="s">
        <v>69</v>
      </c>
      <c r="R123" s="94" t="s">
        <v>69</v>
      </c>
      <c r="S123" s="94" t="s">
        <v>69</v>
      </c>
      <c r="T123" s="94" t="s">
        <v>69</v>
      </c>
      <c r="U123" s="94" t="s">
        <v>69</v>
      </c>
      <c r="V123" s="94" t="s">
        <v>69</v>
      </c>
      <c r="W123" s="94" t="s">
        <v>69</v>
      </c>
      <c r="X123" s="94" t="s">
        <v>69</v>
      </c>
      <c r="Y123" s="95">
        <v>-0.437837857432422</v>
      </c>
      <c r="Z123" s="95">
        <v>-0.6549385249242392</v>
      </c>
      <c r="AA123" s="95">
        <v>-0.46522622550054576</v>
      </c>
      <c r="AB123" s="95">
        <v>0.0</v>
      </c>
      <c r="AC123" s="34" t="str">
        <f t="shared" ref="AC123:AP123" si="123">LET(
  skater, IFERROR(INDEX(AllProj, MATCH($E123, AllProjNames, 0), MATCH(AC$2, AllProjCats, 0) + 1), ""),
  goalie, IFERROR(INDEX(AllGProj, MATCH($E123, AllGProjNames, 0), MATCH(AC$2, AllGProjCats, 0) + 1), ""),
  val, IF(skater &lt;&gt; "", skater, goalie),
  IF(OR($E123="", AC$2="", val=""), "", val * AC$1)
)</f>
        <v/>
      </c>
      <c r="AD123" s="34" t="str">
        <f t="shared" si="123"/>
        <v/>
      </c>
      <c r="AE123" s="34" t="str">
        <f t="shared" si="123"/>
        <v/>
      </c>
      <c r="AF123" s="34" t="str">
        <f t="shared" si="123"/>
        <v/>
      </c>
      <c r="AG123" s="34" t="str">
        <f t="shared" si="123"/>
        <v/>
      </c>
      <c r="AH123" s="34" t="str">
        <f t="shared" si="123"/>
        <v/>
      </c>
      <c r="AI123" s="34" t="str">
        <f t="shared" si="123"/>
        <v/>
      </c>
      <c r="AJ123" s="34" t="str">
        <f t="shared" si="123"/>
        <v/>
      </c>
      <c r="AK123" s="34" t="str">
        <f t="shared" si="123"/>
        <v/>
      </c>
      <c r="AL123" s="34" t="str">
        <f t="shared" si="123"/>
        <v/>
      </c>
      <c r="AM123" s="34" t="str">
        <f t="shared" si="123"/>
        <v/>
      </c>
      <c r="AN123" s="34" t="str">
        <f t="shared" si="123"/>
        <v/>
      </c>
      <c r="AO123" s="34" t="str">
        <f t="shared" si="123"/>
        <v/>
      </c>
      <c r="AP123" s="34" t="str">
        <f t="shared" si="123"/>
        <v/>
      </c>
      <c r="AQ123" s="76" t="s">
        <v>157</v>
      </c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  <c r="BF123" s="77"/>
      <c r="BG123" s="77"/>
      <c r="BH123" s="77"/>
      <c r="BI123" s="77"/>
      <c r="BJ123" s="77"/>
      <c r="BK123" s="77"/>
      <c r="BL123" s="77"/>
      <c r="BM123" s="78"/>
    </row>
    <row r="124">
      <c r="A124" s="79" t="s">
        <v>69</v>
      </c>
      <c r="B124" s="79" t="b">
        <v>0</v>
      </c>
      <c r="C124" s="79" t="b">
        <f t="shared" si="3"/>
        <v>1</v>
      </c>
      <c r="D124" s="80" t="s">
        <v>773</v>
      </c>
      <c r="E124" s="81" t="s">
        <v>1650</v>
      </c>
      <c r="F124" s="82" t="s">
        <v>1416</v>
      </c>
      <c r="G124" s="35" t="s">
        <v>6</v>
      </c>
      <c r="H124" s="37">
        <v>-1.5583870409005776</v>
      </c>
      <c r="I124" s="37">
        <v>2.779835937569536</v>
      </c>
      <c r="J124" s="83" t="s">
        <v>1651</v>
      </c>
      <c r="K124" s="35">
        <v>25.3</v>
      </c>
      <c r="L124" s="79">
        <v>45.6</v>
      </c>
      <c r="M124" s="84">
        <v>29.0</v>
      </c>
      <c r="N124" s="84">
        <v>7.0</v>
      </c>
      <c r="O124" s="96" t="s">
        <v>69</v>
      </c>
      <c r="P124" s="96" t="s">
        <v>69</v>
      </c>
      <c r="Q124" s="96" t="s">
        <v>69</v>
      </c>
      <c r="R124" s="96" t="s">
        <v>69</v>
      </c>
      <c r="S124" s="96" t="s">
        <v>69</v>
      </c>
      <c r="T124" s="96" t="s">
        <v>69</v>
      </c>
      <c r="U124" s="96" t="s">
        <v>69</v>
      </c>
      <c r="V124" s="96" t="s">
        <v>69</v>
      </c>
      <c r="W124" s="96" t="s">
        <v>69</v>
      </c>
      <c r="X124" s="96" t="s">
        <v>69</v>
      </c>
      <c r="Y124" s="95">
        <v>-0.11241412231585791</v>
      </c>
      <c r="Z124" s="95">
        <v>-1.3392079553780432</v>
      </c>
      <c r="AA124" s="95">
        <v>-0.10676496320667646</v>
      </c>
      <c r="AB124" s="95">
        <v>0.0</v>
      </c>
      <c r="AC124" s="34" t="str">
        <f t="shared" ref="AC124:AP124" si="124">LET(
  skater, IFERROR(INDEX(AllProj, MATCH($E124, AllProjNames, 0), MATCH(AC$2, AllProjCats, 0) + 1), ""),
  goalie, IFERROR(INDEX(AllGProj, MATCH($E124, AllGProjNames, 0), MATCH(AC$2, AllGProjCats, 0) + 1), ""),
  val, IF(skater &lt;&gt; "", skater, goalie),
  IF(OR($E124="", AC$2="", val=""), "", val * AC$1)
)</f>
        <v/>
      </c>
      <c r="AD124" s="34" t="str">
        <f t="shared" si="124"/>
        <v/>
      </c>
      <c r="AE124" s="34" t="str">
        <f t="shared" si="124"/>
        <v/>
      </c>
      <c r="AF124" s="34" t="str">
        <f t="shared" si="124"/>
        <v/>
      </c>
      <c r="AG124" s="34" t="str">
        <f t="shared" si="124"/>
        <v/>
      </c>
      <c r="AH124" s="34" t="str">
        <f t="shared" si="124"/>
        <v/>
      </c>
      <c r="AI124" s="34" t="str">
        <f t="shared" si="124"/>
        <v/>
      </c>
      <c r="AJ124" s="34" t="str">
        <f t="shared" si="124"/>
        <v/>
      </c>
      <c r="AK124" s="34" t="str">
        <f t="shared" si="124"/>
        <v/>
      </c>
      <c r="AL124" s="34" t="str">
        <f t="shared" si="124"/>
        <v/>
      </c>
      <c r="AM124" s="34" t="str">
        <f t="shared" si="124"/>
        <v/>
      </c>
      <c r="AN124" s="34" t="str">
        <f t="shared" si="124"/>
        <v/>
      </c>
      <c r="AO124" s="34" t="str">
        <f t="shared" si="124"/>
        <v/>
      </c>
      <c r="AP124" s="34" t="str">
        <f t="shared" si="124"/>
        <v/>
      </c>
      <c r="AQ124" s="76" t="s">
        <v>158</v>
      </c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  <c r="BF124" s="77"/>
      <c r="BG124" s="77"/>
      <c r="BH124" s="77"/>
      <c r="BI124" s="77"/>
      <c r="BJ124" s="77"/>
      <c r="BK124" s="77"/>
      <c r="BL124" s="77"/>
      <c r="BM124" s="78"/>
    </row>
    <row r="125">
      <c r="A125" s="41" t="s">
        <v>69</v>
      </c>
      <c r="B125" s="41" t="b">
        <v>0</v>
      </c>
      <c r="C125" s="41" t="b">
        <f t="shared" si="3"/>
        <v>1</v>
      </c>
      <c r="D125" s="42" t="s">
        <v>22</v>
      </c>
      <c r="E125" s="43" t="s">
        <v>1652</v>
      </c>
      <c r="F125" s="44" t="s">
        <v>1411</v>
      </c>
      <c r="G125" s="29" t="s">
        <v>284</v>
      </c>
      <c r="H125" s="32">
        <v>-1.6489599304962923</v>
      </c>
      <c r="I125" s="32">
        <v>3.389106089686793</v>
      </c>
      <c r="J125" s="45" t="s">
        <v>1653</v>
      </c>
      <c r="K125" s="29">
        <v>29.5</v>
      </c>
      <c r="L125" s="41">
        <v>82.70735294117648</v>
      </c>
      <c r="M125" s="46">
        <v>33.0</v>
      </c>
      <c r="N125" s="46">
        <v>8.0</v>
      </c>
      <c r="O125" s="47">
        <v>0.15047569406405928</v>
      </c>
      <c r="P125" s="47">
        <v>0.8809489729459424</v>
      </c>
      <c r="Q125" s="47">
        <v>-0.5903427133635357</v>
      </c>
      <c r="R125" s="47">
        <v>-0.7396753394773126</v>
      </c>
      <c r="S125" s="47">
        <v>1.1072480581592965</v>
      </c>
      <c r="T125" s="47">
        <v>-0.777112377955197</v>
      </c>
      <c r="U125" s="47">
        <v>-0.49134897582580583</v>
      </c>
      <c r="V125" s="47">
        <v>2.2609835396809603</v>
      </c>
      <c r="W125" s="47">
        <v>-2.343441441623867</v>
      </c>
      <c r="X125" s="47">
        <v>-1.1066953471008325</v>
      </c>
      <c r="Y125" s="50" t="s">
        <v>69</v>
      </c>
      <c r="Z125" s="50" t="s">
        <v>69</v>
      </c>
      <c r="AA125" s="50" t="s">
        <v>69</v>
      </c>
      <c r="AB125" s="50" t="s">
        <v>69</v>
      </c>
      <c r="AC125" s="34" t="str">
        <f t="shared" ref="AC125:AP125" si="125">LET(
  skater, IFERROR(INDEX(AllProj, MATCH($E125, AllProjNames, 0), MATCH(AC$2, AllProjCats, 0) + 1), ""),
  goalie, IFERROR(INDEX(AllGProj, MATCH($E125, AllGProjNames, 0), MATCH(AC$2, AllGProjCats, 0) + 1), ""),
  val, IF(skater &lt;&gt; "", skater, goalie),
  IF(OR($E125="", AC$2="", val=""), "", val * AC$1)
)</f>
        <v/>
      </c>
      <c r="AD125" s="34" t="str">
        <f t="shared" si="125"/>
        <v/>
      </c>
      <c r="AE125" s="34" t="str">
        <f t="shared" si="125"/>
        <v/>
      </c>
      <c r="AF125" s="34" t="str">
        <f t="shared" si="125"/>
        <v/>
      </c>
      <c r="AG125" s="34" t="str">
        <f t="shared" si="125"/>
        <v/>
      </c>
      <c r="AH125" s="34" t="str">
        <f t="shared" si="125"/>
        <v/>
      </c>
      <c r="AI125" s="34" t="str">
        <f t="shared" si="125"/>
        <v/>
      </c>
      <c r="AJ125" s="34" t="str">
        <f t="shared" si="125"/>
        <v/>
      </c>
      <c r="AK125" s="34" t="str">
        <f t="shared" si="125"/>
        <v/>
      </c>
      <c r="AL125" s="34" t="str">
        <f t="shared" si="125"/>
        <v/>
      </c>
      <c r="AM125" s="34" t="str">
        <f t="shared" si="125"/>
        <v/>
      </c>
      <c r="AN125" s="34" t="str">
        <f t="shared" si="125"/>
        <v/>
      </c>
      <c r="AO125" s="34" t="str">
        <f t="shared" si="125"/>
        <v/>
      </c>
      <c r="AP125" s="34" t="str">
        <f t="shared" si="125"/>
        <v/>
      </c>
      <c r="AQ125" s="76" t="s">
        <v>159</v>
      </c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  <c r="BF125" s="77"/>
      <c r="BG125" s="77"/>
      <c r="BH125" s="77"/>
      <c r="BI125" s="77"/>
      <c r="BJ125" s="77"/>
      <c r="BK125" s="77"/>
      <c r="BL125" s="77"/>
      <c r="BM125" s="78"/>
    </row>
    <row r="126">
      <c r="A126" s="79" t="s">
        <v>69</v>
      </c>
      <c r="B126" s="79" t="b">
        <v>0</v>
      </c>
      <c r="C126" s="79" t="b">
        <f t="shared" si="3"/>
        <v>1</v>
      </c>
      <c r="D126" s="80" t="s">
        <v>502</v>
      </c>
      <c r="E126" s="81" t="s">
        <v>1654</v>
      </c>
      <c r="F126" s="82" t="s">
        <v>1454</v>
      </c>
      <c r="G126" s="35" t="s">
        <v>6</v>
      </c>
      <c r="H126" s="37">
        <v>-1.709043111344942</v>
      </c>
      <c r="I126" s="37">
        <v>2.629179867125172</v>
      </c>
      <c r="J126" s="83" t="s">
        <v>1655</v>
      </c>
      <c r="K126" s="35">
        <v>27.5</v>
      </c>
      <c r="L126" s="79">
        <v>45.0</v>
      </c>
      <c r="M126" s="84">
        <v>25.0</v>
      </c>
      <c r="N126" s="84">
        <v>6.0</v>
      </c>
      <c r="O126" s="96" t="s">
        <v>69</v>
      </c>
      <c r="P126" s="96" t="s">
        <v>69</v>
      </c>
      <c r="Q126" s="96" t="s">
        <v>69</v>
      </c>
      <c r="R126" s="96" t="s">
        <v>69</v>
      </c>
      <c r="S126" s="96" t="s">
        <v>69</v>
      </c>
      <c r="T126" s="96" t="s">
        <v>69</v>
      </c>
      <c r="U126" s="96" t="s">
        <v>69</v>
      </c>
      <c r="V126" s="96" t="s">
        <v>69</v>
      </c>
      <c r="W126" s="96" t="s">
        <v>69</v>
      </c>
      <c r="X126" s="96" t="s">
        <v>69</v>
      </c>
      <c r="Y126" s="95">
        <v>-0.17659677290519812</v>
      </c>
      <c r="Z126" s="95">
        <v>-1.1499419426993382</v>
      </c>
      <c r="AA126" s="95">
        <v>-0.3825043957404056</v>
      </c>
      <c r="AB126" s="95">
        <v>0.0</v>
      </c>
      <c r="AC126" s="34" t="str">
        <f t="shared" ref="AC126:AP126" si="126">LET(
  skater, IFERROR(INDEX(AllProj, MATCH($E126, AllProjNames, 0), MATCH(AC$2, AllProjCats, 0) + 1), ""),
  goalie, IFERROR(INDEX(AllGProj, MATCH($E126, AllGProjNames, 0), MATCH(AC$2, AllGProjCats, 0) + 1), ""),
  val, IF(skater &lt;&gt; "", skater, goalie),
  IF(OR($E126="", AC$2="", val=""), "", val * AC$1)
)</f>
        <v/>
      </c>
      <c r="AD126" s="34" t="str">
        <f t="shared" si="126"/>
        <v/>
      </c>
      <c r="AE126" s="34" t="str">
        <f t="shared" si="126"/>
        <v/>
      </c>
      <c r="AF126" s="34" t="str">
        <f t="shared" si="126"/>
        <v/>
      </c>
      <c r="AG126" s="34" t="str">
        <f t="shared" si="126"/>
        <v/>
      </c>
      <c r="AH126" s="34" t="str">
        <f t="shared" si="126"/>
        <v/>
      </c>
      <c r="AI126" s="34" t="str">
        <f t="shared" si="126"/>
        <v/>
      </c>
      <c r="AJ126" s="34" t="str">
        <f t="shared" si="126"/>
        <v/>
      </c>
      <c r="AK126" s="34" t="str">
        <f t="shared" si="126"/>
        <v/>
      </c>
      <c r="AL126" s="34" t="str">
        <f t="shared" si="126"/>
        <v/>
      </c>
      <c r="AM126" s="34" t="str">
        <f t="shared" si="126"/>
        <v/>
      </c>
      <c r="AN126" s="34" t="str">
        <f t="shared" si="126"/>
        <v/>
      </c>
      <c r="AO126" s="34" t="str">
        <f t="shared" si="126"/>
        <v/>
      </c>
      <c r="AP126" s="34" t="str">
        <f t="shared" si="126"/>
        <v/>
      </c>
      <c r="AQ126" s="76" t="s">
        <v>160</v>
      </c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  <c r="BF126" s="77"/>
      <c r="BG126" s="77"/>
      <c r="BH126" s="77"/>
      <c r="BI126" s="77"/>
      <c r="BJ126" s="77"/>
      <c r="BK126" s="77"/>
      <c r="BL126" s="77"/>
      <c r="BM126" s="78"/>
    </row>
    <row r="127">
      <c r="A127" s="41" t="s">
        <v>69</v>
      </c>
      <c r="B127" s="41" t="b">
        <v>0</v>
      </c>
      <c r="C127" s="41" t="b">
        <f t="shared" si="3"/>
        <v>1</v>
      </c>
      <c r="D127" s="42" t="s">
        <v>502</v>
      </c>
      <c r="E127" s="43" t="s">
        <v>1656</v>
      </c>
      <c r="F127" s="44" t="s">
        <v>1419</v>
      </c>
      <c r="G127" s="29" t="s">
        <v>837</v>
      </c>
      <c r="H127" s="32">
        <v>-1.711061032094191</v>
      </c>
      <c r="I127" s="32">
        <v>3.81879773983471</v>
      </c>
      <c r="J127" s="45" t="s">
        <v>1657</v>
      </c>
      <c r="K127" s="29">
        <v>31.8</v>
      </c>
      <c r="L127" s="41">
        <v>81.92857142857143</v>
      </c>
      <c r="M127" s="46">
        <v>23.0</v>
      </c>
      <c r="N127" s="46">
        <v>7.0</v>
      </c>
      <c r="O127" s="47">
        <v>-1.57009921502749</v>
      </c>
      <c r="P127" s="47">
        <v>-0.9965783656765738</v>
      </c>
      <c r="Q127" s="47">
        <v>1.3154657668816128</v>
      </c>
      <c r="R127" s="47">
        <v>0.4149694139450291</v>
      </c>
      <c r="S127" s="47">
        <v>-1.5320868558648821</v>
      </c>
      <c r="T127" s="47">
        <v>-0.16952108464970286</v>
      </c>
      <c r="U127" s="47">
        <v>-0.011145055808582719</v>
      </c>
      <c r="V127" s="47">
        <v>0.0</v>
      </c>
      <c r="W127" s="47">
        <v>-0.04772864140451803</v>
      </c>
      <c r="X127" s="47">
        <v>0.8856630055109165</v>
      </c>
      <c r="Y127" s="50" t="s">
        <v>69</v>
      </c>
      <c r="Z127" s="50" t="s">
        <v>69</v>
      </c>
      <c r="AA127" s="50" t="s">
        <v>69</v>
      </c>
      <c r="AB127" s="50" t="s">
        <v>69</v>
      </c>
      <c r="AC127" s="34" t="str">
        <f t="shared" ref="AC127:AP127" si="127">LET(
  skater, IFERROR(INDEX(AllProj, MATCH($E127, AllProjNames, 0), MATCH(AC$2, AllProjCats, 0) + 1), ""),
  goalie, IFERROR(INDEX(AllGProj, MATCH($E127, AllGProjNames, 0), MATCH(AC$2, AllGProjCats, 0) + 1), ""),
  val, IF(skater &lt;&gt; "", skater, goalie),
  IF(OR($E127="", AC$2="", val=""), "", val * AC$1)
)</f>
        <v/>
      </c>
      <c r="AD127" s="34" t="str">
        <f t="shared" si="127"/>
        <v/>
      </c>
      <c r="AE127" s="34" t="str">
        <f t="shared" si="127"/>
        <v/>
      </c>
      <c r="AF127" s="34" t="str">
        <f t="shared" si="127"/>
        <v/>
      </c>
      <c r="AG127" s="34" t="str">
        <f t="shared" si="127"/>
        <v/>
      </c>
      <c r="AH127" s="34" t="str">
        <f t="shared" si="127"/>
        <v/>
      </c>
      <c r="AI127" s="34" t="str">
        <f t="shared" si="127"/>
        <v/>
      </c>
      <c r="AJ127" s="34" t="str">
        <f t="shared" si="127"/>
        <v/>
      </c>
      <c r="AK127" s="34" t="str">
        <f t="shared" si="127"/>
        <v/>
      </c>
      <c r="AL127" s="34" t="str">
        <f t="shared" si="127"/>
        <v/>
      </c>
      <c r="AM127" s="34" t="str">
        <f t="shared" si="127"/>
        <v/>
      </c>
      <c r="AN127" s="34" t="str">
        <f t="shared" si="127"/>
        <v/>
      </c>
      <c r="AO127" s="34" t="str">
        <f t="shared" si="127"/>
        <v/>
      </c>
      <c r="AP127" s="34" t="str">
        <f t="shared" si="127"/>
        <v/>
      </c>
      <c r="AQ127" s="76" t="s">
        <v>161</v>
      </c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77"/>
      <c r="BI127" s="77"/>
      <c r="BJ127" s="77"/>
      <c r="BK127" s="77"/>
      <c r="BL127" s="77"/>
      <c r="BM127" s="78"/>
    </row>
    <row r="128">
      <c r="A128" s="79" t="s">
        <v>69</v>
      </c>
      <c r="B128" s="79" t="b">
        <v>0</v>
      </c>
      <c r="C128" s="79" t="b">
        <f t="shared" si="3"/>
        <v>1</v>
      </c>
      <c r="D128" s="80" t="s">
        <v>825</v>
      </c>
      <c r="E128" s="81" t="s">
        <v>1658</v>
      </c>
      <c r="F128" s="82" t="s">
        <v>1436</v>
      </c>
      <c r="G128" s="35" t="s">
        <v>837</v>
      </c>
      <c r="H128" s="37">
        <v>-1.800246658295157</v>
      </c>
      <c r="I128" s="37">
        <v>3.729612113633744</v>
      </c>
      <c r="J128" s="83" t="s">
        <v>1659</v>
      </c>
      <c r="K128" s="35">
        <v>31.5</v>
      </c>
      <c r="L128" s="79">
        <v>81.54720588235294</v>
      </c>
      <c r="M128" s="84">
        <v>26.0</v>
      </c>
      <c r="N128" s="84">
        <v>5.0</v>
      </c>
      <c r="O128" s="85">
        <v>-1.107461430952993</v>
      </c>
      <c r="P128" s="85">
        <v>1.1993112634575414</v>
      </c>
      <c r="Q128" s="85">
        <v>0.06129092085513806</v>
      </c>
      <c r="R128" s="85">
        <v>-0.8237364011889379</v>
      </c>
      <c r="S128" s="85">
        <v>0.5280849172696424</v>
      </c>
      <c r="T128" s="85">
        <v>-0.7727215873922626</v>
      </c>
      <c r="U128" s="85">
        <v>-0.08106994157611663</v>
      </c>
      <c r="V128" s="85">
        <v>0.0</v>
      </c>
      <c r="W128" s="85">
        <v>-1.6285414849378248</v>
      </c>
      <c r="X128" s="85">
        <v>0.8245970861706562</v>
      </c>
      <c r="Y128" s="50" t="s">
        <v>69</v>
      </c>
      <c r="Z128" s="50" t="s">
        <v>69</v>
      </c>
      <c r="AA128" s="50" t="s">
        <v>69</v>
      </c>
      <c r="AB128" s="50" t="s">
        <v>69</v>
      </c>
      <c r="AC128" s="34" t="str">
        <f t="shared" ref="AC128:AP128" si="128">LET(
  skater, IFERROR(INDEX(AllProj, MATCH($E128, AllProjNames, 0), MATCH(AC$2, AllProjCats, 0) + 1), ""),
  goalie, IFERROR(INDEX(AllGProj, MATCH($E128, AllGProjNames, 0), MATCH(AC$2, AllGProjCats, 0) + 1), ""),
  val, IF(skater &lt;&gt; "", skater, goalie),
  IF(OR($E128="", AC$2="", val=""), "", val * AC$1)
)</f>
        <v/>
      </c>
      <c r="AD128" s="34" t="str">
        <f t="shared" si="128"/>
        <v/>
      </c>
      <c r="AE128" s="34" t="str">
        <f t="shared" si="128"/>
        <v/>
      </c>
      <c r="AF128" s="34" t="str">
        <f t="shared" si="128"/>
        <v/>
      </c>
      <c r="AG128" s="34" t="str">
        <f t="shared" si="128"/>
        <v/>
      </c>
      <c r="AH128" s="34" t="str">
        <f t="shared" si="128"/>
        <v/>
      </c>
      <c r="AI128" s="34" t="str">
        <f t="shared" si="128"/>
        <v/>
      </c>
      <c r="AJ128" s="34" t="str">
        <f t="shared" si="128"/>
        <v/>
      </c>
      <c r="AK128" s="34" t="str">
        <f t="shared" si="128"/>
        <v/>
      </c>
      <c r="AL128" s="34" t="str">
        <f t="shared" si="128"/>
        <v/>
      </c>
      <c r="AM128" s="34" t="str">
        <f t="shared" si="128"/>
        <v/>
      </c>
      <c r="AN128" s="34" t="str">
        <f t="shared" si="128"/>
        <v/>
      </c>
      <c r="AO128" s="34" t="str">
        <f t="shared" si="128"/>
        <v/>
      </c>
      <c r="AP128" s="34" t="str">
        <f t="shared" si="128"/>
        <v/>
      </c>
      <c r="AQ128" s="76" t="s">
        <v>162</v>
      </c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  <c r="BM128" s="78"/>
    </row>
    <row r="129">
      <c r="A129" s="41" t="s">
        <v>69</v>
      </c>
      <c r="B129" s="41" t="b">
        <v>0</v>
      </c>
      <c r="C129" s="41" t="b">
        <f t="shared" si="3"/>
        <v>1</v>
      </c>
      <c r="D129" s="42" t="s">
        <v>254</v>
      </c>
      <c r="E129" s="43" t="s">
        <v>1660</v>
      </c>
      <c r="F129" s="44" t="s">
        <v>1489</v>
      </c>
      <c r="G129" s="29" t="s">
        <v>6</v>
      </c>
      <c r="H129" s="32">
        <v>-1.8657084313292749</v>
      </c>
      <c r="I129" s="32">
        <v>2.4725145471408387</v>
      </c>
      <c r="J129" s="45" t="s">
        <v>1661</v>
      </c>
      <c r="K129" s="29">
        <v>33.8</v>
      </c>
      <c r="L129" s="41">
        <v>34.8</v>
      </c>
      <c r="M129" s="46">
        <v>28.0</v>
      </c>
      <c r="N129" s="46">
        <v>7.0</v>
      </c>
      <c r="O129" s="94" t="s">
        <v>69</v>
      </c>
      <c r="P129" s="94" t="s">
        <v>69</v>
      </c>
      <c r="Q129" s="94" t="s">
        <v>69</v>
      </c>
      <c r="R129" s="94" t="s">
        <v>69</v>
      </c>
      <c r="S129" s="94" t="s">
        <v>69</v>
      </c>
      <c r="T129" s="94" t="s">
        <v>69</v>
      </c>
      <c r="U129" s="94" t="s">
        <v>69</v>
      </c>
      <c r="V129" s="94" t="s">
        <v>69</v>
      </c>
      <c r="W129" s="94" t="s">
        <v>69</v>
      </c>
      <c r="X129" s="94" t="s">
        <v>69</v>
      </c>
      <c r="Y129" s="95">
        <v>-1.5415355793943402</v>
      </c>
      <c r="Z129" s="95">
        <v>0.3933040068347853</v>
      </c>
      <c r="AA129" s="95">
        <v>-0.7685396012876754</v>
      </c>
      <c r="AB129" s="95">
        <v>0.05106274251795527</v>
      </c>
      <c r="AC129" s="34" t="str">
        <f t="shared" ref="AC129:AP129" si="129">LET(
  skater, IFERROR(INDEX(AllProj, MATCH($E129, AllProjNames, 0), MATCH(AC$2, AllProjCats, 0) + 1), ""),
  goalie, IFERROR(INDEX(AllGProj, MATCH($E129, AllGProjNames, 0), MATCH(AC$2, AllGProjCats, 0) + 1), ""),
  val, IF(skater &lt;&gt; "", skater, goalie),
  IF(OR($E129="", AC$2="", val=""), "", val * AC$1)
)</f>
        <v/>
      </c>
      <c r="AD129" s="34" t="str">
        <f t="shared" si="129"/>
        <v/>
      </c>
      <c r="AE129" s="34" t="str">
        <f t="shared" si="129"/>
        <v/>
      </c>
      <c r="AF129" s="34" t="str">
        <f t="shared" si="129"/>
        <v/>
      </c>
      <c r="AG129" s="34" t="str">
        <f t="shared" si="129"/>
        <v/>
      </c>
      <c r="AH129" s="34" t="str">
        <f t="shared" si="129"/>
        <v/>
      </c>
      <c r="AI129" s="34" t="str">
        <f t="shared" si="129"/>
        <v/>
      </c>
      <c r="AJ129" s="34" t="str">
        <f t="shared" si="129"/>
        <v/>
      </c>
      <c r="AK129" s="34" t="str">
        <f t="shared" si="129"/>
        <v/>
      </c>
      <c r="AL129" s="34" t="str">
        <f t="shared" si="129"/>
        <v/>
      </c>
      <c r="AM129" s="34" t="str">
        <f t="shared" si="129"/>
        <v/>
      </c>
      <c r="AN129" s="34" t="str">
        <f t="shared" si="129"/>
        <v/>
      </c>
      <c r="AO129" s="34" t="str">
        <f t="shared" si="129"/>
        <v/>
      </c>
      <c r="AP129" s="34" t="str">
        <f t="shared" si="129"/>
        <v/>
      </c>
      <c r="AQ129" s="76" t="s">
        <v>163</v>
      </c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  <c r="BF129" s="77"/>
      <c r="BG129" s="77"/>
      <c r="BH129" s="77"/>
      <c r="BI129" s="77"/>
      <c r="BJ129" s="77"/>
      <c r="BK129" s="77"/>
      <c r="BL129" s="77"/>
      <c r="BM129" s="78"/>
    </row>
    <row r="130">
      <c r="A130" s="79" t="s">
        <v>69</v>
      </c>
      <c r="B130" s="79" t="b">
        <v>0</v>
      </c>
      <c r="C130" s="79" t="b">
        <f t="shared" si="3"/>
        <v>1</v>
      </c>
      <c r="D130" s="80" t="s">
        <v>826</v>
      </c>
      <c r="E130" s="81" t="s">
        <v>1662</v>
      </c>
      <c r="F130" s="82" t="s">
        <v>279</v>
      </c>
      <c r="G130" s="35" t="s">
        <v>835</v>
      </c>
      <c r="H130" s="37">
        <v>-1.963774389159136</v>
      </c>
      <c r="I130" s="37">
        <v>3.424105735753603</v>
      </c>
      <c r="J130" s="83" t="s">
        <v>1663</v>
      </c>
      <c r="K130" s="35">
        <v>33.8</v>
      </c>
      <c r="L130" s="79">
        <v>72.17647058823529</v>
      </c>
      <c r="M130" s="84">
        <v>34.0</v>
      </c>
      <c r="N130" s="84">
        <v>7.0</v>
      </c>
      <c r="O130" s="85">
        <v>-0.2833160306838777</v>
      </c>
      <c r="P130" s="85">
        <v>-0.42805191336630577</v>
      </c>
      <c r="Q130" s="85">
        <v>1.8826359220669666</v>
      </c>
      <c r="R130" s="85">
        <v>0.3693705026595607</v>
      </c>
      <c r="S130" s="85">
        <v>-0.7781783106484716</v>
      </c>
      <c r="T130" s="85">
        <v>-0.7789752135329593</v>
      </c>
      <c r="U130" s="85">
        <v>-0.05047639812879604</v>
      </c>
      <c r="V130" s="85">
        <v>0.0</v>
      </c>
      <c r="W130" s="85">
        <v>-0.4742653795634667</v>
      </c>
      <c r="X130" s="85">
        <v>-1.422517567961786</v>
      </c>
      <c r="Y130" s="50" t="s">
        <v>69</v>
      </c>
      <c r="Z130" s="50" t="s">
        <v>69</v>
      </c>
      <c r="AA130" s="50" t="s">
        <v>69</v>
      </c>
      <c r="AB130" s="50" t="s">
        <v>69</v>
      </c>
      <c r="AC130" s="34" t="str">
        <f t="shared" ref="AC130:AP130" si="130">LET(
  skater, IFERROR(INDEX(AllProj, MATCH($E130, AllProjNames, 0), MATCH(AC$2, AllProjCats, 0) + 1), ""),
  goalie, IFERROR(INDEX(AllGProj, MATCH($E130, AllGProjNames, 0), MATCH(AC$2, AllGProjCats, 0) + 1), ""),
  val, IF(skater &lt;&gt; "", skater, goalie),
  IF(OR($E130="", AC$2="", val=""), "", val * AC$1)
)</f>
        <v/>
      </c>
      <c r="AD130" s="34" t="str">
        <f t="shared" si="130"/>
        <v/>
      </c>
      <c r="AE130" s="34" t="str">
        <f t="shared" si="130"/>
        <v/>
      </c>
      <c r="AF130" s="34" t="str">
        <f t="shared" si="130"/>
        <v/>
      </c>
      <c r="AG130" s="34" t="str">
        <f t="shared" si="130"/>
        <v/>
      </c>
      <c r="AH130" s="34" t="str">
        <f t="shared" si="130"/>
        <v/>
      </c>
      <c r="AI130" s="34" t="str">
        <f t="shared" si="130"/>
        <v/>
      </c>
      <c r="AJ130" s="34" t="str">
        <f t="shared" si="130"/>
        <v/>
      </c>
      <c r="AK130" s="34" t="str">
        <f t="shared" si="130"/>
        <v/>
      </c>
      <c r="AL130" s="34" t="str">
        <f t="shared" si="130"/>
        <v/>
      </c>
      <c r="AM130" s="34" t="str">
        <f t="shared" si="130"/>
        <v/>
      </c>
      <c r="AN130" s="34" t="str">
        <f t="shared" si="130"/>
        <v/>
      </c>
      <c r="AO130" s="34" t="str">
        <f t="shared" si="130"/>
        <v/>
      </c>
      <c r="AP130" s="34" t="str">
        <f t="shared" si="130"/>
        <v/>
      </c>
      <c r="AQ130" s="76" t="s">
        <v>164</v>
      </c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77"/>
      <c r="BI130" s="77"/>
      <c r="BJ130" s="77"/>
      <c r="BK130" s="77"/>
      <c r="BL130" s="77"/>
      <c r="BM130" s="78"/>
    </row>
    <row r="131">
      <c r="A131" s="41" t="s">
        <v>69</v>
      </c>
      <c r="B131" s="41" t="b">
        <v>0</v>
      </c>
      <c r="C131" s="41" t="b">
        <f t="shared" si="3"/>
        <v>1</v>
      </c>
      <c r="D131" s="42" t="s">
        <v>827</v>
      </c>
      <c r="E131" s="43" t="s">
        <v>1664</v>
      </c>
      <c r="F131" s="44" t="s">
        <v>1464</v>
      </c>
      <c r="G131" s="29" t="s">
        <v>837</v>
      </c>
      <c r="H131" s="32">
        <v>-2.0356876543788642</v>
      </c>
      <c r="I131" s="32">
        <v>3.494171117550037</v>
      </c>
      <c r="J131" s="45" t="s">
        <v>1665</v>
      </c>
      <c r="K131" s="29">
        <v>33.2</v>
      </c>
      <c r="L131" s="41">
        <v>76.31779411764705</v>
      </c>
      <c r="M131" s="46">
        <v>24.0</v>
      </c>
      <c r="N131" s="46">
        <v>7.0</v>
      </c>
      <c r="O131" s="47">
        <v>-1.1337981896995741</v>
      </c>
      <c r="P131" s="47">
        <v>-0.1055035115928285</v>
      </c>
      <c r="Q131" s="47">
        <v>-0.21033812433465832</v>
      </c>
      <c r="R131" s="47">
        <v>-0.0187408664268335</v>
      </c>
      <c r="S131" s="47">
        <v>0.1287253021566723</v>
      </c>
      <c r="T131" s="47">
        <v>-0.7535842952541609</v>
      </c>
      <c r="U131" s="47">
        <v>1.029322988024719</v>
      </c>
      <c r="V131" s="47">
        <v>0.0</v>
      </c>
      <c r="W131" s="47">
        <v>-0.9565416405599043</v>
      </c>
      <c r="X131" s="47">
        <v>-0.015229316692295453</v>
      </c>
      <c r="Y131" s="50" t="s">
        <v>69</v>
      </c>
      <c r="Z131" s="50" t="s">
        <v>69</v>
      </c>
      <c r="AA131" s="50" t="s">
        <v>69</v>
      </c>
      <c r="AB131" s="50" t="s">
        <v>69</v>
      </c>
      <c r="AC131" s="34" t="str">
        <f t="shared" ref="AC131:AP131" si="131">LET(
  skater, IFERROR(INDEX(AllProj, MATCH($E131, AllProjNames, 0), MATCH(AC$2, AllProjCats, 0) + 1), ""),
  goalie, IFERROR(INDEX(AllGProj, MATCH($E131, AllGProjNames, 0), MATCH(AC$2, AllGProjCats, 0) + 1), ""),
  val, IF(skater &lt;&gt; "", skater, goalie),
  IF(OR($E131="", AC$2="", val=""), "", val * AC$1)
)</f>
        <v/>
      </c>
      <c r="AD131" s="34" t="str">
        <f t="shared" si="131"/>
        <v/>
      </c>
      <c r="AE131" s="34" t="str">
        <f t="shared" si="131"/>
        <v/>
      </c>
      <c r="AF131" s="34" t="str">
        <f t="shared" si="131"/>
        <v/>
      </c>
      <c r="AG131" s="34" t="str">
        <f t="shared" si="131"/>
        <v/>
      </c>
      <c r="AH131" s="34" t="str">
        <f t="shared" si="131"/>
        <v/>
      </c>
      <c r="AI131" s="34" t="str">
        <f t="shared" si="131"/>
        <v/>
      </c>
      <c r="AJ131" s="34" t="str">
        <f t="shared" si="131"/>
        <v/>
      </c>
      <c r="AK131" s="34" t="str">
        <f t="shared" si="131"/>
        <v/>
      </c>
      <c r="AL131" s="34" t="str">
        <f t="shared" si="131"/>
        <v/>
      </c>
      <c r="AM131" s="34" t="str">
        <f t="shared" si="131"/>
        <v/>
      </c>
      <c r="AN131" s="34" t="str">
        <f t="shared" si="131"/>
        <v/>
      </c>
      <c r="AO131" s="34" t="str">
        <f t="shared" si="131"/>
        <v/>
      </c>
      <c r="AP131" s="34" t="str">
        <f t="shared" si="131"/>
        <v/>
      </c>
      <c r="AQ131" s="76" t="s">
        <v>165</v>
      </c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  <c r="BG131" s="77"/>
      <c r="BH131" s="77"/>
      <c r="BI131" s="77"/>
      <c r="BJ131" s="77"/>
      <c r="BK131" s="77"/>
      <c r="BL131" s="77"/>
      <c r="BM131" s="78"/>
    </row>
    <row r="132">
      <c r="A132" s="79">
        <v>2.642857142857143</v>
      </c>
      <c r="B132" s="79" t="b">
        <v>0</v>
      </c>
      <c r="C132" s="79" t="b">
        <f t="shared" si="3"/>
        <v>0</v>
      </c>
      <c r="D132" s="80" t="s">
        <v>1565</v>
      </c>
      <c r="E132" s="81" t="s">
        <v>1097</v>
      </c>
      <c r="F132" s="82" t="s">
        <v>1505</v>
      </c>
      <c r="G132" s="35" t="s">
        <v>830</v>
      </c>
      <c r="H132" s="37">
        <v>-2.0797555034411155</v>
      </c>
      <c r="I132" s="37">
        <v>3.3081246214716233</v>
      </c>
      <c r="J132" s="83" t="s">
        <v>1666</v>
      </c>
      <c r="K132" s="35">
        <v>26.7</v>
      </c>
      <c r="L132" s="79">
        <v>79.99083333333333</v>
      </c>
      <c r="M132" s="84">
        <v>30.0</v>
      </c>
      <c r="N132" s="84">
        <v>5.0</v>
      </c>
      <c r="O132" s="85">
        <v>-1.139536242616884</v>
      </c>
      <c r="P132" s="85">
        <v>-1.3697399986040968</v>
      </c>
      <c r="Q132" s="85">
        <v>-0.11567641679339143</v>
      </c>
      <c r="R132" s="85">
        <v>1.5497962866935828</v>
      </c>
      <c r="S132" s="85">
        <v>-1.5686402752660729</v>
      </c>
      <c r="T132" s="85">
        <v>-0.11105105055910078</v>
      </c>
      <c r="U132" s="85">
        <v>-1.5874899913295886</v>
      </c>
      <c r="V132" s="85">
        <v>0.41534598181241156</v>
      </c>
      <c r="W132" s="85">
        <v>3.0578505937669935</v>
      </c>
      <c r="X132" s="85">
        <v>-1.2106143905449689</v>
      </c>
      <c r="Y132" s="50" t="s">
        <v>69</v>
      </c>
      <c r="Z132" s="50" t="s">
        <v>69</v>
      </c>
      <c r="AA132" s="50" t="s">
        <v>69</v>
      </c>
      <c r="AB132" s="50" t="s">
        <v>69</v>
      </c>
      <c r="AC132" s="34" t="str">
        <f t="shared" ref="AC132:AP132" si="132">LET(
  skater, IFERROR(INDEX(AllProj, MATCH($E132, AllProjNames, 0), MATCH(AC$2, AllProjCats, 0) + 1), ""),
  goalie, IFERROR(INDEX(AllGProj, MATCH($E132, AllGProjNames, 0), MATCH(AC$2, AllGProjCats, 0) + 1), ""),
  val, IF(skater &lt;&gt; "", skater, goalie),
  IF(OR($E132="", AC$2="", val=""), "", val * AC$1)
)</f>
        <v/>
      </c>
      <c r="AD132" s="34" t="str">
        <f t="shared" si="132"/>
        <v/>
      </c>
      <c r="AE132" s="34" t="str">
        <f t="shared" si="132"/>
        <v/>
      </c>
      <c r="AF132" s="34" t="str">
        <f t="shared" si="132"/>
        <v/>
      </c>
      <c r="AG132" s="34" t="str">
        <f t="shared" si="132"/>
        <v/>
      </c>
      <c r="AH132" s="34" t="str">
        <f t="shared" si="132"/>
        <v/>
      </c>
      <c r="AI132" s="34" t="str">
        <f t="shared" si="132"/>
        <v/>
      </c>
      <c r="AJ132" s="34" t="str">
        <f t="shared" si="132"/>
        <v/>
      </c>
      <c r="AK132" s="34" t="str">
        <f t="shared" si="132"/>
        <v/>
      </c>
      <c r="AL132" s="34" t="str">
        <f t="shared" si="132"/>
        <v/>
      </c>
      <c r="AM132" s="34" t="str">
        <f t="shared" si="132"/>
        <v/>
      </c>
      <c r="AN132" s="34" t="str">
        <f t="shared" si="132"/>
        <v/>
      </c>
      <c r="AO132" s="34" t="str">
        <f t="shared" si="132"/>
        <v/>
      </c>
      <c r="AP132" s="34" t="str">
        <f t="shared" si="132"/>
        <v/>
      </c>
      <c r="AQ132" s="76" t="s">
        <v>166</v>
      </c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77"/>
      <c r="BI132" s="77"/>
      <c r="BJ132" s="77"/>
      <c r="BK132" s="77"/>
      <c r="BL132" s="77"/>
      <c r="BM132" s="78"/>
    </row>
    <row r="133">
      <c r="A133" s="41" t="s">
        <v>69</v>
      </c>
      <c r="B133" s="41" t="b">
        <v>0</v>
      </c>
      <c r="C133" s="41" t="b">
        <f t="shared" si="3"/>
        <v>1</v>
      </c>
      <c r="D133" s="42" t="s">
        <v>22</v>
      </c>
      <c r="E133" s="43" t="s">
        <v>1667</v>
      </c>
      <c r="F133" s="44" t="s">
        <v>930</v>
      </c>
      <c r="G133" s="29" t="s">
        <v>284</v>
      </c>
      <c r="H133" s="32">
        <v>-2.0825482396425183</v>
      </c>
      <c r="I133" s="32">
        <v>2.955517780540567</v>
      </c>
      <c r="J133" s="45" t="s">
        <v>1668</v>
      </c>
      <c r="K133" s="29">
        <v>25.0</v>
      </c>
      <c r="L133" s="41">
        <v>78.23926470588236</v>
      </c>
      <c r="M133" s="46">
        <v>29.0</v>
      </c>
      <c r="N133" s="46">
        <v>7.0</v>
      </c>
      <c r="O133" s="47">
        <v>-0.22073992631725922</v>
      </c>
      <c r="P133" s="47">
        <v>-0.41799344080895473</v>
      </c>
      <c r="Q133" s="47">
        <v>-0.34734260711780995</v>
      </c>
      <c r="R133" s="47">
        <v>-0.5584182701693314</v>
      </c>
      <c r="S133" s="47">
        <v>-0.511728383590979</v>
      </c>
      <c r="T133" s="47">
        <v>0.44180393407094964</v>
      </c>
      <c r="U133" s="47">
        <v>-0.1024344243114339</v>
      </c>
      <c r="V133" s="47">
        <v>1.7556110953282402</v>
      </c>
      <c r="W133" s="47">
        <v>-0.7773856519843738</v>
      </c>
      <c r="X133" s="47">
        <v>-1.3439205647415664</v>
      </c>
      <c r="Y133" s="50" t="s">
        <v>69</v>
      </c>
      <c r="Z133" s="50" t="s">
        <v>69</v>
      </c>
      <c r="AA133" s="50" t="s">
        <v>69</v>
      </c>
      <c r="AB133" s="50" t="s">
        <v>69</v>
      </c>
      <c r="AC133" s="34" t="str">
        <f t="shared" ref="AC133:AP133" si="133">LET(
  skater, IFERROR(INDEX(AllProj, MATCH($E133, AllProjNames, 0), MATCH(AC$2, AllProjCats, 0) + 1), ""),
  goalie, IFERROR(INDEX(AllGProj, MATCH($E133, AllGProjNames, 0), MATCH(AC$2, AllGProjCats, 0) + 1), ""),
  val, IF(skater &lt;&gt; "", skater, goalie),
  IF(OR($E133="", AC$2="", val=""), "", val * AC$1)
)</f>
        <v/>
      </c>
      <c r="AD133" s="34" t="str">
        <f t="shared" si="133"/>
        <v/>
      </c>
      <c r="AE133" s="34" t="str">
        <f t="shared" si="133"/>
        <v/>
      </c>
      <c r="AF133" s="34" t="str">
        <f t="shared" si="133"/>
        <v/>
      </c>
      <c r="AG133" s="34" t="str">
        <f t="shared" si="133"/>
        <v/>
      </c>
      <c r="AH133" s="34" t="str">
        <f t="shared" si="133"/>
        <v/>
      </c>
      <c r="AI133" s="34" t="str">
        <f t="shared" si="133"/>
        <v/>
      </c>
      <c r="AJ133" s="34" t="str">
        <f t="shared" si="133"/>
        <v/>
      </c>
      <c r="AK133" s="34" t="str">
        <f t="shared" si="133"/>
        <v/>
      </c>
      <c r="AL133" s="34" t="str">
        <f t="shared" si="133"/>
        <v/>
      </c>
      <c r="AM133" s="34" t="str">
        <f t="shared" si="133"/>
        <v/>
      </c>
      <c r="AN133" s="34" t="str">
        <f t="shared" si="133"/>
        <v/>
      </c>
      <c r="AO133" s="34" t="str">
        <f t="shared" si="133"/>
        <v/>
      </c>
      <c r="AP133" s="34" t="str">
        <f t="shared" si="133"/>
        <v/>
      </c>
      <c r="AQ133" s="76" t="s">
        <v>167</v>
      </c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  <c r="BG133" s="77"/>
      <c r="BH133" s="77"/>
      <c r="BI133" s="77"/>
      <c r="BJ133" s="77"/>
      <c r="BK133" s="77"/>
      <c r="BL133" s="77"/>
      <c r="BM133" s="78"/>
    </row>
    <row r="134">
      <c r="A134" s="79" t="s">
        <v>69</v>
      </c>
      <c r="B134" s="79" t="b">
        <v>0</v>
      </c>
      <c r="C134" s="79" t="b">
        <f t="shared" si="3"/>
        <v>1</v>
      </c>
      <c r="D134" s="80" t="s">
        <v>773</v>
      </c>
      <c r="E134" s="81" t="s">
        <v>1669</v>
      </c>
      <c r="F134" s="82" t="s">
        <v>1489</v>
      </c>
      <c r="G134" s="35" t="s">
        <v>832</v>
      </c>
      <c r="H134" s="37">
        <v>-2.0879563690294916</v>
      </c>
      <c r="I134" s="37">
        <v>3.3541812396983657</v>
      </c>
      <c r="J134" s="83" t="s">
        <v>1670</v>
      </c>
      <c r="K134" s="35">
        <v>24.9</v>
      </c>
      <c r="L134" s="79">
        <v>82.27808823529412</v>
      </c>
      <c r="M134" s="84">
        <v>28.0</v>
      </c>
      <c r="N134" s="84">
        <v>7.0</v>
      </c>
      <c r="O134" s="85">
        <v>0.04852069305486574</v>
      </c>
      <c r="P134" s="85">
        <v>-0.8069650875841575</v>
      </c>
      <c r="Q134" s="85">
        <v>-0.22592538564371598</v>
      </c>
      <c r="R134" s="85">
        <v>-1.2237818963830591</v>
      </c>
      <c r="S134" s="85">
        <v>-0.9847271323323904</v>
      </c>
      <c r="T134" s="85">
        <v>0.03492267026600341</v>
      </c>
      <c r="U134" s="85">
        <v>0.8186698268237499</v>
      </c>
      <c r="V134" s="85">
        <v>0.0</v>
      </c>
      <c r="W134" s="85">
        <v>1.5299920044595117</v>
      </c>
      <c r="X134" s="85">
        <v>-1.2786620616902988</v>
      </c>
      <c r="Y134" s="50" t="s">
        <v>69</v>
      </c>
      <c r="Z134" s="50" t="s">
        <v>69</v>
      </c>
      <c r="AA134" s="50" t="s">
        <v>69</v>
      </c>
      <c r="AB134" s="50" t="s">
        <v>69</v>
      </c>
      <c r="AC134" s="34" t="str">
        <f t="shared" ref="AC134:AP134" si="134">LET(
  skater, IFERROR(INDEX(AllProj, MATCH($E134, AllProjNames, 0), MATCH(AC$2, AllProjCats, 0) + 1), ""),
  goalie, IFERROR(INDEX(AllGProj, MATCH($E134, AllGProjNames, 0), MATCH(AC$2, AllGProjCats, 0) + 1), ""),
  val, IF(skater &lt;&gt; "", skater, goalie),
  IF(OR($E134="", AC$2="", val=""), "", val * AC$1)
)</f>
        <v/>
      </c>
      <c r="AD134" s="34" t="str">
        <f t="shared" si="134"/>
        <v/>
      </c>
      <c r="AE134" s="34" t="str">
        <f t="shared" si="134"/>
        <v/>
      </c>
      <c r="AF134" s="34" t="str">
        <f t="shared" si="134"/>
        <v/>
      </c>
      <c r="AG134" s="34" t="str">
        <f t="shared" si="134"/>
        <v/>
      </c>
      <c r="AH134" s="34" t="str">
        <f t="shared" si="134"/>
        <v/>
      </c>
      <c r="AI134" s="34" t="str">
        <f t="shared" si="134"/>
        <v/>
      </c>
      <c r="AJ134" s="34" t="str">
        <f t="shared" si="134"/>
        <v/>
      </c>
      <c r="AK134" s="34" t="str">
        <f t="shared" si="134"/>
        <v/>
      </c>
      <c r="AL134" s="34" t="str">
        <f t="shared" si="134"/>
        <v/>
      </c>
      <c r="AM134" s="34" t="str">
        <f t="shared" si="134"/>
        <v/>
      </c>
      <c r="AN134" s="34" t="str">
        <f t="shared" si="134"/>
        <v/>
      </c>
      <c r="AO134" s="34" t="str">
        <f t="shared" si="134"/>
        <v/>
      </c>
      <c r="AP134" s="34" t="str">
        <f t="shared" si="134"/>
        <v/>
      </c>
      <c r="AQ134" s="76" t="s">
        <v>168</v>
      </c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  <c r="BG134" s="77"/>
      <c r="BH134" s="77"/>
      <c r="BI134" s="77"/>
      <c r="BJ134" s="77"/>
      <c r="BK134" s="77"/>
      <c r="BL134" s="77"/>
      <c r="BM134" s="78"/>
    </row>
    <row r="135">
      <c r="A135" s="41" t="s">
        <v>69</v>
      </c>
      <c r="B135" s="41" t="b">
        <v>0</v>
      </c>
      <c r="C135" s="41" t="b">
        <f t="shared" si="3"/>
        <v>1</v>
      </c>
      <c r="D135" s="42" t="s">
        <v>826</v>
      </c>
      <c r="E135" s="43" t="s">
        <v>1671</v>
      </c>
      <c r="F135" s="44" t="s">
        <v>1498</v>
      </c>
      <c r="G135" s="29" t="s">
        <v>830</v>
      </c>
      <c r="H135" s="32">
        <v>-2.091375623061918</v>
      </c>
      <c r="I135" s="32">
        <v>3.296504501850821</v>
      </c>
      <c r="J135" s="45" t="s">
        <v>1672</v>
      </c>
      <c r="K135" s="29">
        <v>40.1</v>
      </c>
      <c r="L135" s="41">
        <v>76.55705882352942</v>
      </c>
      <c r="M135" s="46">
        <v>28.0</v>
      </c>
      <c r="N135" s="46">
        <v>7.0</v>
      </c>
      <c r="O135" s="47">
        <v>0.22678047041451843</v>
      </c>
      <c r="P135" s="47">
        <v>0.9181522140692969</v>
      </c>
      <c r="Q135" s="47">
        <v>-0.8681992074029216</v>
      </c>
      <c r="R135" s="47">
        <v>0.8557473686971019</v>
      </c>
      <c r="S135" s="47">
        <v>1.0007253051201541</v>
      </c>
      <c r="T135" s="47">
        <v>-0.7861350067208955</v>
      </c>
      <c r="U135" s="47">
        <v>0.2766920235215683</v>
      </c>
      <c r="V135" s="47">
        <v>0.007397434126359557</v>
      </c>
      <c r="W135" s="47">
        <v>-1.9699729330614364</v>
      </c>
      <c r="X135" s="47">
        <v>-1.752563291825663</v>
      </c>
      <c r="Y135" s="50" t="s">
        <v>69</v>
      </c>
      <c r="Z135" s="50" t="s">
        <v>69</v>
      </c>
      <c r="AA135" s="50" t="s">
        <v>69</v>
      </c>
      <c r="AB135" s="50" t="s">
        <v>69</v>
      </c>
      <c r="AC135" s="34" t="str">
        <f t="shared" ref="AC135:AP135" si="135">LET(
  skater, IFERROR(INDEX(AllProj, MATCH($E135, AllProjNames, 0), MATCH(AC$2, AllProjCats, 0) + 1), ""),
  goalie, IFERROR(INDEX(AllGProj, MATCH($E135, AllGProjNames, 0), MATCH(AC$2, AllGProjCats, 0) + 1), ""),
  val, IF(skater &lt;&gt; "", skater, goalie),
  IF(OR($E135="", AC$2="", val=""), "", val * AC$1)
)</f>
        <v/>
      </c>
      <c r="AD135" s="34" t="str">
        <f t="shared" si="135"/>
        <v/>
      </c>
      <c r="AE135" s="34" t="str">
        <f t="shared" si="135"/>
        <v/>
      </c>
      <c r="AF135" s="34" t="str">
        <f t="shared" si="135"/>
        <v/>
      </c>
      <c r="AG135" s="34" t="str">
        <f t="shared" si="135"/>
        <v/>
      </c>
      <c r="AH135" s="34" t="str">
        <f t="shared" si="135"/>
        <v/>
      </c>
      <c r="AI135" s="34" t="str">
        <f t="shared" si="135"/>
        <v/>
      </c>
      <c r="AJ135" s="34" t="str">
        <f t="shared" si="135"/>
        <v/>
      </c>
      <c r="AK135" s="34" t="str">
        <f t="shared" si="135"/>
        <v/>
      </c>
      <c r="AL135" s="34" t="str">
        <f t="shared" si="135"/>
        <v/>
      </c>
      <c r="AM135" s="34" t="str">
        <f t="shared" si="135"/>
        <v/>
      </c>
      <c r="AN135" s="34" t="str">
        <f t="shared" si="135"/>
        <v/>
      </c>
      <c r="AO135" s="34" t="str">
        <f t="shared" si="135"/>
        <v/>
      </c>
      <c r="AP135" s="34" t="str">
        <f t="shared" si="135"/>
        <v/>
      </c>
      <c r="AQ135" s="76" t="s">
        <v>169</v>
      </c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  <c r="BF135" s="77"/>
      <c r="BG135" s="77"/>
      <c r="BH135" s="77"/>
      <c r="BI135" s="77"/>
      <c r="BJ135" s="77"/>
      <c r="BK135" s="77"/>
      <c r="BL135" s="77"/>
      <c r="BM135" s="78"/>
    </row>
    <row r="136">
      <c r="A136" s="79" t="s">
        <v>69</v>
      </c>
      <c r="B136" s="79" t="b">
        <v>0</v>
      </c>
      <c r="C136" s="79" t="b">
        <f t="shared" si="3"/>
        <v>1</v>
      </c>
      <c r="D136" s="80" t="s">
        <v>826</v>
      </c>
      <c r="E136" s="81" t="s">
        <v>1673</v>
      </c>
      <c r="F136" s="82" t="s">
        <v>1473</v>
      </c>
      <c r="G136" s="35" t="s">
        <v>829</v>
      </c>
      <c r="H136" s="37">
        <v>-2.1006366498155833</v>
      </c>
      <c r="I136" s="37">
        <v>3.341500958912274</v>
      </c>
      <c r="J136" s="83" t="s">
        <v>1674</v>
      </c>
      <c r="K136" s="35">
        <v>29.3</v>
      </c>
      <c r="L136" s="79">
        <v>78.02985294117647</v>
      </c>
      <c r="M136" s="84">
        <v>25.0</v>
      </c>
      <c r="N136" s="84">
        <v>6.0</v>
      </c>
      <c r="O136" s="85">
        <v>-0.08616667087651968</v>
      </c>
      <c r="P136" s="85">
        <v>1.517738591007329</v>
      </c>
      <c r="Q136" s="85">
        <v>-0.40441234213969973</v>
      </c>
      <c r="R136" s="85">
        <v>-0.6381308333674465</v>
      </c>
      <c r="S136" s="85">
        <v>0.6818014429336928</v>
      </c>
      <c r="T136" s="85">
        <v>-0.7792167418519466</v>
      </c>
      <c r="U136" s="85">
        <v>0.6067723685851424</v>
      </c>
      <c r="V136" s="85">
        <v>0.0</v>
      </c>
      <c r="W136" s="85">
        <v>-1.8545786511944307</v>
      </c>
      <c r="X136" s="85">
        <v>-1.1444438129117045</v>
      </c>
      <c r="Y136" s="50" t="s">
        <v>69</v>
      </c>
      <c r="Z136" s="50" t="s">
        <v>69</v>
      </c>
      <c r="AA136" s="50" t="s">
        <v>69</v>
      </c>
      <c r="AB136" s="50" t="s">
        <v>69</v>
      </c>
      <c r="AC136" s="34" t="str">
        <f t="shared" ref="AC136:AP136" si="136">LET(
  skater, IFERROR(INDEX(AllProj, MATCH($E136, AllProjNames, 0), MATCH(AC$2, AllProjCats, 0) + 1), ""),
  goalie, IFERROR(INDEX(AllGProj, MATCH($E136, AllGProjNames, 0), MATCH(AC$2, AllGProjCats, 0) + 1), ""),
  val, IF(skater &lt;&gt; "", skater, goalie),
  IF(OR($E136="", AC$2="", val=""), "", val * AC$1)
)</f>
        <v/>
      </c>
      <c r="AD136" s="34" t="str">
        <f t="shared" si="136"/>
        <v/>
      </c>
      <c r="AE136" s="34" t="str">
        <f t="shared" si="136"/>
        <v/>
      </c>
      <c r="AF136" s="34" t="str">
        <f t="shared" si="136"/>
        <v/>
      </c>
      <c r="AG136" s="34" t="str">
        <f t="shared" si="136"/>
        <v/>
      </c>
      <c r="AH136" s="34" t="str">
        <f t="shared" si="136"/>
        <v/>
      </c>
      <c r="AI136" s="34" t="str">
        <f t="shared" si="136"/>
        <v/>
      </c>
      <c r="AJ136" s="34" t="str">
        <f t="shared" si="136"/>
        <v/>
      </c>
      <c r="AK136" s="34" t="str">
        <f t="shared" si="136"/>
        <v/>
      </c>
      <c r="AL136" s="34" t="str">
        <f t="shared" si="136"/>
        <v/>
      </c>
      <c r="AM136" s="34" t="str">
        <f t="shared" si="136"/>
        <v/>
      </c>
      <c r="AN136" s="34" t="str">
        <f t="shared" si="136"/>
        <v/>
      </c>
      <c r="AO136" s="34" t="str">
        <f t="shared" si="136"/>
        <v/>
      </c>
      <c r="AP136" s="34" t="str">
        <f t="shared" si="136"/>
        <v/>
      </c>
      <c r="AQ136" s="76" t="s">
        <v>170</v>
      </c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  <c r="BG136" s="77"/>
      <c r="BH136" s="77"/>
      <c r="BI136" s="77"/>
      <c r="BJ136" s="77"/>
      <c r="BK136" s="77"/>
      <c r="BL136" s="77"/>
      <c r="BM136" s="78"/>
    </row>
    <row r="137">
      <c r="A137" s="41" t="s">
        <v>69</v>
      </c>
      <c r="B137" s="41" t="b">
        <v>0</v>
      </c>
      <c r="C137" s="41" t="b">
        <f t="shared" si="3"/>
        <v>1</v>
      </c>
      <c r="D137" s="42" t="s">
        <v>826</v>
      </c>
      <c r="E137" s="43" t="s">
        <v>1675</v>
      </c>
      <c r="F137" s="44" t="s">
        <v>1498</v>
      </c>
      <c r="G137" s="29" t="s">
        <v>832</v>
      </c>
      <c r="H137" s="32">
        <v>-2.113615403295275</v>
      </c>
      <c r="I137" s="32">
        <v>3.328522205432582</v>
      </c>
      <c r="J137" s="45" t="s">
        <v>1676</v>
      </c>
      <c r="K137" s="29">
        <v>34.3</v>
      </c>
      <c r="L137" s="41">
        <v>76.60161764705882</v>
      </c>
      <c r="M137" s="46">
        <v>28.0</v>
      </c>
      <c r="N137" s="46">
        <v>7.0</v>
      </c>
      <c r="O137" s="47">
        <v>1.1732491416584454</v>
      </c>
      <c r="P137" s="47">
        <v>0.2406839893121163</v>
      </c>
      <c r="Q137" s="47">
        <v>-1.6066961250283547</v>
      </c>
      <c r="R137" s="47">
        <v>-1.376569857269835</v>
      </c>
      <c r="S137" s="47">
        <v>0.8422141126487116</v>
      </c>
      <c r="T137" s="47">
        <v>0.2553151250796449</v>
      </c>
      <c r="U137" s="47">
        <v>0.7355330713624663</v>
      </c>
      <c r="V137" s="47">
        <v>0.0</v>
      </c>
      <c r="W137" s="47">
        <v>-1.6860989812894467</v>
      </c>
      <c r="X137" s="47">
        <v>-0.6912458797690231</v>
      </c>
      <c r="Y137" s="50" t="s">
        <v>69</v>
      </c>
      <c r="Z137" s="50" t="s">
        <v>69</v>
      </c>
      <c r="AA137" s="50" t="s">
        <v>69</v>
      </c>
      <c r="AB137" s="50" t="s">
        <v>69</v>
      </c>
      <c r="AC137" s="34" t="str">
        <f t="shared" ref="AC137:AP137" si="137">LET(
  skater, IFERROR(INDEX(AllProj, MATCH($E137, AllProjNames, 0), MATCH(AC$2, AllProjCats, 0) + 1), ""),
  goalie, IFERROR(INDEX(AllGProj, MATCH($E137, AllGProjNames, 0), MATCH(AC$2, AllGProjCats, 0) + 1), ""),
  val, IF(skater &lt;&gt; "", skater, goalie),
  IF(OR($E137="", AC$2="", val=""), "", val * AC$1)
)</f>
        <v/>
      </c>
      <c r="AD137" s="34" t="str">
        <f t="shared" si="137"/>
        <v/>
      </c>
      <c r="AE137" s="34" t="str">
        <f t="shared" si="137"/>
        <v/>
      </c>
      <c r="AF137" s="34" t="str">
        <f t="shared" si="137"/>
        <v/>
      </c>
      <c r="AG137" s="34" t="str">
        <f t="shared" si="137"/>
        <v/>
      </c>
      <c r="AH137" s="34" t="str">
        <f t="shared" si="137"/>
        <v/>
      </c>
      <c r="AI137" s="34" t="str">
        <f t="shared" si="137"/>
        <v/>
      </c>
      <c r="AJ137" s="34" t="str">
        <f t="shared" si="137"/>
        <v/>
      </c>
      <c r="AK137" s="34" t="str">
        <f t="shared" si="137"/>
        <v/>
      </c>
      <c r="AL137" s="34" t="str">
        <f t="shared" si="137"/>
        <v/>
      </c>
      <c r="AM137" s="34" t="str">
        <f t="shared" si="137"/>
        <v/>
      </c>
      <c r="AN137" s="34" t="str">
        <f t="shared" si="137"/>
        <v/>
      </c>
      <c r="AO137" s="34" t="str">
        <f t="shared" si="137"/>
        <v/>
      </c>
      <c r="AP137" s="34" t="str">
        <f t="shared" si="137"/>
        <v/>
      </c>
      <c r="AQ137" s="76" t="s">
        <v>171</v>
      </c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77"/>
      <c r="BI137" s="77"/>
      <c r="BJ137" s="77"/>
      <c r="BK137" s="77"/>
      <c r="BL137" s="77"/>
      <c r="BM137" s="78"/>
    </row>
    <row r="138">
      <c r="A138" s="79" t="s">
        <v>69</v>
      </c>
      <c r="B138" s="79" t="b">
        <v>0</v>
      </c>
      <c r="C138" s="79" t="b">
        <f t="shared" si="3"/>
        <v>1</v>
      </c>
      <c r="D138" s="80" t="s">
        <v>254</v>
      </c>
      <c r="E138" s="81" t="s">
        <v>1677</v>
      </c>
      <c r="F138" s="82" t="s">
        <v>1429</v>
      </c>
      <c r="G138" s="35" t="s">
        <v>829</v>
      </c>
      <c r="H138" s="37">
        <v>-2.1497570411953975</v>
      </c>
      <c r="I138" s="37">
        <v>3.29238056753246</v>
      </c>
      <c r="J138" s="83" t="s">
        <v>1678</v>
      </c>
      <c r="K138" s="35">
        <v>32.0</v>
      </c>
      <c r="L138" s="79">
        <v>78.06661764705882</v>
      </c>
      <c r="M138" s="84">
        <v>24.0</v>
      </c>
      <c r="N138" s="84">
        <v>7.0</v>
      </c>
      <c r="O138" s="85">
        <v>0.04629560960749579</v>
      </c>
      <c r="P138" s="85">
        <v>-0.8464162487870622</v>
      </c>
      <c r="Q138" s="85">
        <v>-0.5882245513444795</v>
      </c>
      <c r="R138" s="85">
        <v>0.8328955719156937</v>
      </c>
      <c r="S138" s="85">
        <v>-0.43125125132783754</v>
      </c>
      <c r="T138" s="85">
        <v>-0.7806054907661258</v>
      </c>
      <c r="U138" s="85">
        <v>0.3117206204283912</v>
      </c>
      <c r="V138" s="85">
        <v>0.9495735171215877</v>
      </c>
      <c r="W138" s="85">
        <v>-1.2052802381308536</v>
      </c>
      <c r="X138" s="85">
        <v>-0.43846457991220683</v>
      </c>
      <c r="Y138" s="50" t="s">
        <v>69</v>
      </c>
      <c r="Z138" s="50" t="s">
        <v>69</v>
      </c>
      <c r="AA138" s="50" t="s">
        <v>69</v>
      </c>
      <c r="AB138" s="50" t="s">
        <v>69</v>
      </c>
      <c r="AC138" s="34" t="str">
        <f t="shared" ref="AC138:AP138" si="138">LET(
  skater, IFERROR(INDEX(AllProj, MATCH($E138, AllProjNames, 0), MATCH(AC$2, AllProjCats, 0) + 1), ""),
  goalie, IFERROR(INDEX(AllGProj, MATCH($E138, AllGProjNames, 0), MATCH(AC$2, AllGProjCats, 0) + 1), ""),
  val, IF(skater &lt;&gt; "", skater, goalie),
  IF(OR($E138="", AC$2="", val=""), "", val * AC$1)
)</f>
        <v/>
      </c>
      <c r="AD138" s="34" t="str">
        <f t="shared" si="138"/>
        <v/>
      </c>
      <c r="AE138" s="34" t="str">
        <f t="shared" si="138"/>
        <v/>
      </c>
      <c r="AF138" s="34" t="str">
        <f t="shared" si="138"/>
        <v/>
      </c>
      <c r="AG138" s="34" t="str">
        <f t="shared" si="138"/>
        <v/>
      </c>
      <c r="AH138" s="34" t="str">
        <f t="shared" si="138"/>
        <v/>
      </c>
      <c r="AI138" s="34" t="str">
        <f t="shared" si="138"/>
        <v/>
      </c>
      <c r="AJ138" s="34" t="str">
        <f t="shared" si="138"/>
        <v/>
      </c>
      <c r="AK138" s="34" t="str">
        <f t="shared" si="138"/>
        <v/>
      </c>
      <c r="AL138" s="34" t="str">
        <f t="shared" si="138"/>
        <v/>
      </c>
      <c r="AM138" s="34" t="str">
        <f t="shared" si="138"/>
        <v/>
      </c>
      <c r="AN138" s="34" t="str">
        <f t="shared" si="138"/>
        <v/>
      </c>
      <c r="AO138" s="34" t="str">
        <f t="shared" si="138"/>
        <v/>
      </c>
      <c r="AP138" s="34" t="str">
        <f t="shared" si="138"/>
        <v/>
      </c>
      <c r="AQ138" s="76" t="s">
        <v>172</v>
      </c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  <c r="BM138" s="78"/>
    </row>
    <row r="139">
      <c r="A139" s="41" t="s">
        <v>69</v>
      </c>
      <c r="B139" s="41" t="b">
        <v>0</v>
      </c>
      <c r="C139" s="41" t="b">
        <f t="shared" si="3"/>
        <v>1</v>
      </c>
      <c r="D139" s="42" t="s">
        <v>825</v>
      </c>
      <c r="E139" s="43" t="s">
        <v>1679</v>
      </c>
      <c r="F139" s="44" t="s">
        <v>1517</v>
      </c>
      <c r="G139" s="29" t="s">
        <v>284</v>
      </c>
      <c r="H139" s="32">
        <v>-2.1755854231154315</v>
      </c>
      <c r="I139" s="32">
        <v>2.8624805970676537</v>
      </c>
      <c r="J139" s="45" t="s">
        <v>1680</v>
      </c>
      <c r="K139" s="29">
        <v>35.6</v>
      </c>
      <c r="L139" s="41">
        <v>81.60705882352941</v>
      </c>
      <c r="M139" s="46">
        <v>18.0</v>
      </c>
      <c r="N139" s="46">
        <v>6.0</v>
      </c>
      <c r="O139" s="47">
        <v>0.19413450439242996</v>
      </c>
      <c r="P139" s="47">
        <v>0.7438237873944127</v>
      </c>
      <c r="Q139" s="47">
        <v>-1.3397459576952446</v>
      </c>
      <c r="R139" s="47">
        <v>-1.4539786380542858</v>
      </c>
      <c r="S139" s="47">
        <v>0.6064339513919171</v>
      </c>
      <c r="T139" s="47">
        <v>0.08506149118319198</v>
      </c>
      <c r="U139" s="47">
        <v>-0.31084641037336946</v>
      </c>
      <c r="V139" s="47">
        <v>2.2461263582506805</v>
      </c>
      <c r="W139" s="47">
        <v>-2.2483853619491674</v>
      </c>
      <c r="X139" s="47">
        <v>-0.6982091476559963</v>
      </c>
      <c r="Y139" s="50" t="s">
        <v>69</v>
      </c>
      <c r="Z139" s="50" t="s">
        <v>69</v>
      </c>
      <c r="AA139" s="50" t="s">
        <v>69</v>
      </c>
      <c r="AB139" s="50" t="s">
        <v>69</v>
      </c>
      <c r="AC139" s="34" t="str">
        <f t="shared" ref="AC139:AP139" si="139">LET(
  skater, IFERROR(INDEX(AllProj, MATCH($E139, AllProjNames, 0), MATCH(AC$2, AllProjCats, 0) + 1), ""),
  goalie, IFERROR(INDEX(AllGProj, MATCH($E139, AllGProjNames, 0), MATCH(AC$2, AllGProjCats, 0) + 1), ""),
  val, IF(skater &lt;&gt; "", skater, goalie),
  IF(OR($E139="", AC$2="", val=""), "", val * AC$1)
)</f>
        <v/>
      </c>
      <c r="AD139" s="34" t="str">
        <f t="shared" si="139"/>
        <v/>
      </c>
      <c r="AE139" s="34" t="str">
        <f t="shared" si="139"/>
        <v/>
      </c>
      <c r="AF139" s="34" t="str">
        <f t="shared" si="139"/>
        <v/>
      </c>
      <c r="AG139" s="34" t="str">
        <f t="shared" si="139"/>
        <v/>
      </c>
      <c r="AH139" s="34" t="str">
        <f t="shared" si="139"/>
        <v/>
      </c>
      <c r="AI139" s="34" t="str">
        <f t="shared" si="139"/>
        <v/>
      </c>
      <c r="AJ139" s="34" t="str">
        <f t="shared" si="139"/>
        <v/>
      </c>
      <c r="AK139" s="34" t="str">
        <f t="shared" si="139"/>
        <v/>
      </c>
      <c r="AL139" s="34" t="str">
        <f t="shared" si="139"/>
        <v/>
      </c>
      <c r="AM139" s="34" t="str">
        <f t="shared" si="139"/>
        <v/>
      </c>
      <c r="AN139" s="34" t="str">
        <f t="shared" si="139"/>
        <v/>
      </c>
      <c r="AO139" s="34" t="str">
        <f t="shared" si="139"/>
        <v/>
      </c>
      <c r="AP139" s="34" t="str">
        <f t="shared" si="139"/>
        <v/>
      </c>
      <c r="AQ139" s="76" t="s">
        <v>173</v>
      </c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77"/>
      <c r="BI139" s="77"/>
      <c r="BJ139" s="77"/>
      <c r="BK139" s="77"/>
      <c r="BL139" s="77"/>
      <c r="BM139" s="78"/>
    </row>
    <row r="140">
      <c r="A140" s="79" t="s">
        <v>69</v>
      </c>
      <c r="B140" s="79" t="b">
        <v>0</v>
      </c>
      <c r="C140" s="79" t="b">
        <f t="shared" si="3"/>
        <v>1</v>
      </c>
      <c r="D140" s="80" t="s">
        <v>827</v>
      </c>
      <c r="E140" s="81" t="s">
        <v>1681</v>
      </c>
      <c r="F140" s="82" t="s">
        <v>279</v>
      </c>
      <c r="G140" s="35" t="s">
        <v>284</v>
      </c>
      <c r="H140" s="37">
        <v>-2.2061246452330345</v>
      </c>
      <c r="I140" s="37">
        <v>2.8319413749500506</v>
      </c>
      <c r="J140" s="83" t="s">
        <v>1682</v>
      </c>
      <c r="K140" s="35">
        <v>35.9</v>
      </c>
      <c r="L140" s="79">
        <v>82.43691176470588</v>
      </c>
      <c r="M140" s="84">
        <v>34.0</v>
      </c>
      <c r="N140" s="84">
        <v>7.0</v>
      </c>
      <c r="O140" s="85">
        <v>0.35026611479216707</v>
      </c>
      <c r="P140" s="85">
        <v>0.2679845259298981</v>
      </c>
      <c r="Q140" s="85">
        <v>-1.3834185841814786</v>
      </c>
      <c r="R140" s="85">
        <v>-0.46418747216638206</v>
      </c>
      <c r="S140" s="85">
        <v>0.5560188932384641</v>
      </c>
      <c r="T140" s="85">
        <v>-0.7766840902181598</v>
      </c>
      <c r="U140" s="85">
        <v>1.322651926609696</v>
      </c>
      <c r="V140" s="85">
        <v>1.2842395429626814</v>
      </c>
      <c r="W140" s="85">
        <v>-1.5918905088068294</v>
      </c>
      <c r="X140" s="85">
        <v>-1.7711049933930916</v>
      </c>
      <c r="Y140" s="50" t="s">
        <v>69</v>
      </c>
      <c r="Z140" s="50" t="s">
        <v>69</v>
      </c>
      <c r="AA140" s="50" t="s">
        <v>69</v>
      </c>
      <c r="AB140" s="50" t="s">
        <v>69</v>
      </c>
      <c r="AC140" s="34" t="str">
        <f t="shared" ref="AC140:AP140" si="140">LET(
  skater, IFERROR(INDEX(AllProj, MATCH($E140, AllProjNames, 0), MATCH(AC$2, AllProjCats, 0) + 1), ""),
  goalie, IFERROR(INDEX(AllGProj, MATCH($E140, AllGProjNames, 0), MATCH(AC$2, AllGProjCats, 0) + 1), ""),
  val, IF(skater &lt;&gt; "", skater, goalie),
  IF(OR($E140="", AC$2="", val=""), "", val * AC$1)
)</f>
        <v/>
      </c>
      <c r="AD140" s="34" t="str">
        <f t="shared" si="140"/>
        <v/>
      </c>
      <c r="AE140" s="34" t="str">
        <f t="shared" si="140"/>
        <v/>
      </c>
      <c r="AF140" s="34" t="str">
        <f t="shared" si="140"/>
        <v/>
      </c>
      <c r="AG140" s="34" t="str">
        <f t="shared" si="140"/>
        <v/>
      </c>
      <c r="AH140" s="34" t="str">
        <f t="shared" si="140"/>
        <v/>
      </c>
      <c r="AI140" s="34" t="str">
        <f t="shared" si="140"/>
        <v/>
      </c>
      <c r="AJ140" s="34" t="str">
        <f t="shared" si="140"/>
        <v/>
      </c>
      <c r="AK140" s="34" t="str">
        <f t="shared" si="140"/>
        <v/>
      </c>
      <c r="AL140" s="34" t="str">
        <f t="shared" si="140"/>
        <v/>
      </c>
      <c r="AM140" s="34" t="str">
        <f t="shared" si="140"/>
        <v/>
      </c>
      <c r="AN140" s="34" t="str">
        <f t="shared" si="140"/>
        <v/>
      </c>
      <c r="AO140" s="34" t="str">
        <f t="shared" si="140"/>
        <v/>
      </c>
      <c r="AP140" s="34" t="str">
        <f t="shared" si="140"/>
        <v/>
      </c>
      <c r="AQ140" s="76" t="s">
        <v>174</v>
      </c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  <c r="BF140" s="77"/>
      <c r="BG140" s="77"/>
      <c r="BH140" s="77"/>
      <c r="BI140" s="77"/>
      <c r="BJ140" s="77"/>
      <c r="BK140" s="77"/>
      <c r="BL140" s="77"/>
      <c r="BM140" s="78"/>
    </row>
    <row r="141">
      <c r="A141" s="41" t="s">
        <v>69</v>
      </c>
      <c r="B141" s="41" t="b">
        <v>0</v>
      </c>
      <c r="C141" s="41" t="b">
        <f t="shared" si="3"/>
        <v>1</v>
      </c>
      <c r="D141" s="42" t="s">
        <v>825</v>
      </c>
      <c r="E141" s="43" t="s">
        <v>1683</v>
      </c>
      <c r="F141" s="44" t="s">
        <v>854</v>
      </c>
      <c r="G141" s="29" t="s">
        <v>284</v>
      </c>
      <c r="H141" s="32">
        <v>-2.245474364494398</v>
      </c>
      <c r="I141" s="32">
        <v>2.792591655688687</v>
      </c>
      <c r="J141" s="45" t="s">
        <v>1684</v>
      </c>
      <c r="K141" s="29">
        <v>30.5</v>
      </c>
      <c r="L141" s="41">
        <v>78.33000000000001</v>
      </c>
      <c r="M141" s="46">
        <v>16.0</v>
      </c>
      <c r="N141" s="46">
        <v>6.0</v>
      </c>
      <c r="O141" s="47">
        <v>1.4923263163766778</v>
      </c>
      <c r="P141" s="47">
        <v>0.5215580069892337</v>
      </c>
      <c r="Q141" s="47">
        <v>0.5840456562464665</v>
      </c>
      <c r="R141" s="47">
        <v>-1.996875357035901</v>
      </c>
      <c r="S141" s="47">
        <v>1.0346632736533792</v>
      </c>
      <c r="T141" s="47">
        <v>-0.7800864167090529</v>
      </c>
      <c r="U141" s="47">
        <v>0.24268077111463515</v>
      </c>
      <c r="V141" s="47">
        <v>0.5777601981084417</v>
      </c>
      <c r="W141" s="47">
        <v>-2.2832903443057537</v>
      </c>
      <c r="X141" s="47">
        <v>-1.6382564689325245</v>
      </c>
      <c r="Y141" s="50" t="s">
        <v>69</v>
      </c>
      <c r="Z141" s="50" t="s">
        <v>69</v>
      </c>
      <c r="AA141" s="50" t="s">
        <v>69</v>
      </c>
      <c r="AB141" s="50" t="s">
        <v>69</v>
      </c>
      <c r="AC141" s="34" t="str">
        <f t="shared" ref="AC141:AP141" si="141">LET(
  skater, IFERROR(INDEX(AllProj, MATCH($E141, AllProjNames, 0), MATCH(AC$2, AllProjCats, 0) + 1), ""),
  goalie, IFERROR(INDEX(AllGProj, MATCH($E141, AllGProjNames, 0), MATCH(AC$2, AllGProjCats, 0) + 1), ""),
  val, IF(skater &lt;&gt; "", skater, goalie),
  IF(OR($E141="", AC$2="", val=""), "", val * AC$1)
)</f>
        <v/>
      </c>
      <c r="AD141" s="34" t="str">
        <f t="shared" si="141"/>
        <v/>
      </c>
      <c r="AE141" s="34" t="str">
        <f t="shared" si="141"/>
        <v/>
      </c>
      <c r="AF141" s="34" t="str">
        <f t="shared" si="141"/>
        <v/>
      </c>
      <c r="AG141" s="34" t="str">
        <f t="shared" si="141"/>
        <v/>
      </c>
      <c r="AH141" s="34" t="str">
        <f t="shared" si="141"/>
        <v/>
      </c>
      <c r="AI141" s="34" t="str">
        <f t="shared" si="141"/>
        <v/>
      </c>
      <c r="AJ141" s="34" t="str">
        <f t="shared" si="141"/>
        <v/>
      </c>
      <c r="AK141" s="34" t="str">
        <f t="shared" si="141"/>
        <v/>
      </c>
      <c r="AL141" s="34" t="str">
        <f t="shared" si="141"/>
        <v/>
      </c>
      <c r="AM141" s="34" t="str">
        <f t="shared" si="141"/>
        <v/>
      </c>
      <c r="AN141" s="34" t="str">
        <f t="shared" si="141"/>
        <v/>
      </c>
      <c r="AO141" s="34" t="str">
        <f t="shared" si="141"/>
        <v/>
      </c>
      <c r="AP141" s="34" t="str">
        <f t="shared" si="141"/>
        <v/>
      </c>
      <c r="AQ141" s="76" t="s">
        <v>175</v>
      </c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  <c r="BG141" s="77"/>
      <c r="BH141" s="77"/>
      <c r="BI141" s="77"/>
      <c r="BJ141" s="77"/>
      <c r="BK141" s="77"/>
      <c r="BL141" s="77"/>
      <c r="BM141" s="78"/>
    </row>
    <row r="142">
      <c r="A142" s="79" t="s">
        <v>69</v>
      </c>
      <c r="B142" s="79" t="b">
        <v>0</v>
      </c>
      <c r="C142" s="79" t="b">
        <f t="shared" si="3"/>
        <v>1</v>
      </c>
      <c r="D142" s="80" t="s">
        <v>825</v>
      </c>
      <c r="E142" s="81" t="s">
        <v>1685</v>
      </c>
      <c r="F142" s="82" t="s">
        <v>1517</v>
      </c>
      <c r="G142" s="35" t="s">
        <v>831</v>
      </c>
      <c r="H142" s="37">
        <v>-2.245876228540544</v>
      </c>
      <c r="I142" s="37">
        <v>3.1962613801873134</v>
      </c>
      <c r="J142" s="83" t="s">
        <v>1686</v>
      </c>
      <c r="K142" s="35">
        <v>36.6</v>
      </c>
      <c r="L142" s="79">
        <v>83.07000000000001</v>
      </c>
      <c r="M142" s="84">
        <v>18.0</v>
      </c>
      <c r="N142" s="84">
        <v>6.0</v>
      </c>
      <c r="O142" s="85">
        <v>1.69967856591836</v>
      </c>
      <c r="P142" s="85">
        <v>-0.32307083654373747</v>
      </c>
      <c r="Q142" s="85">
        <v>-2.9762465695448</v>
      </c>
      <c r="R142" s="85">
        <v>0.06984355235041496</v>
      </c>
      <c r="S142" s="85">
        <v>1.2479268911058683</v>
      </c>
      <c r="T142" s="85">
        <v>-0.7808479426439073</v>
      </c>
      <c r="U142" s="85">
        <v>0.8320087551891648</v>
      </c>
      <c r="V142" s="85">
        <v>0.4985044653077665</v>
      </c>
      <c r="W142" s="85">
        <v>-0.994320192789633</v>
      </c>
      <c r="X142" s="85">
        <v>-1.5193529168900406</v>
      </c>
      <c r="Y142" s="50" t="s">
        <v>69</v>
      </c>
      <c r="Z142" s="50" t="s">
        <v>69</v>
      </c>
      <c r="AA142" s="50" t="s">
        <v>69</v>
      </c>
      <c r="AB142" s="50" t="s">
        <v>69</v>
      </c>
      <c r="AC142" s="34" t="str">
        <f t="shared" ref="AC142:AP142" si="142">LET(
  skater, IFERROR(INDEX(AllProj, MATCH($E142, AllProjNames, 0), MATCH(AC$2, AllProjCats, 0) + 1), ""),
  goalie, IFERROR(INDEX(AllGProj, MATCH($E142, AllGProjNames, 0), MATCH(AC$2, AllGProjCats, 0) + 1), ""),
  val, IF(skater &lt;&gt; "", skater, goalie),
  IF(OR($E142="", AC$2="", val=""), "", val * AC$1)
)</f>
        <v/>
      </c>
      <c r="AD142" s="34" t="str">
        <f t="shared" si="142"/>
        <v/>
      </c>
      <c r="AE142" s="34" t="str">
        <f t="shared" si="142"/>
        <v/>
      </c>
      <c r="AF142" s="34" t="str">
        <f t="shared" si="142"/>
        <v/>
      </c>
      <c r="AG142" s="34" t="str">
        <f t="shared" si="142"/>
        <v/>
      </c>
      <c r="AH142" s="34" t="str">
        <f t="shared" si="142"/>
        <v/>
      </c>
      <c r="AI142" s="34" t="str">
        <f t="shared" si="142"/>
        <v/>
      </c>
      <c r="AJ142" s="34" t="str">
        <f t="shared" si="142"/>
        <v/>
      </c>
      <c r="AK142" s="34" t="str">
        <f t="shared" si="142"/>
        <v/>
      </c>
      <c r="AL142" s="34" t="str">
        <f t="shared" si="142"/>
        <v/>
      </c>
      <c r="AM142" s="34" t="str">
        <f t="shared" si="142"/>
        <v/>
      </c>
      <c r="AN142" s="34" t="str">
        <f t="shared" si="142"/>
        <v/>
      </c>
      <c r="AO142" s="34" t="str">
        <f t="shared" si="142"/>
        <v/>
      </c>
      <c r="AP142" s="34" t="str">
        <f t="shared" si="142"/>
        <v/>
      </c>
      <c r="AQ142" s="76" t="s">
        <v>176</v>
      </c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8"/>
    </row>
    <row r="143">
      <c r="A143" s="41" t="s">
        <v>69</v>
      </c>
      <c r="B143" s="41" t="b">
        <v>0</v>
      </c>
      <c r="C143" s="41" t="b">
        <f t="shared" si="3"/>
        <v>1</v>
      </c>
      <c r="D143" s="42" t="s">
        <v>22</v>
      </c>
      <c r="E143" s="43" t="s">
        <v>1687</v>
      </c>
      <c r="F143" s="44" t="s">
        <v>1517</v>
      </c>
      <c r="G143" s="29" t="s">
        <v>837</v>
      </c>
      <c r="H143" s="32">
        <v>-2.3500118099498444</v>
      </c>
      <c r="I143" s="32">
        <v>3.179846961979057</v>
      </c>
      <c r="J143" s="45" t="s">
        <v>1688</v>
      </c>
      <c r="K143" s="29">
        <v>36.3</v>
      </c>
      <c r="L143" s="41">
        <v>75.98073529411765</v>
      </c>
      <c r="M143" s="46">
        <v>18.0</v>
      </c>
      <c r="N143" s="46">
        <v>6.0</v>
      </c>
      <c r="O143" s="47">
        <v>-0.8152290064327083</v>
      </c>
      <c r="P143" s="47">
        <v>1.1038434149597622</v>
      </c>
      <c r="Q143" s="47">
        <v>-2.378196842763194</v>
      </c>
      <c r="R143" s="47">
        <v>-0.7666574641178978</v>
      </c>
      <c r="S143" s="47">
        <v>1.283844776795131</v>
      </c>
      <c r="T143" s="47">
        <v>-0.7106764775268594</v>
      </c>
      <c r="U143" s="47">
        <v>0.8639390885488317</v>
      </c>
      <c r="V143" s="47">
        <v>0.0</v>
      </c>
      <c r="W143" s="47">
        <v>-1.8714979347922143</v>
      </c>
      <c r="X143" s="47">
        <v>0.9406186353793043</v>
      </c>
      <c r="Y143" s="50" t="s">
        <v>69</v>
      </c>
      <c r="Z143" s="50" t="s">
        <v>69</v>
      </c>
      <c r="AA143" s="50" t="s">
        <v>69</v>
      </c>
      <c r="AB143" s="50" t="s">
        <v>69</v>
      </c>
      <c r="AC143" s="34" t="str">
        <f t="shared" ref="AC143:AP143" si="143">LET(
  skater, IFERROR(INDEX(AllProj, MATCH($E143, AllProjNames, 0), MATCH(AC$2, AllProjCats, 0) + 1), ""),
  goalie, IFERROR(INDEX(AllGProj, MATCH($E143, AllGProjNames, 0), MATCH(AC$2, AllGProjCats, 0) + 1), ""),
  val, IF(skater &lt;&gt; "", skater, goalie),
  IF(OR($E143="", AC$2="", val=""), "", val * AC$1)
)</f>
        <v/>
      </c>
      <c r="AD143" s="34" t="str">
        <f t="shared" si="143"/>
        <v/>
      </c>
      <c r="AE143" s="34" t="str">
        <f t="shared" si="143"/>
        <v/>
      </c>
      <c r="AF143" s="34" t="str">
        <f t="shared" si="143"/>
        <v/>
      </c>
      <c r="AG143" s="34" t="str">
        <f t="shared" si="143"/>
        <v/>
      </c>
      <c r="AH143" s="34" t="str">
        <f t="shared" si="143"/>
        <v/>
      </c>
      <c r="AI143" s="34" t="str">
        <f t="shared" si="143"/>
        <v/>
      </c>
      <c r="AJ143" s="34" t="str">
        <f t="shared" si="143"/>
        <v/>
      </c>
      <c r="AK143" s="34" t="str">
        <f t="shared" si="143"/>
        <v/>
      </c>
      <c r="AL143" s="34" t="str">
        <f t="shared" si="143"/>
        <v/>
      </c>
      <c r="AM143" s="34" t="str">
        <f t="shared" si="143"/>
        <v/>
      </c>
      <c r="AN143" s="34" t="str">
        <f t="shared" si="143"/>
        <v/>
      </c>
      <c r="AO143" s="34" t="str">
        <f t="shared" si="143"/>
        <v/>
      </c>
      <c r="AP143" s="34" t="str">
        <f t="shared" si="143"/>
        <v/>
      </c>
      <c r="AQ143" s="76" t="s">
        <v>177</v>
      </c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  <c r="BF143" s="77"/>
      <c r="BG143" s="77"/>
      <c r="BH143" s="77"/>
      <c r="BI143" s="77"/>
      <c r="BJ143" s="77"/>
      <c r="BK143" s="77"/>
      <c r="BL143" s="77"/>
      <c r="BM143" s="78"/>
    </row>
    <row r="144">
      <c r="A144" s="79" t="s">
        <v>69</v>
      </c>
      <c r="B144" s="79" t="b">
        <v>0</v>
      </c>
      <c r="C144" s="79" t="b">
        <f t="shared" si="3"/>
        <v>1</v>
      </c>
      <c r="D144" s="80" t="s">
        <v>254</v>
      </c>
      <c r="E144" s="81" t="s">
        <v>1689</v>
      </c>
      <c r="F144" s="82" t="s">
        <v>1548</v>
      </c>
      <c r="G144" s="35" t="s">
        <v>832</v>
      </c>
      <c r="H144" s="37">
        <v>-2.3681985508115746</v>
      </c>
      <c r="I144" s="37">
        <v>3.0739390579162826</v>
      </c>
      <c r="J144" s="83" t="s">
        <v>1690</v>
      </c>
      <c r="K144" s="35">
        <v>20.6</v>
      </c>
      <c r="L144" s="79">
        <v>82.59205882352941</v>
      </c>
      <c r="M144" s="84">
        <v>34.0</v>
      </c>
      <c r="N144" s="84">
        <v>7.0</v>
      </c>
      <c r="O144" s="85">
        <v>0.6772048244409563</v>
      </c>
      <c r="P144" s="85">
        <v>0.5184218695912066</v>
      </c>
      <c r="Q144" s="85">
        <v>-2.0838911298399947</v>
      </c>
      <c r="R144" s="85">
        <v>0.6589147130235362</v>
      </c>
      <c r="S144" s="85">
        <v>0.1673310742131109</v>
      </c>
      <c r="T144" s="85">
        <v>-0.7767861184551701</v>
      </c>
      <c r="U144" s="85">
        <v>0.9864556853429253</v>
      </c>
      <c r="V144" s="85">
        <v>0.0</v>
      </c>
      <c r="W144" s="85">
        <v>-0.6660927784707442</v>
      </c>
      <c r="X144" s="85">
        <v>-1.8497566906574008</v>
      </c>
      <c r="Y144" s="50" t="s">
        <v>69</v>
      </c>
      <c r="Z144" s="50" t="s">
        <v>69</v>
      </c>
      <c r="AA144" s="50" t="s">
        <v>69</v>
      </c>
      <c r="AB144" s="50" t="s">
        <v>69</v>
      </c>
      <c r="AC144" s="34" t="str">
        <f t="shared" ref="AC144:AP144" si="144">LET(
  skater, IFERROR(INDEX(AllProj, MATCH($E144, AllProjNames, 0), MATCH(AC$2, AllProjCats, 0) + 1), ""),
  goalie, IFERROR(INDEX(AllGProj, MATCH($E144, AllGProjNames, 0), MATCH(AC$2, AllGProjCats, 0) + 1), ""),
  val, IF(skater &lt;&gt; "", skater, goalie),
  IF(OR($E144="", AC$2="", val=""), "", val * AC$1)
)</f>
        <v/>
      </c>
      <c r="AD144" s="34" t="str">
        <f t="shared" si="144"/>
        <v/>
      </c>
      <c r="AE144" s="34" t="str">
        <f t="shared" si="144"/>
        <v/>
      </c>
      <c r="AF144" s="34" t="str">
        <f t="shared" si="144"/>
        <v/>
      </c>
      <c r="AG144" s="34" t="str">
        <f t="shared" si="144"/>
        <v/>
      </c>
      <c r="AH144" s="34" t="str">
        <f t="shared" si="144"/>
        <v/>
      </c>
      <c r="AI144" s="34" t="str">
        <f t="shared" si="144"/>
        <v/>
      </c>
      <c r="AJ144" s="34" t="str">
        <f t="shared" si="144"/>
        <v/>
      </c>
      <c r="AK144" s="34" t="str">
        <f t="shared" si="144"/>
        <v/>
      </c>
      <c r="AL144" s="34" t="str">
        <f t="shared" si="144"/>
        <v/>
      </c>
      <c r="AM144" s="34" t="str">
        <f t="shared" si="144"/>
        <v/>
      </c>
      <c r="AN144" s="34" t="str">
        <f t="shared" si="144"/>
        <v/>
      </c>
      <c r="AO144" s="34" t="str">
        <f t="shared" si="144"/>
        <v/>
      </c>
      <c r="AP144" s="34" t="str">
        <f t="shared" si="144"/>
        <v/>
      </c>
      <c r="AQ144" s="76" t="s">
        <v>178</v>
      </c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  <c r="BF144" s="77"/>
      <c r="BG144" s="77"/>
      <c r="BH144" s="77"/>
      <c r="BI144" s="77"/>
      <c r="BJ144" s="77"/>
      <c r="BK144" s="77"/>
      <c r="BL144" s="77"/>
      <c r="BM144" s="78"/>
    </row>
    <row r="145">
      <c r="A145" s="41" t="s">
        <v>69</v>
      </c>
      <c r="B145" s="41" t="b">
        <v>0</v>
      </c>
      <c r="C145" s="41" t="b">
        <f t="shared" si="3"/>
        <v>1</v>
      </c>
      <c r="D145" s="42" t="s">
        <v>827</v>
      </c>
      <c r="E145" s="43" t="s">
        <v>1691</v>
      </c>
      <c r="F145" s="44" t="s">
        <v>1419</v>
      </c>
      <c r="G145" s="29" t="s">
        <v>284</v>
      </c>
      <c r="H145" s="32">
        <v>-2.3730491578933117</v>
      </c>
      <c r="I145" s="32">
        <v>2.6650168622897734</v>
      </c>
      <c r="J145" s="45" t="s">
        <v>1692</v>
      </c>
      <c r="K145" s="29">
        <v>38.0</v>
      </c>
      <c r="L145" s="41">
        <v>80.49107142857143</v>
      </c>
      <c r="M145" s="46">
        <v>23.0</v>
      </c>
      <c r="N145" s="46">
        <v>7.0</v>
      </c>
      <c r="O145" s="47">
        <v>-0.6504698652870697</v>
      </c>
      <c r="P145" s="47">
        <v>-1.0787697722317058</v>
      </c>
      <c r="Q145" s="47">
        <v>0.6348000026371956</v>
      </c>
      <c r="R145" s="47">
        <v>-1.12618131220648</v>
      </c>
      <c r="S145" s="47">
        <v>-1.3425849897142477</v>
      </c>
      <c r="T145" s="47">
        <v>0.3731284637964989</v>
      </c>
      <c r="U145" s="47">
        <v>-1.170813487299474</v>
      </c>
      <c r="V145" s="47">
        <v>2.5878055705673173</v>
      </c>
      <c r="W145" s="47">
        <v>0.5992727425251853</v>
      </c>
      <c r="X145" s="47">
        <v>-1.1992365106805316</v>
      </c>
      <c r="Y145" s="50" t="s">
        <v>69</v>
      </c>
      <c r="Z145" s="50" t="s">
        <v>69</v>
      </c>
      <c r="AA145" s="50" t="s">
        <v>69</v>
      </c>
      <c r="AB145" s="50" t="s">
        <v>69</v>
      </c>
      <c r="AC145" s="34" t="str">
        <f t="shared" ref="AC145:AP145" si="145">LET(
  skater, IFERROR(INDEX(AllProj, MATCH($E145, AllProjNames, 0), MATCH(AC$2, AllProjCats, 0) + 1), ""),
  goalie, IFERROR(INDEX(AllGProj, MATCH($E145, AllGProjNames, 0), MATCH(AC$2, AllGProjCats, 0) + 1), ""),
  val, IF(skater &lt;&gt; "", skater, goalie),
  IF(OR($E145="", AC$2="", val=""), "", val * AC$1)
)</f>
        <v/>
      </c>
      <c r="AD145" s="34" t="str">
        <f t="shared" si="145"/>
        <v/>
      </c>
      <c r="AE145" s="34" t="str">
        <f t="shared" si="145"/>
        <v/>
      </c>
      <c r="AF145" s="34" t="str">
        <f t="shared" si="145"/>
        <v/>
      </c>
      <c r="AG145" s="34" t="str">
        <f t="shared" si="145"/>
        <v/>
      </c>
      <c r="AH145" s="34" t="str">
        <f t="shared" si="145"/>
        <v/>
      </c>
      <c r="AI145" s="34" t="str">
        <f t="shared" si="145"/>
        <v/>
      </c>
      <c r="AJ145" s="34" t="str">
        <f t="shared" si="145"/>
        <v/>
      </c>
      <c r="AK145" s="34" t="str">
        <f t="shared" si="145"/>
        <v/>
      </c>
      <c r="AL145" s="34" t="str">
        <f t="shared" si="145"/>
        <v/>
      </c>
      <c r="AM145" s="34" t="str">
        <f t="shared" si="145"/>
        <v/>
      </c>
      <c r="AN145" s="34" t="str">
        <f t="shared" si="145"/>
        <v/>
      </c>
      <c r="AO145" s="34" t="str">
        <f t="shared" si="145"/>
        <v/>
      </c>
      <c r="AP145" s="34" t="str">
        <f t="shared" si="145"/>
        <v/>
      </c>
      <c r="AQ145" s="76" t="s">
        <v>179</v>
      </c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  <c r="BF145" s="77"/>
      <c r="BG145" s="77"/>
      <c r="BH145" s="77"/>
      <c r="BI145" s="77"/>
      <c r="BJ145" s="77"/>
      <c r="BK145" s="77"/>
      <c r="BL145" s="77"/>
      <c r="BM145" s="78"/>
    </row>
    <row r="146">
      <c r="A146" s="79" t="s">
        <v>69</v>
      </c>
      <c r="B146" s="79" t="b">
        <v>0</v>
      </c>
      <c r="C146" s="79" t="b">
        <f t="shared" si="3"/>
        <v>1</v>
      </c>
      <c r="D146" s="80" t="s">
        <v>22</v>
      </c>
      <c r="E146" s="81" t="s">
        <v>1693</v>
      </c>
      <c r="F146" s="82" t="s">
        <v>1489</v>
      </c>
      <c r="G146" s="35" t="s">
        <v>835</v>
      </c>
      <c r="H146" s="37">
        <v>-2.3797889772109264</v>
      </c>
      <c r="I146" s="37">
        <v>3.0080911477018124</v>
      </c>
      <c r="J146" s="83" t="s">
        <v>1694</v>
      </c>
      <c r="K146" s="35">
        <v>30.1</v>
      </c>
      <c r="L146" s="79">
        <v>79.93132352941177</v>
      </c>
      <c r="M146" s="84">
        <v>28.0</v>
      </c>
      <c r="N146" s="84">
        <v>7.0</v>
      </c>
      <c r="O146" s="85">
        <v>0.8201515771245561</v>
      </c>
      <c r="P146" s="85">
        <v>0.13361112920854273</v>
      </c>
      <c r="Q146" s="85">
        <v>-1.2476579646733859</v>
      </c>
      <c r="R146" s="85">
        <v>-0.1098939042856564</v>
      </c>
      <c r="S146" s="85">
        <v>1.103653646917209</v>
      </c>
      <c r="T146" s="85">
        <v>-0.7794780501826585</v>
      </c>
      <c r="U146" s="85">
        <v>1.039649291867408</v>
      </c>
      <c r="V146" s="85">
        <v>0.0</v>
      </c>
      <c r="W146" s="85">
        <v>-1.489517172836588</v>
      </c>
      <c r="X146" s="85">
        <v>-1.8503075303503536</v>
      </c>
      <c r="Y146" s="50" t="s">
        <v>69</v>
      </c>
      <c r="Z146" s="50" t="s">
        <v>69</v>
      </c>
      <c r="AA146" s="50" t="s">
        <v>69</v>
      </c>
      <c r="AB146" s="50" t="s">
        <v>69</v>
      </c>
      <c r="AC146" s="34" t="str">
        <f t="shared" ref="AC146:AP146" si="146">LET(
  skater, IFERROR(INDEX(AllProj, MATCH($E146, AllProjNames, 0), MATCH(AC$2, AllProjCats, 0) + 1), ""),
  goalie, IFERROR(INDEX(AllGProj, MATCH($E146, AllGProjNames, 0), MATCH(AC$2, AllGProjCats, 0) + 1), ""),
  val, IF(skater &lt;&gt; "", skater, goalie),
  IF(OR($E146="", AC$2="", val=""), "", val * AC$1)
)</f>
        <v/>
      </c>
      <c r="AD146" s="34" t="str">
        <f t="shared" si="146"/>
        <v/>
      </c>
      <c r="AE146" s="34" t="str">
        <f t="shared" si="146"/>
        <v/>
      </c>
      <c r="AF146" s="34" t="str">
        <f t="shared" si="146"/>
        <v/>
      </c>
      <c r="AG146" s="34" t="str">
        <f t="shared" si="146"/>
        <v/>
      </c>
      <c r="AH146" s="34" t="str">
        <f t="shared" si="146"/>
        <v/>
      </c>
      <c r="AI146" s="34" t="str">
        <f t="shared" si="146"/>
        <v/>
      </c>
      <c r="AJ146" s="34" t="str">
        <f t="shared" si="146"/>
        <v/>
      </c>
      <c r="AK146" s="34" t="str">
        <f t="shared" si="146"/>
        <v/>
      </c>
      <c r="AL146" s="34" t="str">
        <f t="shared" si="146"/>
        <v/>
      </c>
      <c r="AM146" s="34" t="str">
        <f t="shared" si="146"/>
        <v/>
      </c>
      <c r="AN146" s="34" t="str">
        <f t="shared" si="146"/>
        <v/>
      </c>
      <c r="AO146" s="34" t="str">
        <f t="shared" si="146"/>
        <v/>
      </c>
      <c r="AP146" s="34" t="str">
        <f t="shared" si="146"/>
        <v/>
      </c>
      <c r="AQ146" s="76" t="s">
        <v>180</v>
      </c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  <c r="BF146" s="77"/>
      <c r="BG146" s="77"/>
      <c r="BH146" s="77"/>
      <c r="BI146" s="77"/>
      <c r="BJ146" s="77"/>
      <c r="BK146" s="77"/>
      <c r="BL146" s="77"/>
      <c r="BM146" s="78"/>
    </row>
    <row r="147">
      <c r="A147" s="41" t="s">
        <v>69</v>
      </c>
      <c r="B147" s="41" t="b">
        <v>0</v>
      </c>
      <c r="C147" s="41" t="b">
        <f t="shared" si="3"/>
        <v>1</v>
      </c>
      <c r="D147" s="42" t="s">
        <v>827</v>
      </c>
      <c r="E147" s="43" t="s">
        <v>1695</v>
      </c>
      <c r="F147" s="44" t="s">
        <v>1444</v>
      </c>
      <c r="G147" s="29" t="s">
        <v>836</v>
      </c>
      <c r="H147" s="32">
        <v>-2.4977016951393507</v>
      </c>
      <c r="I147" s="32">
        <v>2.9444359135885065</v>
      </c>
      <c r="J147" s="45" t="s">
        <v>1696</v>
      </c>
      <c r="K147" s="29">
        <v>25.9</v>
      </c>
      <c r="L147" s="41">
        <v>83.03470588235294</v>
      </c>
      <c r="M147" s="46">
        <v>33.0</v>
      </c>
      <c r="N147" s="46">
        <v>6.0</v>
      </c>
      <c r="O147" s="47">
        <v>1.8413378697289937</v>
      </c>
      <c r="P147" s="47">
        <v>-0.43253308556348236</v>
      </c>
      <c r="Q147" s="47">
        <v>-1.1814959121312378</v>
      </c>
      <c r="R147" s="47">
        <v>-1.1665908009745152</v>
      </c>
      <c r="S147" s="47">
        <v>1.2117853477672615</v>
      </c>
      <c r="T147" s="47">
        <v>-0.7857222831778068</v>
      </c>
      <c r="U147" s="47">
        <v>1.692486959352701</v>
      </c>
      <c r="V147" s="47">
        <v>0.0</v>
      </c>
      <c r="W147" s="47">
        <v>-2.0192739489221534</v>
      </c>
      <c r="X147" s="47">
        <v>-1.6576958412191114</v>
      </c>
      <c r="Y147" s="50" t="s">
        <v>69</v>
      </c>
      <c r="Z147" s="50" t="s">
        <v>69</v>
      </c>
      <c r="AA147" s="50" t="s">
        <v>69</v>
      </c>
      <c r="AB147" s="50" t="s">
        <v>69</v>
      </c>
      <c r="AC147" s="34" t="str">
        <f t="shared" ref="AC147:AP147" si="147">LET(
  skater, IFERROR(INDEX(AllProj, MATCH($E147, AllProjNames, 0), MATCH(AC$2, AllProjCats, 0) + 1), ""),
  goalie, IFERROR(INDEX(AllGProj, MATCH($E147, AllGProjNames, 0), MATCH(AC$2, AllGProjCats, 0) + 1), ""),
  val, IF(skater &lt;&gt; "", skater, goalie),
  IF(OR($E147="", AC$2="", val=""), "", val * AC$1)
)</f>
        <v/>
      </c>
      <c r="AD147" s="34" t="str">
        <f t="shared" si="147"/>
        <v/>
      </c>
      <c r="AE147" s="34" t="str">
        <f t="shared" si="147"/>
        <v/>
      </c>
      <c r="AF147" s="34" t="str">
        <f t="shared" si="147"/>
        <v/>
      </c>
      <c r="AG147" s="34" t="str">
        <f t="shared" si="147"/>
        <v/>
      </c>
      <c r="AH147" s="34" t="str">
        <f t="shared" si="147"/>
        <v/>
      </c>
      <c r="AI147" s="34" t="str">
        <f t="shared" si="147"/>
        <v/>
      </c>
      <c r="AJ147" s="34" t="str">
        <f t="shared" si="147"/>
        <v/>
      </c>
      <c r="AK147" s="34" t="str">
        <f t="shared" si="147"/>
        <v/>
      </c>
      <c r="AL147" s="34" t="str">
        <f t="shared" si="147"/>
        <v/>
      </c>
      <c r="AM147" s="34" t="str">
        <f t="shared" si="147"/>
        <v/>
      </c>
      <c r="AN147" s="34" t="str">
        <f t="shared" si="147"/>
        <v/>
      </c>
      <c r="AO147" s="34" t="str">
        <f t="shared" si="147"/>
        <v/>
      </c>
      <c r="AP147" s="34" t="str">
        <f t="shared" si="147"/>
        <v/>
      </c>
      <c r="AQ147" s="76" t="s">
        <v>181</v>
      </c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  <c r="BF147" s="77"/>
      <c r="BG147" s="77"/>
      <c r="BH147" s="77"/>
      <c r="BI147" s="77"/>
      <c r="BJ147" s="77"/>
      <c r="BK147" s="77"/>
      <c r="BL147" s="77"/>
      <c r="BM147" s="78"/>
    </row>
    <row r="148">
      <c r="A148" s="79" t="s">
        <v>69</v>
      </c>
      <c r="B148" s="79" t="b">
        <v>0</v>
      </c>
      <c r="C148" s="79" t="b">
        <f t="shared" si="3"/>
        <v>1</v>
      </c>
      <c r="D148" s="80" t="s">
        <v>826</v>
      </c>
      <c r="E148" s="81" t="s">
        <v>1697</v>
      </c>
      <c r="F148" s="82" t="s">
        <v>849</v>
      </c>
      <c r="G148" s="35" t="s">
        <v>837</v>
      </c>
      <c r="H148" s="37">
        <v>-2.5079289758081065</v>
      </c>
      <c r="I148" s="37">
        <v>3.0219297961207947</v>
      </c>
      <c r="J148" s="83" t="s">
        <v>1698</v>
      </c>
      <c r="K148" s="35">
        <v>36.3</v>
      </c>
      <c r="L148" s="79">
        <v>80.48102941176471</v>
      </c>
      <c r="M148" s="84">
        <v>29.0</v>
      </c>
      <c r="N148" s="84">
        <v>6.0</v>
      </c>
      <c r="O148" s="85">
        <v>-1.7347591766857797</v>
      </c>
      <c r="P148" s="85">
        <v>-0.14536467509681586</v>
      </c>
      <c r="Q148" s="85">
        <v>2.9269411903549174</v>
      </c>
      <c r="R148" s="85">
        <v>-0.738801345026332</v>
      </c>
      <c r="S148" s="85">
        <v>-1.3082049349595404</v>
      </c>
      <c r="T148" s="85">
        <v>-0.39964310112412804</v>
      </c>
      <c r="U148" s="85">
        <v>-0.6243651156809502</v>
      </c>
      <c r="V148" s="85">
        <v>0.0</v>
      </c>
      <c r="W148" s="85">
        <v>-1.2635333198624523</v>
      </c>
      <c r="X148" s="85">
        <v>0.7798015022729746</v>
      </c>
      <c r="Y148" s="50" t="s">
        <v>69</v>
      </c>
      <c r="Z148" s="50" t="s">
        <v>69</v>
      </c>
      <c r="AA148" s="50" t="s">
        <v>69</v>
      </c>
      <c r="AB148" s="50" t="s">
        <v>69</v>
      </c>
      <c r="AC148" s="34" t="str">
        <f t="shared" ref="AC148:AP148" si="148">LET(
  skater, IFERROR(INDEX(AllProj, MATCH($E148, AllProjNames, 0), MATCH(AC$2, AllProjCats, 0) + 1), ""),
  goalie, IFERROR(INDEX(AllGProj, MATCH($E148, AllGProjNames, 0), MATCH(AC$2, AllGProjCats, 0) + 1), ""),
  val, IF(skater &lt;&gt; "", skater, goalie),
  IF(OR($E148="", AC$2="", val=""), "", val * AC$1)
)</f>
        <v/>
      </c>
      <c r="AD148" s="34" t="str">
        <f t="shared" si="148"/>
        <v/>
      </c>
      <c r="AE148" s="34" t="str">
        <f t="shared" si="148"/>
        <v/>
      </c>
      <c r="AF148" s="34" t="str">
        <f t="shared" si="148"/>
        <v/>
      </c>
      <c r="AG148" s="34" t="str">
        <f t="shared" si="148"/>
        <v/>
      </c>
      <c r="AH148" s="34" t="str">
        <f t="shared" si="148"/>
        <v/>
      </c>
      <c r="AI148" s="34" t="str">
        <f t="shared" si="148"/>
        <v/>
      </c>
      <c r="AJ148" s="34" t="str">
        <f t="shared" si="148"/>
        <v/>
      </c>
      <c r="AK148" s="34" t="str">
        <f t="shared" si="148"/>
        <v/>
      </c>
      <c r="AL148" s="34" t="str">
        <f t="shared" si="148"/>
        <v/>
      </c>
      <c r="AM148" s="34" t="str">
        <f t="shared" si="148"/>
        <v/>
      </c>
      <c r="AN148" s="34" t="str">
        <f t="shared" si="148"/>
        <v/>
      </c>
      <c r="AO148" s="34" t="str">
        <f t="shared" si="148"/>
        <v/>
      </c>
      <c r="AP148" s="34" t="str">
        <f t="shared" si="148"/>
        <v/>
      </c>
      <c r="AQ148" s="76" t="s">
        <v>182</v>
      </c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  <c r="BF148" s="77"/>
      <c r="BG148" s="77"/>
      <c r="BH148" s="77"/>
      <c r="BI148" s="77"/>
      <c r="BJ148" s="77"/>
      <c r="BK148" s="77"/>
      <c r="BL148" s="77"/>
      <c r="BM148" s="78"/>
    </row>
    <row r="149">
      <c r="A149" s="41" t="s">
        <v>69</v>
      </c>
      <c r="B149" s="41" t="b">
        <v>0</v>
      </c>
      <c r="C149" s="41" t="b">
        <f t="shared" si="3"/>
        <v>1</v>
      </c>
      <c r="D149" s="42" t="s">
        <v>827</v>
      </c>
      <c r="E149" s="43" t="s">
        <v>1699</v>
      </c>
      <c r="F149" s="44" t="s">
        <v>1419</v>
      </c>
      <c r="G149" s="29" t="s">
        <v>831</v>
      </c>
      <c r="H149" s="32">
        <v>-2.509849907347001</v>
      </c>
      <c r="I149" s="32">
        <v>2.932287701380856</v>
      </c>
      <c r="J149" s="45" t="s">
        <v>1700</v>
      </c>
      <c r="K149" s="29">
        <v>24.6</v>
      </c>
      <c r="L149" s="41">
        <v>56.1764705882353</v>
      </c>
      <c r="M149" s="46">
        <v>23.0</v>
      </c>
      <c r="N149" s="46">
        <v>7.0</v>
      </c>
      <c r="O149" s="47">
        <v>0.5678799859840914</v>
      </c>
      <c r="P149" s="47">
        <v>-0.37841391278158054</v>
      </c>
      <c r="Q149" s="47">
        <v>0.33724132239901544</v>
      </c>
      <c r="R149" s="47">
        <v>-1.9169824824120674</v>
      </c>
      <c r="S149" s="47">
        <v>0.11593721302283597</v>
      </c>
      <c r="T149" s="47">
        <v>1.7716451521633623</v>
      </c>
      <c r="U149" s="47">
        <v>0.05745972271271164</v>
      </c>
      <c r="V149" s="47">
        <v>0.0</v>
      </c>
      <c r="W149" s="47">
        <v>-1.281885195867137</v>
      </c>
      <c r="X149" s="47">
        <v>-1.782731712568233</v>
      </c>
      <c r="Y149" s="50" t="s">
        <v>69</v>
      </c>
      <c r="Z149" s="50" t="s">
        <v>69</v>
      </c>
      <c r="AA149" s="50" t="s">
        <v>69</v>
      </c>
      <c r="AB149" s="50" t="s">
        <v>69</v>
      </c>
      <c r="AC149" s="34" t="str">
        <f t="shared" ref="AC149:AP149" si="149">LET(
  skater, IFERROR(INDEX(AllProj, MATCH($E149, AllProjNames, 0), MATCH(AC$2, AllProjCats, 0) + 1), ""),
  goalie, IFERROR(INDEX(AllGProj, MATCH($E149, AllGProjNames, 0), MATCH(AC$2, AllGProjCats, 0) + 1), ""),
  val, IF(skater &lt;&gt; "", skater, goalie),
  IF(OR($E149="", AC$2="", val=""), "", val * AC$1)
)</f>
        <v/>
      </c>
      <c r="AD149" s="34" t="str">
        <f t="shared" si="149"/>
        <v/>
      </c>
      <c r="AE149" s="34" t="str">
        <f t="shared" si="149"/>
        <v/>
      </c>
      <c r="AF149" s="34" t="str">
        <f t="shared" si="149"/>
        <v/>
      </c>
      <c r="AG149" s="34" t="str">
        <f t="shared" si="149"/>
        <v/>
      </c>
      <c r="AH149" s="34" t="str">
        <f t="shared" si="149"/>
        <v/>
      </c>
      <c r="AI149" s="34" t="str">
        <f t="shared" si="149"/>
        <v/>
      </c>
      <c r="AJ149" s="34" t="str">
        <f t="shared" si="149"/>
        <v/>
      </c>
      <c r="AK149" s="34" t="str">
        <f t="shared" si="149"/>
        <v/>
      </c>
      <c r="AL149" s="34" t="str">
        <f t="shared" si="149"/>
        <v/>
      </c>
      <c r="AM149" s="34" t="str">
        <f t="shared" si="149"/>
        <v/>
      </c>
      <c r="AN149" s="34" t="str">
        <f t="shared" si="149"/>
        <v/>
      </c>
      <c r="AO149" s="34" t="str">
        <f t="shared" si="149"/>
        <v/>
      </c>
      <c r="AP149" s="34" t="str">
        <f t="shared" si="149"/>
        <v/>
      </c>
      <c r="AQ149" s="76" t="s">
        <v>183</v>
      </c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  <c r="BG149" s="77"/>
      <c r="BH149" s="77"/>
      <c r="BI149" s="77"/>
      <c r="BJ149" s="77"/>
      <c r="BK149" s="77"/>
      <c r="BL149" s="77"/>
      <c r="BM149" s="78"/>
    </row>
    <row r="150">
      <c r="A150" s="79" t="s">
        <v>69</v>
      </c>
      <c r="B150" s="79" t="b">
        <v>0</v>
      </c>
      <c r="C150" s="79" t="b">
        <f t="shared" si="3"/>
        <v>1</v>
      </c>
      <c r="D150" s="80" t="s">
        <v>824</v>
      </c>
      <c r="E150" s="81" t="s">
        <v>1701</v>
      </c>
      <c r="F150" s="82" t="s">
        <v>1411</v>
      </c>
      <c r="G150" s="35" t="s">
        <v>836</v>
      </c>
      <c r="H150" s="37">
        <v>-2.514104015971034</v>
      </c>
      <c r="I150" s="37">
        <v>2.9280335927568233</v>
      </c>
      <c r="J150" s="83" t="s">
        <v>1702</v>
      </c>
      <c r="K150" s="35">
        <v>41.0</v>
      </c>
      <c r="L150" s="79">
        <v>80.89279411764706</v>
      </c>
      <c r="M150" s="84">
        <v>33.0</v>
      </c>
      <c r="N150" s="84">
        <v>8.0</v>
      </c>
      <c r="O150" s="85">
        <v>1.252261629967595</v>
      </c>
      <c r="P150" s="85">
        <v>-0.2823744051556651</v>
      </c>
      <c r="Q150" s="85">
        <v>-0.7956836575239501</v>
      </c>
      <c r="R150" s="85">
        <v>-1.5737112953413446</v>
      </c>
      <c r="S150" s="85">
        <v>0.6160360512301758</v>
      </c>
      <c r="T150" s="85">
        <v>-0.7858716878711393</v>
      </c>
      <c r="U150" s="85">
        <v>1.3542612671347538</v>
      </c>
      <c r="V150" s="85">
        <v>0.0</v>
      </c>
      <c r="W150" s="85">
        <v>-0.09372268886818694</v>
      </c>
      <c r="X150" s="85">
        <v>-2.2052992295432725</v>
      </c>
      <c r="Y150" s="50" t="s">
        <v>69</v>
      </c>
      <c r="Z150" s="50" t="s">
        <v>69</v>
      </c>
      <c r="AA150" s="50" t="s">
        <v>69</v>
      </c>
      <c r="AB150" s="50" t="s">
        <v>69</v>
      </c>
      <c r="AC150" s="34" t="str">
        <f t="shared" ref="AC150:AP150" si="150">LET(
  skater, IFERROR(INDEX(AllProj, MATCH($E150, AllProjNames, 0), MATCH(AC$2, AllProjCats, 0) + 1), ""),
  goalie, IFERROR(INDEX(AllGProj, MATCH($E150, AllGProjNames, 0), MATCH(AC$2, AllGProjCats, 0) + 1), ""),
  val, IF(skater &lt;&gt; "", skater, goalie),
  IF(OR($E150="", AC$2="", val=""), "", val * AC$1)
)</f>
        <v/>
      </c>
      <c r="AD150" s="34" t="str">
        <f t="shared" si="150"/>
        <v/>
      </c>
      <c r="AE150" s="34" t="str">
        <f t="shared" si="150"/>
        <v/>
      </c>
      <c r="AF150" s="34" t="str">
        <f t="shared" si="150"/>
        <v/>
      </c>
      <c r="AG150" s="34" t="str">
        <f t="shared" si="150"/>
        <v/>
      </c>
      <c r="AH150" s="34" t="str">
        <f t="shared" si="150"/>
        <v/>
      </c>
      <c r="AI150" s="34" t="str">
        <f t="shared" si="150"/>
        <v/>
      </c>
      <c r="AJ150" s="34" t="str">
        <f t="shared" si="150"/>
        <v/>
      </c>
      <c r="AK150" s="34" t="str">
        <f t="shared" si="150"/>
        <v/>
      </c>
      <c r="AL150" s="34" t="str">
        <f t="shared" si="150"/>
        <v/>
      </c>
      <c r="AM150" s="34" t="str">
        <f t="shared" si="150"/>
        <v/>
      </c>
      <c r="AN150" s="34" t="str">
        <f t="shared" si="150"/>
        <v/>
      </c>
      <c r="AO150" s="34" t="str">
        <f t="shared" si="150"/>
        <v/>
      </c>
      <c r="AP150" s="34" t="str">
        <f t="shared" si="150"/>
        <v/>
      </c>
      <c r="AQ150" s="76" t="s">
        <v>184</v>
      </c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  <c r="BG150" s="77"/>
      <c r="BH150" s="77"/>
      <c r="BI150" s="77"/>
      <c r="BJ150" s="77"/>
      <c r="BK150" s="77"/>
      <c r="BL150" s="77"/>
      <c r="BM150" s="78"/>
    </row>
    <row r="151">
      <c r="A151" s="41" t="s">
        <v>69</v>
      </c>
      <c r="B151" s="41" t="b">
        <v>0</v>
      </c>
      <c r="C151" s="41" t="b">
        <f t="shared" si="3"/>
        <v>1</v>
      </c>
      <c r="D151" s="42" t="s">
        <v>824</v>
      </c>
      <c r="E151" s="43" t="s">
        <v>1703</v>
      </c>
      <c r="F151" s="44" t="s">
        <v>1429</v>
      </c>
      <c r="G151" s="29" t="s">
        <v>837</v>
      </c>
      <c r="H151" s="32">
        <v>-2.5143302820376547</v>
      </c>
      <c r="I151" s="32">
        <v>3.0155284898912464</v>
      </c>
      <c r="J151" s="45" t="s">
        <v>1704</v>
      </c>
      <c r="K151" s="29">
        <v>24.1</v>
      </c>
      <c r="L151" s="41">
        <v>82.13970588235294</v>
      </c>
      <c r="M151" s="46">
        <v>24.0</v>
      </c>
      <c r="N151" s="46">
        <v>7.0</v>
      </c>
      <c r="O151" s="47">
        <v>-1.1081453038377267</v>
      </c>
      <c r="P151" s="47">
        <v>-0.05177358283930555</v>
      </c>
      <c r="Q151" s="47">
        <v>0.7189757054119053</v>
      </c>
      <c r="R151" s="47">
        <v>-0.85222145848922</v>
      </c>
      <c r="S151" s="47">
        <v>-0.6873105841194819</v>
      </c>
      <c r="T151" s="47">
        <v>-0.028639464810719346</v>
      </c>
      <c r="U151" s="47">
        <v>-0.1589695852896818</v>
      </c>
      <c r="V151" s="47">
        <v>0.0</v>
      </c>
      <c r="W151" s="47">
        <v>-1.8732431589237992</v>
      </c>
      <c r="X151" s="47">
        <v>1.5269971508603746</v>
      </c>
      <c r="Y151" s="50" t="s">
        <v>69</v>
      </c>
      <c r="Z151" s="50" t="s">
        <v>69</v>
      </c>
      <c r="AA151" s="50" t="s">
        <v>69</v>
      </c>
      <c r="AB151" s="50" t="s">
        <v>69</v>
      </c>
      <c r="AC151" s="34" t="str">
        <f t="shared" ref="AC151:AP151" si="151">LET(
  skater, IFERROR(INDEX(AllProj, MATCH($E151, AllProjNames, 0), MATCH(AC$2, AllProjCats, 0) + 1), ""),
  goalie, IFERROR(INDEX(AllGProj, MATCH($E151, AllGProjNames, 0), MATCH(AC$2, AllGProjCats, 0) + 1), ""),
  val, IF(skater &lt;&gt; "", skater, goalie),
  IF(OR($E151="", AC$2="", val=""), "", val * AC$1)
)</f>
        <v/>
      </c>
      <c r="AD151" s="34" t="str">
        <f t="shared" si="151"/>
        <v/>
      </c>
      <c r="AE151" s="34" t="str">
        <f t="shared" si="151"/>
        <v/>
      </c>
      <c r="AF151" s="34" t="str">
        <f t="shared" si="151"/>
        <v/>
      </c>
      <c r="AG151" s="34" t="str">
        <f t="shared" si="151"/>
        <v/>
      </c>
      <c r="AH151" s="34" t="str">
        <f t="shared" si="151"/>
        <v/>
      </c>
      <c r="AI151" s="34" t="str">
        <f t="shared" si="151"/>
        <v/>
      </c>
      <c r="AJ151" s="34" t="str">
        <f t="shared" si="151"/>
        <v/>
      </c>
      <c r="AK151" s="34" t="str">
        <f t="shared" si="151"/>
        <v/>
      </c>
      <c r="AL151" s="34" t="str">
        <f t="shared" si="151"/>
        <v/>
      </c>
      <c r="AM151" s="34" t="str">
        <f t="shared" si="151"/>
        <v/>
      </c>
      <c r="AN151" s="34" t="str">
        <f t="shared" si="151"/>
        <v/>
      </c>
      <c r="AO151" s="34" t="str">
        <f t="shared" si="151"/>
        <v/>
      </c>
      <c r="AP151" s="34" t="str">
        <f t="shared" si="151"/>
        <v/>
      </c>
      <c r="AQ151" s="76" t="s">
        <v>185</v>
      </c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  <c r="BG151" s="77"/>
      <c r="BH151" s="77"/>
      <c r="BI151" s="77"/>
      <c r="BJ151" s="77"/>
      <c r="BK151" s="77"/>
      <c r="BL151" s="77"/>
      <c r="BM151" s="78"/>
    </row>
    <row r="152">
      <c r="A152" s="79" t="s">
        <v>69</v>
      </c>
      <c r="B152" s="79" t="b">
        <v>0</v>
      </c>
      <c r="C152" s="79" t="b">
        <f t="shared" si="3"/>
        <v>1</v>
      </c>
      <c r="D152" s="80" t="s">
        <v>502</v>
      </c>
      <c r="E152" s="81" t="s">
        <v>1705</v>
      </c>
      <c r="F152" s="82" t="s">
        <v>1706</v>
      </c>
      <c r="G152" s="35" t="s">
        <v>6</v>
      </c>
      <c r="H152" s="37">
        <v>-2.5223860327674092</v>
      </c>
      <c r="I152" s="37">
        <v>1.8158369457027046</v>
      </c>
      <c r="J152" s="83" t="s">
        <v>1707</v>
      </c>
      <c r="K152" s="35">
        <v>25.4</v>
      </c>
      <c r="L152" s="79">
        <v>54.8</v>
      </c>
      <c r="M152" s="84">
        <v>31.0</v>
      </c>
      <c r="N152" s="84">
        <v>7.0</v>
      </c>
      <c r="O152" s="96" t="s">
        <v>69</v>
      </c>
      <c r="P152" s="96" t="s">
        <v>69</v>
      </c>
      <c r="Q152" s="96" t="s">
        <v>69</v>
      </c>
      <c r="R152" s="96" t="s">
        <v>69</v>
      </c>
      <c r="S152" s="96" t="s">
        <v>69</v>
      </c>
      <c r="T152" s="96" t="s">
        <v>69</v>
      </c>
      <c r="U152" s="96" t="s">
        <v>69</v>
      </c>
      <c r="V152" s="96" t="s">
        <v>69</v>
      </c>
      <c r="W152" s="96" t="s">
        <v>69</v>
      </c>
      <c r="X152" s="96" t="s">
        <v>69</v>
      </c>
      <c r="Y152" s="95">
        <v>-0.11025599687573182</v>
      </c>
      <c r="Z152" s="95">
        <v>-2.0525952339362763</v>
      </c>
      <c r="AA152" s="95">
        <v>-0.6306698850207649</v>
      </c>
      <c r="AB152" s="95">
        <v>0.2711350830653638</v>
      </c>
      <c r="AC152" s="34" t="str">
        <f t="shared" ref="AC152:AP152" si="152">LET(
  skater, IFERROR(INDEX(AllProj, MATCH($E152, AllProjNames, 0), MATCH(AC$2, AllProjCats, 0) + 1), ""),
  goalie, IFERROR(INDEX(AllGProj, MATCH($E152, AllGProjNames, 0), MATCH(AC$2, AllGProjCats, 0) + 1), ""),
  val, IF(skater &lt;&gt; "", skater, goalie),
  IF(OR($E152="", AC$2="", val=""), "", val * AC$1)
)</f>
        <v/>
      </c>
      <c r="AD152" s="34" t="str">
        <f t="shared" si="152"/>
        <v/>
      </c>
      <c r="AE152" s="34" t="str">
        <f t="shared" si="152"/>
        <v/>
      </c>
      <c r="AF152" s="34" t="str">
        <f t="shared" si="152"/>
        <v/>
      </c>
      <c r="AG152" s="34" t="str">
        <f t="shared" si="152"/>
        <v/>
      </c>
      <c r="AH152" s="34" t="str">
        <f t="shared" si="152"/>
        <v/>
      </c>
      <c r="AI152" s="34" t="str">
        <f t="shared" si="152"/>
        <v/>
      </c>
      <c r="AJ152" s="34" t="str">
        <f t="shared" si="152"/>
        <v/>
      </c>
      <c r="AK152" s="34" t="str">
        <f t="shared" si="152"/>
        <v/>
      </c>
      <c r="AL152" s="34" t="str">
        <f t="shared" si="152"/>
        <v/>
      </c>
      <c r="AM152" s="34" t="str">
        <f t="shared" si="152"/>
        <v/>
      </c>
      <c r="AN152" s="34" t="str">
        <f t="shared" si="152"/>
        <v/>
      </c>
      <c r="AO152" s="34" t="str">
        <f t="shared" si="152"/>
        <v/>
      </c>
      <c r="AP152" s="34" t="str">
        <f t="shared" si="152"/>
        <v/>
      </c>
      <c r="AQ152" s="76" t="s">
        <v>186</v>
      </c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  <c r="BG152" s="77"/>
      <c r="BH152" s="77"/>
      <c r="BI152" s="77"/>
      <c r="BJ152" s="77"/>
      <c r="BK152" s="77"/>
      <c r="BL152" s="77"/>
      <c r="BM152" s="78"/>
    </row>
    <row r="153">
      <c r="A153" s="41" t="s">
        <v>69</v>
      </c>
      <c r="B153" s="41" t="b">
        <v>0</v>
      </c>
      <c r="C153" s="41" t="b">
        <f t="shared" si="3"/>
        <v>1</v>
      </c>
      <c r="D153" s="42" t="s">
        <v>825</v>
      </c>
      <c r="E153" s="43" t="s">
        <v>1708</v>
      </c>
      <c r="F153" s="44" t="s">
        <v>1505</v>
      </c>
      <c r="G153" s="29" t="s">
        <v>829</v>
      </c>
      <c r="H153" s="32">
        <v>-2.5340836454575317</v>
      </c>
      <c r="I153" s="32">
        <v>2.9080539632703255</v>
      </c>
      <c r="J153" s="45" t="s">
        <v>1709</v>
      </c>
      <c r="K153" s="29">
        <v>30.6</v>
      </c>
      <c r="L153" s="41">
        <v>82.48176470588236</v>
      </c>
      <c r="M153" s="46">
        <v>30.0</v>
      </c>
      <c r="N153" s="46">
        <v>5.0</v>
      </c>
      <c r="O153" s="47">
        <v>0.6712466684338604</v>
      </c>
      <c r="P153" s="47">
        <v>0.6468878542647802</v>
      </c>
      <c r="Q153" s="47">
        <v>-0.5618430783659774</v>
      </c>
      <c r="R153" s="47">
        <v>-1.6238039849821495</v>
      </c>
      <c r="S153" s="47">
        <v>0.6842926664853995</v>
      </c>
      <c r="T153" s="47">
        <v>0.06126821415158471</v>
      </c>
      <c r="U153" s="47">
        <v>0.46021877036590864</v>
      </c>
      <c r="V153" s="47">
        <v>0.5603937819463933</v>
      </c>
      <c r="W153" s="47">
        <v>-2.2097149271256704</v>
      </c>
      <c r="X153" s="47">
        <v>-1.2230296106316614</v>
      </c>
      <c r="Y153" s="50" t="s">
        <v>69</v>
      </c>
      <c r="Z153" s="50" t="s">
        <v>69</v>
      </c>
      <c r="AA153" s="50" t="s">
        <v>69</v>
      </c>
      <c r="AB153" s="50" t="s">
        <v>69</v>
      </c>
      <c r="AC153" s="34" t="str">
        <f t="shared" ref="AC153:AP153" si="153">LET(
  skater, IFERROR(INDEX(AllProj, MATCH($E153, AllProjNames, 0), MATCH(AC$2, AllProjCats, 0) + 1), ""),
  goalie, IFERROR(INDEX(AllGProj, MATCH($E153, AllGProjNames, 0), MATCH(AC$2, AllGProjCats, 0) + 1), ""),
  val, IF(skater &lt;&gt; "", skater, goalie),
  IF(OR($E153="", AC$2="", val=""), "", val * AC$1)
)</f>
        <v/>
      </c>
      <c r="AD153" s="34" t="str">
        <f t="shared" si="153"/>
        <v/>
      </c>
      <c r="AE153" s="34" t="str">
        <f t="shared" si="153"/>
        <v/>
      </c>
      <c r="AF153" s="34" t="str">
        <f t="shared" si="153"/>
        <v/>
      </c>
      <c r="AG153" s="34" t="str">
        <f t="shared" si="153"/>
        <v/>
      </c>
      <c r="AH153" s="34" t="str">
        <f t="shared" si="153"/>
        <v/>
      </c>
      <c r="AI153" s="34" t="str">
        <f t="shared" si="153"/>
        <v/>
      </c>
      <c r="AJ153" s="34" t="str">
        <f t="shared" si="153"/>
        <v/>
      </c>
      <c r="AK153" s="34" t="str">
        <f t="shared" si="153"/>
        <v/>
      </c>
      <c r="AL153" s="34" t="str">
        <f t="shared" si="153"/>
        <v/>
      </c>
      <c r="AM153" s="34" t="str">
        <f t="shared" si="153"/>
        <v/>
      </c>
      <c r="AN153" s="34" t="str">
        <f t="shared" si="153"/>
        <v/>
      </c>
      <c r="AO153" s="34" t="str">
        <f t="shared" si="153"/>
        <v/>
      </c>
      <c r="AP153" s="34" t="str">
        <f t="shared" si="153"/>
        <v/>
      </c>
      <c r="AQ153" s="76" t="s">
        <v>187</v>
      </c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  <c r="BG153" s="77"/>
      <c r="BH153" s="77"/>
      <c r="BI153" s="77"/>
      <c r="BJ153" s="77"/>
      <c r="BK153" s="77"/>
      <c r="BL153" s="77"/>
      <c r="BM153" s="78"/>
    </row>
    <row r="154">
      <c r="A154" s="79">
        <v>2.642857142857143</v>
      </c>
      <c r="B154" s="79" t="b">
        <v>0</v>
      </c>
      <c r="C154" s="79" t="b">
        <f t="shared" si="3"/>
        <v>0</v>
      </c>
      <c r="D154" s="80" t="s">
        <v>1565</v>
      </c>
      <c r="E154" s="81" t="s">
        <v>1295</v>
      </c>
      <c r="F154" s="82" t="s">
        <v>1710</v>
      </c>
      <c r="G154" s="35" t="s">
        <v>6</v>
      </c>
      <c r="H154" s="37">
        <v>-2.544840459947686</v>
      </c>
      <c r="I154" s="37">
        <v>1.793382518522428</v>
      </c>
      <c r="J154" s="83" t="s">
        <v>1711</v>
      </c>
      <c r="K154" s="35">
        <v>25.4</v>
      </c>
      <c r="L154" s="79">
        <v>55.5</v>
      </c>
      <c r="M154" s="84">
        <v>23.0</v>
      </c>
      <c r="N154" s="84">
        <v>6.0</v>
      </c>
      <c r="O154" s="96" t="s">
        <v>69</v>
      </c>
      <c r="P154" s="96" t="s">
        <v>69</v>
      </c>
      <c r="Q154" s="96" t="s">
        <v>69</v>
      </c>
      <c r="R154" s="96" t="s">
        <v>69</v>
      </c>
      <c r="S154" s="96" t="s">
        <v>69</v>
      </c>
      <c r="T154" s="96" t="s">
        <v>69</v>
      </c>
      <c r="U154" s="96" t="s">
        <v>69</v>
      </c>
      <c r="V154" s="96" t="s">
        <v>69</v>
      </c>
      <c r="W154" s="96" t="s">
        <v>69</v>
      </c>
      <c r="X154" s="96" t="s">
        <v>69</v>
      </c>
      <c r="Y154" s="95">
        <v>0.0984994769476331</v>
      </c>
      <c r="Z154" s="95">
        <v>-1.8196524491009345</v>
      </c>
      <c r="AA154" s="95">
        <v>-0.8236874877943845</v>
      </c>
      <c r="AB154" s="95">
        <v>0.0</v>
      </c>
      <c r="AC154" s="34" t="str">
        <f t="shared" ref="AC154:AP154" si="154">LET(
  skater, IFERROR(INDEX(AllProj, MATCH($E154, AllProjNames, 0), MATCH(AC$2, AllProjCats, 0) + 1), ""),
  goalie, IFERROR(INDEX(AllGProj, MATCH($E154, AllGProjNames, 0), MATCH(AC$2, AllGProjCats, 0) + 1), ""),
  val, IF(skater &lt;&gt; "", skater, goalie),
  IF(OR($E154="", AC$2="", val=""), "", val * AC$1)
)</f>
        <v/>
      </c>
      <c r="AD154" s="34" t="str">
        <f t="shared" si="154"/>
        <v/>
      </c>
      <c r="AE154" s="34" t="str">
        <f t="shared" si="154"/>
        <v/>
      </c>
      <c r="AF154" s="34" t="str">
        <f t="shared" si="154"/>
        <v/>
      </c>
      <c r="AG154" s="34" t="str">
        <f t="shared" si="154"/>
        <v/>
      </c>
      <c r="AH154" s="34" t="str">
        <f t="shared" si="154"/>
        <v/>
      </c>
      <c r="AI154" s="34" t="str">
        <f t="shared" si="154"/>
        <v/>
      </c>
      <c r="AJ154" s="34" t="str">
        <f t="shared" si="154"/>
        <v/>
      </c>
      <c r="AK154" s="34" t="str">
        <f t="shared" si="154"/>
        <v/>
      </c>
      <c r="AL154" s="34" t="str">
        <f t="shared" si="154"/>
        <v/>
      </c>
      <c r="AM154" s="34" t="str">
        <f t="shared" si="154"/>
        <v/>
      </c>
      <c r="AN154" s="34" t="str">
        <f t="shared" si="154"/>
        <v/>
      </c>
      <c r="AO154" s="34" t="str">
        <f t="shared" si="154"/>
        <v/>
      </c>
      <c r="AP154" s="34" t="str">
        <f t="shared" si="154"/>
        <v/>
      </c>
      <c r="AQ154" s="76" t="s">
        <v>188</v>
      </c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  <c r="BG154" s="77"/>
      <c r="BH154" s="77"/>
      <c r="BI154" s="77"/>
      <c r="BJ154" s="77"/>
      <c r="BK154" s="77"/>
      <c r="BL154" s="77"/>
      <c r="BM154" s="78"/>
    </row>
    <row r="155">
      <c r="A155" s="41" t="s">
        <v>69</v>
      </c>
      <c r="B155" s="41" t="b">
        <v>0</v>
      </c>
      <c r="C155" s="41" t="b">
        <f t="shared" si="3"/>
        <v>1</v>
      </c>
      <c r="D155" s="42" t="s">
        <v>773</v>
      </c>
      <c r="E155" s="43" t="s">
        <v>1712</v>
      </c>
      <c r="F155" s="44" t="s">
        <v>1548</v>
      </c>
      <c r="G155" s="29" t="s">
        <v>837</v>
      </c>
      <c r="H155" s="32">
        <v>-2.558080263213819</v>
      </c>
      <c r="I155" s="32">
        <v>2.971778508715082</v>
      </c>
      <c r="J155" s="45" t="s">
        <v>1713</v>
      </c>
      <c r="K155" s="29">
        <v>25.7</v>
      </c>
      <c r="L155" s="41">
        <v>80.87661764705882</v>
      </c>
      <c r="M155" s="46">
        <v>34.0</v>
      </c>
      <c r="N155" s="46">
        <v>7.0</v>
      </c>
      <c r="O155" s="47">
        <v>-1.1720429107791246</v>
      </c>
      <c r="P155" s="47">
        <v>1.0449363858377985</v>
      </c>
      <c r="Q155" s="47">
        <v>-1.5301556724661343</v>
      </c>
      <c r="R155" s="47">
        <v>-1.1993447259583498</v>
      </c>
      <c r="S155" s="47">
        <v>0.3990942174912443</v>
      </c>
      <c r="T155" s="47">
        <v>-0.06869278977214205</v>
      </c>
      <c r="U155" s="47">
        <v>-0.320976702360696</v>
      </c>
      <c r="V155" s="47">
        <v>0.0</v>
      </c>
      <c r="W155" s="47">
        <v>-1.1303604004503895</v>
      </c>
      <c r="X155" s="47">
        <v>1.419462335243974</v>
      </c>
      <c r="Y155" s="50" t="s">
        <v>69</v>
      </c>
      <c r="Z155" s="50" t="s">
        <v>69</v>
      </c>
      <c r="AA155" s="50" t="s">
        <v>69</v>
      </c>
      <c r="AB155" s="50" t="s">
        <v>69</v>
      </c>
      <c r="AC155" s="34" t="str">
        <f t="shared" ref="AC155:AP155" si="155">LET(
  skater, IFERROR(INDEX(AllProj, MATCH($E155, AllProjNames, 0), MATCH(AC$2, AllProjCats, 0) + 1), ""),
  goalie, IFERROR(INDEX(AllGProj, MATCH($E155, AllGProjNames, 0), MATCH(AC$2, AllGProjCats, 0) + 1), ""),
  val, IF(skater &lt;&gt; "", skater, goalie),
  IF(OR($E155="", AC$2="", val=""), "", val * AC$1)
)</f>
        <v/>
      </c>
      <c r="AD155" s="34" t="str">
        <f t="shared" si="155"/>
        <v/>
      </c>
      <c r="AE155" s="34" t="str">
        <f t="shared" si="155"/>
        <v/>
      </c>
      <c r="AF155" s="34" t="str">
        <f t="shared" si="155"/>
        <v/>
      </c>
      <c r="AG155" s="34" t="str">
        <f t="shared" si="155"/>
        <v/>
      </c>
      <c r="AH155" s="34" t="str">
        <f t="shared" si="155"/>
        <v/>
      </c>
      <c r="AI155" s="34" t="str">
        <f t="shared" si="155"/>
        <v/>
      </c>
      <c r="AJ155" s="34" t="str">
        <f t="shared" si="155"/>
        <v/>
      </c>
      <c r="AK155" s="34" t="str">
        <f t="shared" si="155"/>
        <v/>
      </c>
      <c r="AL155" s="34" t="str">
        <f t="shared" si="155"/>
        <v/>
      </c>
      <c r="AM155" s="34" t="str">
        <f t="shared" si="155"/>
        <v/>
      </c>
      <c r="AN155" s="34" t="str">
        <f t="shared" si="155"/>
        <v/>
      </c>
      <c r="AO155" s="34" t="str">
        <f t="shared" si="155"/>
        <v/>
      </c>
      <c r="AP155" s="34" t="str">
        <f t="shared" si="155"/>
        <v/>
      </c>
      <c r="AQ155" s="76" t="s">
        <v>189</v>
      </c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 s="77"/>
      <c r="BH155" s="77"/>
      <c r="BI155" s="77"/>
      <c r="BJ155" s="77"/>
      <c r="BK155" s="77"/>
      <c r="BL155" s="77"/>
      <c r="BM155" s="78"/>
    </row>
    <row r="156">
      <c r="A156" s="79">
        <v>2.7142857142857144</v>
      </c>
      <c r="B156" s="79" t="b">
        <v>0</v>
      </c>
      <c r="C156" s="79" t="b">
        <f t="shared" si="3"/>
        <v>0</v>
      </c>
      <c r="D156" s="80" t="s">
        <v>1565</v>
      </c>
      <c r="E156" s="81" t="s">
        <v>1349</v>
      </c>
      <c r="F156" s="82" t="s">
        <v>1454</v>
      </c>
      <c r="G156" s="35" t="s">
        <v>6</v>
      </c>
      <c r="H156" s="37">
        <v>-2.6832513760936156</v>
      </c>
      <c r="I156" s="37">
        <v>1.6549716023764982</v>
      </c>
      <c r="J156" s="83" t="s">
        <v>1714</v>
      </c>
      <c r="K156" s="35">
        <v>33.8</v>
      </c>
      <c r="L156" s="79">
        <v>36.0</v>
      </c>
      <c r="M156" s="84">
        <v>25.0</v>
      </c>
      <c r="N156" s="84">
        <v>6.0</v>
      </c>
      <c r="O156" s="96" t="s">
        <v>69</v>
      </c>
      <c r="P156" s="96" t="s">
        <v>69</v>
      </c>
      <c r="Q156" s="96" t="s">
        <v>69</v>
      </c>
      <c r="R156" s="96" t="s">
        <v>69</v>
      </c>
      <c r="S156" s="96" t="s">
        <v>69</v>
      </c>
      <c r="T156" s="96" t="s">
        <v>69</v>
      </c>
      <c r="U156" s="96" t="s">
        <v>69</v>
      </c>
      <c r="V156" s="96" t="s">
        <v>69</v>
      </c>
      <c r="W156" s="96" t="s">
        <v>69</v>
      </c>
      <c r="X156" s="96" t="s">
        <v>69</v>
      </c>
      <c r="Y156" s="95">
        <v>-1.3063214876750338</v>
      </c>
      <c r="Z156" s="95">
        <v>-1.077147322438286</v>
      </c>
      <c r="AA156" s="95">
        <v>-0.29978256598029607</v>
      </c>
      <c r="AB156" s="95">
        <v>0.0</v>
      </c>
      <c r="AC156" s="34" t="str">
        <f t="shared" ref="AC156:AP156" si="156">LET(
  skater, IFERROR(INDEX(AllProj, MATCH($E156, AllProjNames, 0), MATCH(AC$2, AllProjCats, 0) + 1), ""),
  goalie, IFERROR(INDEX(AllGProj, MATCH($E156, AllGProjNames, 0), MATCH(AC$2, AllGProjCats, 0) + 1), ""),
  val, IF(skater &lt;&gt; "", skater, goalie),
  IF(OR($E156="", AC$2="", val=""), "", val * AC$1)
)</f>
        <v/>
      </c>
      <c r="AD156" s="34" t="str">
        <f t="shared" si="156"/>
        <v/>
      </c>
      <c r="AE156" s="34" t="str">
        <f t="shared" si="156"/>
        <v/>
      </c>
      <c r="AF156" s="34" t="str">
        <f t="shared" si="156"/>
        <v/>
      </c>
      <c r="AG156" s="34" t="str">
        <f t="shared" si="156"/>
        <v/>
      </c>
      <c r="AH156" s="34" t="str">
        <f t="shared" si="156"/>
        <v/>
      </c>
      <c r="AI156" s="34" t="str">
        <f t="shared" si="156"/>
        <v/>
      </c>
      <c r="AJ156" s="34" t="str">
        <f t="shared" si="156"/>
        <v/>
      </c>
      <c r="AK156" s="34" t="str">
        <f t="shared" si="156"/>
        <v/>
      </c>
      <c r="AL156" s="34" t="str">
        <f t="shared" si="156"/>
        <v/>
      </c>
      <c r="AM156" s="34" t="str">
        <f t="shared" si="156"/>
        <v/>
      </c>
      <c r="AN156" s="34" t="str">
        <f t="shared" si="156"/>
        <v/>
      </c>
      <c r="AO156" s="34" t="str">
        <f t="shared" si="156"/>
        <v/>
      </c>
      <c r="AP156" s="34" t="str">
        <f t="shared" si="156"/>
        <v/>
      </c>
      <c r="AQ156" s="76" t="s">
        <v>190</v>
      </c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  <c r="BG156" s="77"/>
      <c r="BH156" s="77"/>
      <c r="BI156" s="77"/>
      <c r="BJ156" s="77"/>
      <c r="BK156" s="77"/>
      <c r="BL156" s="77"/>
      <c r="BM156" s="78"/>
    </row>
    <row r="157">
      <c r="A157" s="41" t="s">
        <v>69</v>
      </c>
      <c r="B157" s="41" t="b">
        <v>0</v>
      </c>
      <c r="C157" s="41" t="b">
        <f t="shared" si="3"/>
        <v>1</v>
      </c>
      <c r="D157" s="42" t="s">
        <v>827</v>
      </c>
      <c r="E157" s="43" t="s">
        <v>1715</v>
      </c>
      <c r="F157" s="44" t="s">
        <v>1043</v>
      </c>
      <c r="G157" s="29" t="s">
        <v>837</v>
      </c>
      <c r="H157" s="32">
        <v>-2.687690146802415</v>
      </c>
      <c r="I157" s="32">
        <v>2.842168625126486</v>
      </c>
      <c r="J157" s="45" t="s">
        <v>1716</v>
      </c>
      <c r="K157" s="29">
        <v>29.4</v>
      </c>
      <c r="L157" s="41">
        <v>77.22222222222223</v>
      </c>
      <c r="M157" s="46">
        <v>28.0</v>
      </c>
      <c r="N157" s="46">
        <v>6.0</v>
      </c>
      <c r="O157" s="47">
        <v>-2.2461962083386706</v>
      </c>
      <c r="P157" s="47">
        <v>-1.8678512904936706</v>
      </c>
      <c r="Q157" s="47">
        <v>-0.002397703212131877</v>
      </c>
      <c r="R157" s="47">
        <v>2.6133549629741424</v>
      </c>
      <c r="S157" s="47">
        <v>-1.72461069241107</v>
      </c>
      <c r="T157" s="47">
        <v>-0.7871777123417198</v>
      </c>
      <c r="U157" s="47">
        <v>-1.968926184539032</v>
      </c>
      <c r="V157" s="47">
        <v>0.0</v>
      </c>
      <c r="W157" s="47">
        <v>3.0026146588871505</v>
      </c>
      <c r="X157" s="47">
        <v>0.29350002267258674</v>
      </c>
      <c r="Y157" s="50" t="s">
        <v>69</v>
      </c>
      <c r="Z157" s="50" t="s">
        <v>69</v>
      </c>
      <c r="AA157" s="50" t="s">
        <v>69</v>
      </c>
      <c r="AB157" s="50" t="s">
        <v>69</v>
      </c>
      <c r="AC157" s="34" t="str">
        <f t="shared" ref="AC157:AP157" si="157">LET(
  skater, IFERROR(INDEX(AllProj, MATCH($E157, AllProjNames, 0), MATCH(AC$2, AllProjCats, 0) + 1), ""),
  goalie, IFERROR(INDEX(AllGProj, MATCH($E157, AllGProjNames, 0), MATCH(AC$2, AllGProjCats, 0) + 1), ""),
  val, IF(skater &lt;&gt; "", skater, goalie),
  IF(OR($E157="", AC$2="", val=""), "", val * AC$1)
)</f>
        <v/>
      </c>
      <c r="AD157" s="34" t="str">
        <f t="shared" si="157"/>
        <v/>
      </c>
      <c r="AE157" s="34" t="str">
        <f t="shared" si="157"/>
        <v/>
      </c>
      <c r="AF157" s="34" t="str">
        <f t="shared" si="157"/>
        <v/>
      </c>
      <c r="AG157" s="34" t="str">
        <f t="shared" si="157"/>
        <v/>
      </c>
      <c r="AH157" s="34" t="str">
        <f t="shared" si="157"/>
        <v/>
      </c>
      <c r="AI157" s="34" t="str">
        <f t="shared" si="157"/>
        <v/>
      </c>
      <c r="AJ157" s="34" t="str">
        <f t="shared" si="157"/>
        <v/>
      </c>
      <c r="AK157" s="34" t="str">
        <f t="shared" si="157"/>
        <v/>
      </c>
      <c r="AL157" s="34" t="str">
        <f t="shared" si="157"/>
        <v/>
      </c>
      <c r="AM157" s="34" t="str">
        <f t="shared" si="157"/>
        <v/>
      </c>
      <c r="AN157" s="34" t="str">
        <f t="shared" si="157"/>
        <v/>
      </c>
      <c r="AO157" s="34" t="str">
        <f t="shared" si="157"/>
        <v/>
      </c>
      <c r="AP157" s="34" t="str">
        <f t="shared" si="157"/>
        <v/>
      </c>
      <c r="AQ157" s="76" t="s">
        <v>191</v>
      </c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  <c r="BF157" s="77"/>
      <c r="BG157" s="77"/>
      <c r="BH157" s="77"/>
      <c r="BI157" s="77"/>
      <c r="BJ157" s="77"/>
      <c r="BK157" s="77"/>
      <c r="BL157" s="77"/>
      <c r="BM157" s="78"/>
    </row>
    <row r="158">
      <c r="A158" s="79">
        <v>2.4285714285714284</v>
      </c>
      <c r="B158" s="79" t="b">
        <v>0</v>
      </c>
      <c r="C158" s="79" t="b">
        <f t="shared" si="3"/>
        <v>0</v>
      </c>
      <c r="D158" s="80" t="s">
        <v>1565</v>
      </c>
      <c r="E158" s="81" t="s">
        <v>868</v>
      </c>
      <c r="F158" s="82" t="s">
        <v>854</v>
      </c>
      <c r="G158" s="35" t="s">
        <v>837</v>
      </c>
      <c r="H158" s="37">
        <v>-2.746716701945034</v>
      </c>
      <c r="I158" s="37">
        <v>2.7831420699838674</v>
      </c>
      <c r="J158" s="83" t="s">
        <v>1717</v>
      </c>
      <c r="K158" s="35">
        <v>28.4</v>
      </c>
      <c r="L158" s="79">
        <v>81.67916666666666</v>
      </c>
      <c r="M158" s="84">
        <v>16.0</v>
      </c>
      <c r="N158" s="84">
        <v>6.0</v>
      </c>
      <c r="O158" s="85">
        <v>-1.8245856324479743</v>
      </c>
      <c r="P158" s="85">
        <v>-0.6279976772441359</v>
      </c>
      <c r="Q158" s="85">
        <v>0.33688586229859896</v>
      </c>
      <c r="R158" s="85">
        <v>3.4731261051333817</v>
      </c>
      <c r="S158" s="85">
        <v>-1.264560713743457</v>
      </c>
      <c r="T158" s="85">
        <v>-0.7738578811370608</v>
      </c>
      <c r="U158" s="85">
        <v>-1.6151750672727085</v>
      </c>
      <c r="V158" s="85">
        <v>0.0</v>
      </c>
      <c r="W158" s="85">
        <v>-0.406834626088588</v>
      </c>
      <c r="X158" s="85">
        <v>-0.04371707144308983</v>
      </c>
      <c r="Y158" s="50" t="s">
        <v>69</v>
      </c>
      <c r="Z158" s="50" t="s">
        <v>69</v>
      </c>
      <c r="AA158" s="50" t="s">
        <v>69</v>
      </c>
      <c r="AB158" s="50" t="s">
        <v>69</v>
      </c>
      <c r="AC158" s="34" t="str">
        <f t="shared" ref="AC158:AP158" si="158">LET(
  skater, IFERROR(INDEX(AllProj, MATCH($E158, AllProjNames, 0), MATCH(AC$2, AllProjCats, 0) + 1), ""),
  goalie, IFERROR(INDEX(AllGProj, MATCH($E158, AllGProjNames, 0), MATCH(AC$2, AllGProjCats, 0) + 1), ""),
  val, IF(skater &lt;&gt; "", skater, goalie),
  IF(OR($E158="", AC$2="", val=""), "", val * AC$1)
)</f>
        <v/>
      </c>
      <c r="AD158" s="34" t="str">
        <f t="shared" si="158"/>
        <v/>
      </c>
      <c r="AE158" s="34" t="str">
        <f t="shared" si="158"/>
        <v/>
      </c>
      <c r="AF158" s="34" t="str">
        <f t="shared" si="158"/>
        <v/>
      </c>
      <c r="AG158" s="34" t="str">
        <f t="shared" si="158"/>
        <v/>
      </c>
      <c r="AH158" s="34" t="str">
        <f t="shared" si="158"/>
        <v/>
      </c>
      <c r="AI158" s="34" t="str">
        <f t="shared" si="158"/>
        <v/>
      </c>
      <c r="AJ158" s="34" t="str">
        <f t="shared" si="158"/>
        <v/>
      </c>
      <c r="AK158" s="34" t="str">
        <f t="shared" si="158"/>
        <v/>
      </c>
      <c r="AL158" s="34" t="str">
        <f t="shared" si="158"/>
        <v/>
      </c>
      <c r="AM158" s="34" t="str">
        <f t="shared" si="158"/>
        <v/>
      </c>
      <c r="AN158" s="34" t="str">
        <f t="shared" si="158"/>
        <v/>
      </c>
      <c r="AO158" s="34" t="str">
        <f t="shared" si="158"/>
        <v/>
      </c>
      <c r="AP158" s="34" t="str">
        <f t="shared" si="158"/>
        <v/>
      </c>
      <c r="AQ158" s="76" t="s">
        <v>192</v>
      </c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  <c r="BF158" s="77"/>
      <c r="BG158" s="77"/>
      <c r="BH158" s="77"/>
      <c r="BI158" s="77"/>
      <c r="BJ158" s="77"/>
      <c r="BK158" s="77"/>
      <c r="BL158" s="77"/>
      <c r="BM158" s="78"/>
    </row>
    <row r="159">
      <c r="A159" s="41" t="s">
        <v>69</v>
      </c>
      <c r="B159" s="41" t="b">
        <v>0</v>
      </c>
      <c r="C159" s="41" t="b">
        <f t="shared" si="3"/>
        <v>1</v>
      </c>
      <c r="D159" s="42" t="s">
        <v>254</v>
      </c>
      <c r="E159" s="43" t="s">
        <v>1718</v>
      </c>
      <c r="F159" s="44" t="s">
        <v>1043</v>
      </c>
      <c r="G159" s="29" t="s">
        <v>6</v>
      </c>
      <c r="H159" s="32">
        <v>-2.8092923070183677</v>
      </c>
      <c r="I159" s="32">
        <v>1.528930671451746</v>
      </c>
      <c r="J159" s="45" t="s">
        <v>1719</v>
      </c>
      <c r="K159" s="29">
        <v>28.1</v>
      </c>
      <c r="L159" s="41">
        <v>47.9</v>
      </c>
      <c r="M159" s="46">
        <v>28.0</v>
      </c>
      <c r="N159" s="46">
        <v>6.0</v>
      </c>
      <c r="O159" s="94" t="s">
        <v>69</v>
      </c>
      <c r="P159" s="94" t="s">
        <v>69</v>
      </c>
      <c r="Q159" s="94" t="s">
        <v>69</v>
      </c>
      <c r="R159" s="94" t="s">
        <v>69</v>
      </c>
      <c r="S159" s="94" t="s">
        <v>69</v>
      </c>
      <c r="T159" s="94" t="s">
        <v>69</v>
      </c>
      <c r="U159" s="94" t="s">
        <v>69</v>
      </c>
      <c r="V159" s="94" t="s">
        <v>69</v>
      </c>
      <c r="W159" s="94" t="s">
        <v>69</v>
      </c>
      <c r="X159" s="94" t="s">
        <v>69</v>
      </c>
      <c r="Y159" s="95">
        <v>0.049574773219982535</v>
      </c>
      <c r="Z159" s="95">
        <v>-0.6840563730286592</v>
      </c>
      <c r="AA159" s="95">
        <v>-2.174810707209691</v>
      </c>
      <c r="AB159" s="95">
        <v>0.0</v>
      </c>
      <c r="AC159" s="34" t="str">
        <f t="shared" ref="AC159:AP159" si="159">LET(
  skater, IFERROR(INDEX(AllProj, MATCH($E159, AllProjNames, 0), MATCH(AC$2, AllProjCats, 0) + 1), ""),
  goalie, IFERROR(INDEX(AllGProj, MATCH($E159, AllGProjNames, 0), MATCH(AC$2, AllGProjCats, 0) + 1), ""),
  val, IF(skater &lt;&gt; "", skater, goalie),
  IF(OR($E159="", AC$2="", val=""), "", val * AC$1)
)</f>
        <v/>
      </c>
      <c r="AD159" s="34" t="str">
        <f t="shared" si="159"/>
        <v/>
      </c>
      <c r="AE159" s="34" t="str">
        <f t="shared" si="159"/>
        <v/>
      </c>
      <c r="AF159" s="34" t="str">
        <f t="shared" si="159"/>
        <v/>
      </c>
      <c r="AG159" s="34" t="str">
        <f t="shared" si="159"/>
        <v/>
      </c>
      <c r="AH159" s="34" t="str">
        <f t="shared" si="159"/>
        <v/>
      </c>
      <c r="AI159" s="34" t="str">
        <f t="shared" si="159"/>
        <v/>
      </c>
      <c r="AJ159" s="34" t="str">
        <f t="shared" si="159"/>
        <v/>
      </c>
      <c r="AK159" s="34" t="str">
        <f t="shared" si="159"/>
        <v/>
      </c>
      <c r="AL159" s="34" t="str">
        <f t="shared" si="159"/>
        <v/>
      </c>
      <c r="AM159" s="34" t="str">
        <f t="shared" si="159"/>
        <v/>
      </c>
      <c r="AN159" s="34" t="str">
        <f t="shared" si="159"/>
        <v/>
      </c>
      <c r="AO159" s="34" t="str">
        <f t="shared" si="159"/>
        <v/>
      </c>
      <c r="AP159" s="34" t="str">
        <f t="shared" si="159"/>
        <v/>
      </c>
      <c r="AQ159" s="76" t="s">
        <v>193</v>
      </c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  <c r="BF159" s="77"/>
      <c r="BG159" s="77"/>
      <c r="BH159" s="77"/>
      <c r="BI159" s="77"/>
      <c r="BJ159" s="77"/>
      <c r="BK159" s="77"/>
      <c r="BL159" s="77"/>
      <c r="BM159" s="78"/>
    </row>
    <row r="160">
      <c r="A160" s="79" t="s">
        <v>69</v>
      </c>
      <c r="B160" s="79" t="b">
        <v>0</v>
      </c>
      <c r="C160" s="79" t="b">
        <f t="shared" si="3"/>
        <v>1</v>
      </c>
      <c r="D160" s="80" t="s">
        <v>827</v>
      </c>
      <c r="E160" s="81" t="s">
        <v>1720</v>
      </c>
      <c r="F160" s="82" t="s">
        <v>1401</v>
      </c>
      <c r="G160" s="35" t="s">
        <v>835</v>
      </c>
      <c r="H160" s="37">
        <v>-2.8139675918756697</v>
      </c>
      <c r="I160" s="37">
        <v>2.573912533037069</v>
      </c>
      <c r="J160" s="83" t="s">
        <v>1721</v>
      </c>
      <c r="K160" s="35">
        <v>23.9</v>
      </c>
      <c r="L160" s="79">
        <v>82.07308823529412</v>
      </c>
      <c r="M160" s="84">
        <v>25.0</v>
      </c>
      <c r="N160" s="84">
        <v>7.0</v>
      </c>
      <c r="O160" s="85">
        <v>0.6744981652532703</v>
      </c>
      <c r="P160" s="85">
        <v>0.36876492805087435</v>
      </c>
      <c r="Q160" s="85">
        <v>-2.277375019284187</v>
      </c>
      <c r="R160" s="85">
        <v>-0.3740570950791567</v>
      </c>
      <c r="S160" s="85">
        <v>0.0014289223214813667</v>
      </c>
      <c r="T160" s="85">
        <v>-0.29305838803540774</v>
      </c>
      <c r="U160" s="85">
        <v>-0.17021448752180446</v>
      </c>
      <c r="V160" s="85">
        <v>0.0</v>
      </c>
      <c r="W160" s="85">
        <v>0.7887028073739261</v>
      </c>
      <c r="X160" s="85">
        <v>-1.5326574249546665</v>
      </c>
      <c r="Y160" s="50" t="s">
        <v>69</v>
      </c>
      <c r="Z160" s="50" t="s">
        <v>69</v>
      </c>
      <c r="AA160" s="50" t="s">
        <v>69</v>
      </c>
      <c r="AB160" s="50" t="s">
        <v>69</v>
      </c>
      <c r="AC160" s="34" t="str">
        <f t="shared" ref="AC160:AP160" si="160">LET(
  skater, IFERROR(INDEX(AllProj, MATCH($E160, AllProjNames, 0), MATCH(AC$2, AllProjCats, 0) + 1), ""),
  goalie, IFERROR(INDEX(AllGProj, MATCH($E160, AllGProjNames, 0), MATCH(AC$2, AllGProjCats, 0) + 1), ""),
  val, IF(skater &lt;&gt; "", skater, goalie),
  IF(OR($E160="", AC$2="", val=""), "", val * AC$1)
)</f>
        <v/>
      </c>
      <c r="AD160" s="34" t="str">
        <f t="shared" si="160"/>
        <v/>
      </c>
      <c r="AE160" s="34" t="str">
        <f t="shared" si="160"/>
        <v/>
      </c>
      <c r="AF160" s="34" t="str">
        <f t="shared" si="160"/>
        <v/>
      </c>
      <c r="AG160" s="34" t="str">
        <f t="shared" si="160"/>
        <v/>
      </c>
      <c r="AH160" s="34" t="str">
        <f t="shared" si="160"/>
        <v/>
      </c>
      <c r="AI160" s="34" t="str">
        <f t="shared" si="160"/>
        <v/>
      </c>
      <c r="AJ160" s="34" t="str">
        <f t="shared" si="160"/>
        <v/>
      </c>
      <c r="AK160" s="34" t="str">
        <f t="shared" si="160"/>
        <v/>
      </c>
      <c r="AL160" s="34" t="str">
        <f t="shared" si="160"/>
        <v/>
      </c>
      <c r="AM160" s="34" t="str">
        <f t="shared" si="160"/>
        <v/>
      </c>
      <c r="AN160" s="34" t="str">
        <f t="shared" si="160"/>
        <v/>
      </c>
      <c r="AO160" s="34" t="str">
        <f t="shared" si="160"/>
        <v/>
      </c>
      <c r="AP160" s="34" t="str">
        <f t="shared" si="160"/>
        <v/>
      </c>
      <c r="AQ160" s="76" t="s">
        <v>194</v>
      </c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  <c r="BF160" s="77"/>
      <c r="BG160" s="77"/>
      <c r="BH160" s="77"/>
      <c r="BI160" s="77"/>
      <c r="BJ160" s="77"/>
      <c r="BK160" s="77"/>
      <c r="BL160" s="77"/>
      <c r="BM160" s="78"/>
    </row>
    <row r="161">
      <c r="A161" s="41" t="s">
        <v>69</v>
      </c>
      <c r="B161" s="41" t="b">
        <v>0</v>
      </c>
      <c r="C161" s="41" t="b">
        <f t="shared" si="3"/>
        <v>1</v>
      </c>
      <c r="D161" s="42" t="s">
        <v>824</v>
      </c>
      <c r="E161" s="43" t="s">
        <v>1722</v>
      </c>
      <c r="F161" s="44" t="s">
        <v>849</v>
      </c>
      <c r="G161" s="29" t="s">
        <v>836</v>
      </c>
      <c r="H161" s="32">
        <v>-2.8837007366444425</v>
      </c>
      <c r="I161" s="32">
        <v>2.5584368720834147</v>
      </c>
      <c r="J161" s="45" t="s">
        <v>1723</v>
      </c>
      <c r="K161" s="29">
        <v>25.2</v>
      </c>
      <c r="L161" s="41">
        <v>81.77588235294118</v>
      </c>
      <c r="M161" s="46">
        <v>29.0</v>
      </c>
      <c r="N161" s="46">
        <v>6.0</v>
      </c>
      <c r="O161" s="47">
        <v>-0.6233651290906762</v>
      </c>
      <c r="P161" s="47">
        <v>-1.0591831972241066</v>
      </c>
      <c r="Q161" s="47">
        <v>0.3211991446244817</v>
      </c>
      <c r="R161" s="47">
        <v>0.192915063100811</v>
      </c>
      <c r="S161" s="47">
        <v>-1.4106296661268007</v>
      </c>
      <c r="T161" s="47">
        <v>-0.7325564507506138</v>
      </c>
      <c r="U161" s="47">
        <v>-0.7013581850649226</v>
      </c>
      <c r="V161" s="47">
        <v>0.0</v>
      </c>
      <c r="W161" s="47">
        <v>2.2110535321913494</v>
      </c>
      <c r="X161" s="47">
        <v>-1.0817758483039641</v>
      </c>
      <c r="Y161" s="50" t="s">
        <v>69</v>
      </c>
      <c r="Z161" s="50" t="s">
        <v>69</v>
      </c>
      <c r="AA161" s="50" t="s">
        <v>69</v>
      </c>
      <c r="AB161" s="50" t="s">
        <v>69</v>
      </c>
      <c r="AC161" s="34" t="str">
        <f t="shared" ref="AC161:AP161" si="161">LET(
  skater, IFERROR(INDEX(AllProj, MATCH($E161, AllProjNames, 0), MATCH(AC$2, AllProjCats, 0) + 1), ""),
  goalie, IFERROR(INDEX(AllGProj, MATCH($E161, AllGProjNames, 0), MATCH(AC$2, AllGProjCats, 0) + 1), ""),
  val, IF(skater &lt;&gt; "", skater, goalie),
  IF(OR($E161="", AC$2="", val=""), "", val * AC$1)
)</f>
        <v/>
      </c>
      <c r="AD161" s="34" t="str">
        <f t="shared" si="161"/>
        <v/>
      </c>
      <c r="AE161" s="34" t="str">
        <f t="shared" si="161"/>
        <v/>
      </c>
      <c r="AF161" s="34" t="str">
        <f t="shared" si="161"/>
        <v/>
      </c>
      <c r="AG161" s="34" t="str">
        <f t="shared" si="161"/>
        <v/>
      </c>
      <c r="AH161" s="34" t="str">
        <f t="shared" si="161"/>
        <v/>
      </c>
      <c r="AI161" s="34" t="str">
        <f t="shared" si="161"/>
        <v/>
      </c>
      <c r="AJ161" s="34" t="str">
        <f t="shared" si="161"/>
        <v/>
      </c>
      <c r="AK161" s="34" t="str">
        <f t="shared" si="161"/>
        <v/>
      </c>
      <c r="AL161" s="34" t="str">
        <f t="shared" si="161"/>
        <v/>
      </c>
      <c r="AM161" s="34" t="str">
        <f t="shared" si="161"/>
        <v/>
      </c>
      <c r="AN161" s="34" t="str">
        <f t="shared" si="161"/>
        <v/>
      </c>
      <c r="AO161" s="34" t="str">
        <f t="shared" si="161"/>
        <v/>
      </c>
      <c r="AP161" s="34" t="str">
        <f t="shared" si="161"/>
        <v/>
      </c>
      <c r="AQ161" s="76" t="s">
        <v>195</v>
      </c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  <c r="BF161" s="77"/>
      <c r="BG161" s="77"/>
      <c r="BH161" s="77"/>
      <c r="BI161" s="77"/>
      <c r="BJ161" s="77"/>
      <c r="BK161" s="77"/>
      <c r="BL161" s="77"/>
      <c r="BM161" s="78"/>
    </row>
    <row r="162">
      <c r="A162" s="79" t="s">
        <v>69</v>
      </c>
      <c r="B162" s="79" t="b">
        <v>0</v>
      </c>
      <c r="C162" s="79" t="b">
        <f t="shared" si="3"/>
        <v>1</v>
      </c>
      <c r="D162" s="80" t="s">
        <v>502</v>
      </c>
      <c r="E162" s="81" t="s">
        <v>1724</v>
      </c>
      <c r="F162" s="82" t="s">
        <v>1416</v>
      </c>
      <c r="G162" s="35" t="s">
        <v>837</v>
      </c>
      <c r="H162" s="37">
        <v>-2.9363893609375484</v>
      </c>
      <c r="I162" s="37">
        <v>2.5934694109913528</v>
      </c>
      <c r="J162" s="83" t="s">
        <v>1725</v>
      </c>
      <c r="K162" s="35">
        <v>26.7</v>
      </c>
      <c r="L162" s="79">
        <v>80.09338235294118</v>
      </c>
      <c r="M162" s="84">
        <v>29.0</v>
      </c>
      <c r="N162" s="84">
        <v>7.0</v>
      </c>
      <c r="O162" s="85">
        <v>-1.244160800150692</v>
      </c>
      <c r="P162" s="85">
        <v>0.15186056919064306</v>
      </c>
      <c r="Q162" s="85">
        <v>-1.0331485149312567</v>
      </c>
      <c r="R162" s="85">
        <v>-0.7779840468844256</v>
      </c>
      <c r="S162" s="85">
        <v>-0.6765136604383095</v>
      </c>
      <c r="T162" s="85">
        <v>-0.2694507561009242</v>
      </c>
      <c r="U162" s="85">
        <v>0.03071703993767891</v>
      </c>
      <c r="V162" s="85">
        <v>0.0</v>
      </c>
      <c r="W162" s="85">
        <v>-1.383853264992778</v>
      </c>
      <c r="X162" s="85">
        <v>2.266144073432516</v>
      </c>
      <c r="Y162" s="50" t="s">
        <v>69</v>
      </c>
      <c r="Z162" s="50" t="s">
        <v>69</v>
      </c>
      <c r="AA162" s="50" t="s">
        <v>69</v>
      </c>
      <c r="AB162" s="50" t="s">
        <v>69</v>
      </c>
      <c r="AC162" s="34" t="str">
        <f t="shared" ref="AC162:AP162" si="162">LET(
  skater, IFERROR(INDEX(AllProj, MATCH($E162, AllProjNames, 0), MATCH(AC$2, AllProjCats, 0) + 1), ""),
  goalie, IFERROR(INDEX(AllGProj, MATCH($E162, AllGProjNames, 0), MATCH(AC$2, AllGProjCats, 0) + 1), ""),
  val, IF(skater &lt;&gt; "", skater, goalie),
  IF(OR($E162="", AC$2="", val=""), "", val * AC$1)
)</f>
        <v/>
      </c>
      <c r="AD162" s="34" t="str">
        <f t="shared" si="162"/>
        <v/>
      </c>
      <c r="AE162" s="34" t="str">
        <f t="shared" si="162"/>
        <v/>
      </c>
      <c r="AF162" s="34" t="str">
        <f t="shared" si="162"/>
        <v/>
      </c>
      <c r="AG162" s="34" t="str">
        <f t="shared" si="162"/>
        <v/>
      </c>
      <c r="AH162" s="34" t="str">
        <f t="shared" si="162"/>
        <v/>
      </c>
      <c r="AI162" s="34" t="str">
        <f t="shared" si="162"/>
        <v/>
      </c>
      <c r="AJ162" s="34" t="str">
        <f t="shared" si="162"/>
        <v/>
      </c>
      <c r="AK162" s="34" t="str">
        <f t="shared" si="162"/>
        <v/>
      </c>
      <c r="AL162" s="34" t="str">
        <f t="shared" si="162"/>
        <v/>
      </c>
      <c r="AM162" s="34" t="str">
        <f t="shared" si="162"/>
        <v/>
      </c>
      <c r="AN162" s="34" t="str">
        <f t="shared" si="162"/>
        <v/>
      </c>
      <c r="AO162" s="34" t="str">
        <f t="shared" si="162"/>
        <v/>
      </c>
      <c r="AP162" s="34" t="str">
        <f t="shared" si="162"/>
        <v/>
      </c>
      <c r="AQ162" s="76" t="s">
        <v>196</v>
      </c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  <c r="BF162" s="77"/>
      <c r="BG162" s="77"/>
      <c r="BH162" s="77"/>
      <c r="BI162" s="77"/>
      <c r="BJ162" s="77"/>
      <c r="BK162" s="77"/>
      <c r="BL162" s="77"/>
      <c r="BM162" s="78"/>
    </row>
    <row r="163">
      <c r="A163" s="41" t="s">
        <v>69</v>
      </c>
      <c r="B163" s="41" t="b">
        <v>0</v>
      </c>
      <c r="C163" s="41" t="b">
        <f t="shared" si="3"/>
        <v>1</v>
      </c>
      <c r="D163" s="42" t="s">
        <v>824</v>
      </c>
      <c r="E163" s="43" t="s">
        <v>1726</v>
      </c>
      <c r="F163" s="44" t="s">
        <v>1563</v>
      </c>
      <c r="G163" s="29" t="s">
        <v>836</v>
      </c>
      <c r="H163" s="32">
        <v>-2.9817770818878744</v>
      </c>
      <c r="I163" s="32">
        <v>2.460360526839983</v>
      </c>
      <c r="J163" s="45" t="s">
        <v>1727</v>
      </c>
      <c r="K163" s="29">
        <v>27.6</v>
      </c>
      <c r="L163" s="41">
        <v>81.84088235294118</v>
      </c>
      <c r="M163" s="46">
        <v>29.0</v>
      </c>
      <c r="N163" s="46">
        <v>6.0</v>
      </c>
      <c r="O163" s="47">
        <v>0.6766443659497633</v>
      </c>
      <c r="P163" s="47">
        <v>-0.689713621903424</v>
      </c>
      <c r="Q163" s="47">
        <v>-1.048162585523052</v>
      </c>
      <c r="R163" s="47">
        <v>-1.5200496466243014</v>
      </c>
      <c r="S163" s="47">
        <v>-0.7615253235912157</v>
      </c>
      <c r="T163" s="47">
        <v>-0.30245791927274784</v>
      </c>
      <c r="U163" s="47">
        <v>1.3326538068656926</v>
      </c>
      <c r="V163" s="47">
        <v>0.0</v>
      </c>
      <c r="W163" s="47">
        <v>0.42355541984694184</v>
      </c>
      <c r="X163" s="47">
        <v>-1.0927215776355306</v>
      </c>
      <c r="Y163" s="50" t="s">
        <v>69</v>
      </c>
      <c r="Z163" s="50" t="s">
        <v>69</v>
      </c>
      <c r="AA163" s="50" t="s">
        <v>69</v>
      </c>
      <c r="AB163" s="50" t="s">
        <v>69</v>
      </c>
      <c r="AC163" s="34" t="str">
        <f t="shared" ref="AC163:AP163" si="163">LET(
  skater, IFERROR(INDEX(AllProj, MATCH($E163, AllProjNames, 0), MATCH(AC$2, AllProjCats, 0) + 1), ""),
  goalie, IFERROR(INDEX(AllGProj, MATCH($E163, AllGProjNames, 0), MATCH(AC$2, AllGProjCats, 0) + 1), ""),
  val, IF(skater &lt;&gt; "", skater, goalie),
  IF(OR($E163="", AC$2="", val=""), "", val * AC$1)
)</f>
        <v/>
      </c>
      <c r="AD163" s="34" t="str">
        <f t="shared" si="163"/>
        <v/>
      </c>
      <c r="AE163" s="34" t="str">
        <f t="shared" si="163"/>
        <v/>
      </c>
      <c r="AF163" s="34" t="str">
        <f t="shared" si="163"/>
        <v/>
      </c>
      <c r="AG163" s="34" t="str">
        <f t="shared" si="163"/>
        <v/>
      </c>
      <c r="AH163" s="34" t="str">
        <f t="shared" si="163"/>
        <v/>
      </c>
      <c r="AI163" s="34" t="str">
        <f t="shared" si="163"/>
        <v/>
      </c>
      <c r="AJ163" s="34" t="str">
        <f t="shared" si="163"/>
        <v/>
      </c>
      <c r="AK163" s="34" t="str">
        <f t="shared" si="163"/>
        <v/>
      </c>
      <c r="AL163" s="34" t="str">
        <f t="shared" si="163"/>
        <v/>
      </c>
      <c r="AM163" s="34" t="str">
        <f t="shared" si="163"/>
        <v/>
      </c>
      <c r="AN163" s="34" t="str">
        <f t="shared" si="163"/>
        <v/>
      </c>
      <c r="AO163" s="34" t="str">
        <f t="shared" si="163"/>
        <v/>
      </c>
      <c r="AP163" s="34" t="str">
        <f t="shared" si="163"/>
        <v/>
      </c>
      <c r="AQ163" s="76" t="s">
        <v>197</v>
      </c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  <c r="BF163" s="77"/>
      <c r="BG163" s="77"/>
      <c r="BH163" s="77"/>
      <c r="BI163" s="77"/>
      <c r="BJ163" s="77"/>
      <c r="BK163" s="77"/>
      <c r="BL163" s="77"/>
      <c r="BM163" s="78"/>
    </row>
    <row r="164">
      <c r="A164" s="79" t="s">
        <v>69</v>
      </c>
      <c r="B164" s="79" t="b">
        <v>0</v>
      </c>
      <c r="C164" s="79" t="b">
        <f t="shared" si="3"/>
        <v>1</v>
      </c>
      <c r="D164" s="80" t="s">
        <v>773</v>
      </c>
      <c r="E164" s="81" t="s">
        <v>1728</v>
      </c>
      <c r="F164" s="82" t="s">
        <v>1411</v>
      </c>
      <c r="G164" s="35" t="s">
        <v>830</v>
      </c>
      <c r="H164" s="37">
        <v>-2.995949736798993</v>
      </c>
      <c r="I164" s="37">
        <v>2.391930388113746</v>
      </c>
      <c r="J164" s="83" t="s">
        <v>1729</v>
      </c>
      <c r="K164" s="35">
        <v>28.2</v>
      </c>
      <c r="L164" s="79">
        <v>77.46279411764706</v>
      </c>
      <c r="M164" s="84">
        <v>33.0</v>
      </c>
      <c r="N164" s="84">
        <v>8.0</v>
      </c>
      <c r="O164" s="85">
        <v>-0.4900667974509104</v>
      </c>
      <c r="P164" s="85">
        <v>0.12291216518354321</v>
      </c>
      <c r="Q164" s="85">
        <v>0.05700400433502467</v>
      </c>
      <c r="R164" s="85">
        <v>0.6208176237109196</v>
      </c>
      <c r="S164" s="85">
        <v>-0.2824367951251573</v>
      </c>
      <c r="T164" s="85">
        <v>-0.7347846799641222</v>
      </c>
      <c r="U164" s="85">
        <v>-0.8495842808711395</v>
      </c>
      <c r="V164" s="85">
        <v>1.2158783133391409</v>
      </c>
      <c r="W164" s="85">
        <v>-1.2637549924616298</v>
      </c>
      <c r="X164" s="85">
        <v>-1.391934297494662</v>
      </c>
      <c r="Y164" s="50" t="s">
        <v>69</v>
      </c>
      <c r="Z164" s="50" t="s">
        <v>69</v>
      </c>
      <c r="AA164" s="50" t="s">
        <v>69</v>
      </c>
      <c r="AB164" s="50" t="s">
        <v>69</v>
      </c>
      <c r="AC164" s="34" t="str">
        <f t="shared" ref="AC164:AP164" si="164">LET(
  skater, IFERROR(INDEX(AllProj, MATCH($E164, AllProjNames, 0), MATCH(AC$2, AllProjCats, 0) + 1), ""),
  goalie, IFERROR(INDEX(AllGProj, MATCH($E164, AllGProjNames, 0), MATCH(AC$2, AllGProjCats, 0) + 1), ""),
  val, IF(skater &lt;&gt; "", skater, goalie),
  IF(OR($E164="", AC$2="", val=""), "", val * AC$1)
)</f>
        <v/>
      </c>
      <c r="AD164" s="34" t="str">
        <f t="shared" si="164"/>
        <v/>
      </c>
      <c r="AE164" s="34" t="str">
        <f t="shared" si="164"/>
        <v/>
      </c>
      <c r="AF164" s="34" t="str">
        <f t="shared" si="164"/>
        <v/>
      </c>
      <c r="AG164" s="34" t="str">
        <f t="shared" si="164"/>
        <v/>
      </c>
      <c r="AH164" s="34" t="str">
        <f t="shared" si="164"/>
        <v/>
      </c>
      <c r="AI164" s="34" t="str">
        <f t="shared" si="164"/>
        <v/>
      </c>
      <c r="AJ164" s="34" t="str">
        <f t="shared" si="164"/>
        <v/>
      </c>
      <c r="AK164" s="34" t="str">
        <f t="shared" si="164"/>
        <v/>
      </c>
      <c r="AL164" s="34" t="str">
        <f t="shared" si="164"/>
        <v/>
      </c>
      <c r="AM164" s="34" t="str">
        <f t="shared" si="164"/>
        <v/>
      </c>
      <c r="AN164" s="34" t="str">
        <f t="shared" si="164"/>
        <v/>
      </c>
      <c r="AO164" s="34" t="str">
        <f t="shared" si="164"/>
        <v/>
      </c>
      <c r="AP164" s="34" t="str">
        <f t="shared" si="164"/>
        <v/>
      </c>
      <c r="AQ164" s="76" t="s">
        <v>198</v>
      </c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  <c r="BF164" s="77"/>
      <c r="BG164" s="77"/>
      <c r="BH164" s="77"/>
      <c r="BI164" s="77"/>
      <c r="BJ164" s="77"/>
      <c r="BK164" s="77"/>
      <c r="BL164" s="77"/>
      <c r="BM164" s="78"/>
    </row>
    <row r="165">
      <c r="A165" s="41" t="s">
        <v>69</v>
      </c>
      <c r="B165" s="41" t="b">
        <v>0</v>
      </c>
      <c r="C165" s="41" t="b">
        <f t="shared" si="3"/>
        <v>1</v>
      </c>
      <c r="D165" s="42" t="s">
        <v>502</v>
      </c>
      <c r="E165" s="43" t="s">
        <v>1730</v>
      </c>
      <c r="F165" s="44" t="s">
        <v>1498</v>
      </c>
      <c r="G165" s="29" t="s">
        <v>831</v>
      </c>
      <c r="H165" s="32">
        <v>-3.0115046217292507</v>
      </c>
      <c r="I165" s="32">
        <v>2.4306329869986065</v>
      </c>
      <c r="J165" s="45" t="s">
        <v>1731</v>
      </c>
      <c r="K165" s="29">
        <v>33.4</v>
      </c>
      <c r="L165" s="41">
        <v>79.60955882352941</v>
      </c>
      <c r="M165" s="46">
        <v>28.0</v>
      </c>
      <c r="N165" s="46">
        <v>7.0</v>
      </c>
      <c r="O165" s="47">
        <v>0.9898257418687142</v>
      </c>
      <c r="P165" s="47">
        <v>-0.20046600511875867</v>
      </c>
      <c r="Q165" s="47">
        <v>-1.9126546206212995</v>
      </c>
      <c r="R165" s="47">
        <v>-1.8724072120924717</v>
      </c>
      <c r="S165" s="47">
        <v>0.3754379112901359</v>
      </c>
      <c r="T165" s="47">
        <v>0.23126865864878446</v>
      </c>
      <c r="U165" s="47">
        <v>0.9051795336904193</v>
      </c>
      <c r="V165" s="47">
        <v>0.0</v>
      </c>
      <c r="W165" s="47">
        <v>-0.597008295917949</v>
      </c>
      <c r="X165" s="47">
        <v>-0.9306803334768254</v>
      </c>
      <c r="Y165" s="50" t="s">
        <v>69</v>
      </c>
      <c r="Z165" s="50" t="s">
        <v>69</v>
      </c>
      <c r="AA165" s="50" t="s">
        <v>69</v>
      </c>
      <c r="AB165" s="50" t="s">
        <v>69</v>
      </c>
      <c r="AC165" s="34" t="str">
        <f t="shared" ref="AC165:AP165" si="165">LET(
  skater, IFERROR(INDEX(AllProj, MATCH($E165, AllProjNames, 0), MATCH(AC$2, AllProjCats, 0) + 1), ""),
  goalie, IFERROR(INDEX(AllGProj, MATCH($E165, AllGProjNames, 0), MATCH(AC$2, AllGProjCats, 0) + 1), ""),
  val, IF(skater &lt;&gt; "", skater, goalie),
  IF(OR($E165="", AC$2="", val=""), "", val * AC$1)
)</f>
        <v/>
      </c>
      <c r="AD165" s="34" t="str">
        <f t="shared" si="165"/>
        <v/>
      </c>
      <c r="AE165" s="34" t="str">
        <f t="shared" si="165"/>
        <v/>
      </c>
      <c r="AF165" s="34" t="str">
        <f t="shared" si="165"/>
        <v/>
      </c>
      <c r="AG165" s="34" t="str">
        <f t="shared" si="165"/>
        <v/>
      </c>
      <c r="AH165" s="34" t="str">
        <f t="shared" si="165"/>
        <v/>
      </c>
      <c r="AI165" s="34" t="str">
        <f t="shared" si="165"/>
        <v/>
      </c>
      <c r="AJ165" s="34" t="str">
        <f t="shared" si="165"/>
        <v/>
      </c>
      <c r="AK165" s="34" t="str">
        <f t="shared" si="165"/>
        <v/>
      </c>
      <c r="AL165" s="34" t="str">
        <f t="shared" si="165"/>
        <v/>
      </c>
      <c r="AM165" s="34" t="str">
        <f t="shared" si="165"/>
        <v/>
      </c>
      <c r="AN165" s="34" t="str">
        <f t="shared" si="165"/>
        <v/>
      </c>
      <c r="AO165" s="34" t="str">
        <f t="shared" si="165"/>
        <v/>
      </c>
      <c r="AP165" s="34" t="str">
        <f t="shared" si="165"/>
        <v/>
      </c>
      <c r="AQ165" s="76" t="s">
        <v>199</v>
      </c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  <c r="BI165" s="77"/>
      <c r="BJ165" s="77"/>
      <c r="BK165" s="77"/>
      <c r="BL165" s="77"/>
      <c r="BM165" s="78"/>
    </row>
    <row r="166">
      <c r="A166" s="79" t="s">
        <v>69</v>
      </c>
      <c r="B166" s="79" t="b">
        <v>0</v>
      </c>
      <c r="C166" s="79" t="b">
        <f t="shared" si="3"/>
        <v>1</v>
      </c>
      <c r="D166" s="80" t="s">
        <v>773</v>
      </c>
      <c r="E166" s="81" t="s">
        <v>1732</v>
      </c>
      <c r="F166" s="82" t="s">
        <v>1451</v>
      </c>
      <c r="G166" s="35" t="s">
        <v>832</v>
      </c>
      <c r="H166" s="37">
        <v>-3.01697116703461</v>
      </c>
      <c r="I166" s="37">
        <v>2.4251664416932472</v>
      </c>
      <c r="J166" s="83" t="s">
        <v>1733</v>
      </c>
      <c r="K166" s="35">
        <v>24.5</v>
      </c>
      <c r="L166" s="79">
        <v>82.1779411764706</v>
      </c>
      <c r="M166" s="84">
        <v>29.0</v>
      </c>
      <c r="N166" s="84">
        <v>7.0</v>
      </c>
      <c r="O166" s="85">
        <v>0.7322602582081984</v>
      </c>
      <c r="P166" s="85">
        <v>1.457486377861639</v>
      </c>
      <c r="Q166" s="85">
        <v>-1.5562145770369893</v>
      </c>
      <c r="R166" s="85">
        <v>-1.485194741266249</v>
      </c>
      <c r="S166" s="85">
        <v>1.6863907148607065</v>
      </c>
      <c r="T166" s="85">
        <v>-0.718864723985812</v>
      </c>
      <c r="U166" s="85">
        <v>0.32394110528566156</v>
      </c>
      <c r="V166" s="85">
        <v>0.0</v>
      </c>
      <c r="W166" s="85">
        <v>-1.6792023583938314</v>
      </c>
      <c r="X166" s="85">
        <v>-1.777573222567934</v>
      </c>
      <c r="Y166" s="50" t="s">
        <v>69</v>
      </c>
      <c r="Z166" s="50" t="s">
        <v>69</v>
      </c>
      <c r="AA166" s="50" t="s">
        <v>69</v>
      </c>
      <c r="AB166" s="50" t="s">
        <v>69</v>
      </c>
      <c r="AC166" s="34" t="str">
        <f t="shared" ref="AC166:AP166" si="166">LET(
  skater, IFERROR(INDEX(AllProj, MATCH($E166, AllProjNames, 0), MATCH(AC$2, AllProjCats, 0) + 1), ""),
  goalie, IFERROR(INDEX(AllGProj, MATCH($E166, AllGProjNames, 0), MATCH(AC$2, AllGProjCats, 0) + 1), ""),
  val, IF(skater &lt;&gt; "", skater, goalie),
  IF(OR($E166="", AC$2="", val=""), "", val * AC$1)
)</f>
        <v/>
      </c>
      <c r="AD166" s="34" t="str">
        <f t="shared" si="166"/>
        <v/>
      </c>
      <c r="AE166" s="34" t="str">
        <f t="shared" si="166"/>
        <v/>
      </c>
      <c r="AF166" s="34" t="str">
        <f t="shared" si="166"/>
        <v/>
      </c>
      <c r="AG166" s="34" t="str">
        <f t="shared" si="166"/>
        <v/>
      </c>
      <c r="AH166" s="34" t="str">
        <f t="shared" si="166"/>
        <v/>
      </c>
      <c r="AI166" s="34" t="str">
        <f t="shared" si="166"/>
        <v/>
      </c>
      <c r="AJ166" s="34" t="str">
        <f t="shared" si="166"/>
        <v/>
      </c>
      <c r="AK166" s="34" t="str">
        <f t="shared" si="166"/>
        <v/>
      </c>
      <c r="AL166" s="34" t="str">
        <f t="shared" si="166"/>
        <v/>
      </c>
      <c r="AM166" s="34" t="str">
        <f t="shared" si="166"/>
        <v/>
      </c>
      <c r="AN166" s="34" t="str">
        <f t="shared" si="166"/>
        <v/>
      </c>
      <c r="AO166" s="34" t="str">
        <f t="shared" si="166"/>
        <v/>
      </c>
      <c r="AP166" s="34" t="str">
        <f t="shared" si="166"/>
        <v/>
      </c>
      <c r="AQ166" s="76" t="s">
        <v>200</v>
      </c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  <c r="BF166" s="77"/>
      <c r="BG166" s="77"/>
      <c r="BH166" s="77"/>
      <c r="BI166" s="77"/>
      <c r="BJ166" s="77"/>
      <c r="BK166" s="77"/>
      <c r="BL166" s="77"/>
      <c r="BM166" s="78"/>
    </row>
    <row r="167">
      <c r="A167" s="41">
        <v>2.9285714285714284</v>
      </c>
      <c r="B167" s="41" t="b">
        <v>0</v>
      </c>
      <c r="C167" s="41" t="b">
        <f t="shared" si="3"/>
        <v>0</v>
      </c>
      <c r="D167" s="42" t="s">
        <v>1565</v>
      </c>
      <c r="E167" s="43" t="s">
        <v>1382</v>
      </c>
      <c r="F167" s="44" t="s">
        <v>1426</v>
      </c>
      <c r="G167" s="29" t="s">
        <v>6</v>
      </c>
      <c r="H167" s="32">
        <v>-3.0201782632555108</v>
      </c>
      <c r="I167" s="32">
        <v>1.318044715214603</v>
      </c>
      <c r="J167" s="45" t="s">
        <v>1734</v>
      </c>
      <c r="K167" s="29">
        <v>27.3</v>
      </c>
      <c r="L167" s="41">
        <v>26.625</v>
      </c>
      <c r="M167" s="46">
        <v>23.0</v>
      </c>
      <c r="N167" s="46">
        <v>6.0</v>
      </c>
      <c r="O167" s="94" t="s">
        <v>69</v>
      </c>
      <c r="P167" s="94" t="s">
        <v>69</v>
      </c>
      <c r="Q167" s="94" t="s">
        <v>69</v>
      </c>
      <c r="R167" s="94" t="s">
        <v>69</v>
      </c>
      <c r="S167" s="94" t="s">
        <v>69</v>
      </c>
      <c r="T167" s="94" t="s">
        <v>69</v>
      </c>
      <c r="U167" s="94" t="s">
        <v>69</v>
      </c>
      <c r="V167" s="94" t="s">
        <v>69</v>
      </c>
      <c r="W167" s="94" t="s">
        <v>69</v>
      </c>
      <c r="X167" s="94" t="s">
        <v>69</v>
      </c>
      <c r="Y167" s="95">
        <v>-2.4143570417716047</v>
      </c>
      <c r="Z167" s="95">
        <v>-0.8092631198776556</v>
      </c>
      <c r="AA167" s="95">
        <v>0.2034418983937497</v>
      </c>
      <c r="AB167" s="95">
        <v>0.0</v>
      </c>
      <c r="AC167" s="34" t="str">
        <f t="shared" ref="AC167:AP167" si="167">LET(
  skater, IFERROR(INDEX(AllProj, MATCH($E167, AllProjNames, 0), MATCH(AC$2, AllProjCats, 0) + 1), ""),
  goalie, IFERROR(INDEX(AllGProj, MATCH($E167, AllGProjNames, 0), MATCH(AC$2, AllGProjCats, 0) + 1), ""),
  val, IF(skater &lt;&gt; "", skater, goalie),
  IF(OR($E167="", AC$2="", val=""), "", val * AC$1)
)</f>
        <v/>
      </c>
      <c r="AD167" s="34" t="str">
        <f t="shared" si="167"/>
        <v/>
      </c>
      <c r="AE167" s="34" t="str">
        <f t="shared" si="167"/>
        <v/>
      </c>
      <c r="AF167" s="34" t="str">
        <f t="shared" si="167"/>
        <v/>
      </c>
      <c r="AG167" s="34" t="str">
        <f t="shared" si="167"/>
        <v/>
      </c>
      <c r="AH167" s="34" t="str">
        <f t="shared" si="167"/>
        <v/>
      </c>
      <c r="AI167" s="34" t="str">
        <f t="shared" si="167"/>
        <v/>
      </c>
      <c r="AJ167" s="34" t="str">
        <f t="shared" si="167"/>
        <v/>
      </c>
      <c r="AK167" s="34" t="str">
        <f t="shared" si="167"/>
        <v/>
      </c>
      <c r="AL167" s="34" t="str">
        <f t="shared" si="167"/>
        <v/>
      </c>
      <c r="AM167" s="34" t="str">
        <f t="shared" si="167"/>
        <v/>
      </c>
      <c r="AN167" s="34" t="str">
        <f t="shared" si="167"/>
        <v/>
      </c>
      <c r="AO167" s="34" t="str">
        <f t="shared" si="167"/>
        <v/>
      </c>
      <c r="AP167" s="34" t="str">
        <f t="shared" si="167"/>
        <v/>
      </c>
      <c r="AQ167" s="76" t="s">
        <v>201</v>
      </c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  <c r="BF167" s="77"/>
      <c r="BG167" s="77"/>
      <c r="BH167" s="77"/>
      <c r="BI167" s="77"/>
      <c r="BJ167" s="77"/>
      <c r="BK167" s="77"/>
      <c r="BL167" s="77"/>
      <c r="BM167" s="78"/>
    </row>
    <row r="168">
      <c r="A168" s="79" t="s">
        <v>69</v>
      </c>
      <c r="B168" s="79" t="b">
        <v>0</v>
      </c>
      <c r="C168" s="79" t="b">
        <f t="shared" si="3"/>
        <v>1</v>
      </c>
      <c r="D168" s="80" t="s">
        <v>773</v>
      </c>
      <c r="E168" s="81" t="s">
        <v>1735</v>
      </c>
      <c r="F168" s="82" t="s">
        <v>1411</v>
      </c>
      <c r="G168" s="35" t="s">
        <v>832</v>
      </c>
      <c r="H168" s="37">
        <v>-3.0667792842542623</v>
      </c>
      <c r="I168" s="37">
        <v>2.375358324473595</v>
      </c>
      <c r="J168" s="83" t="s">
        <v>1736</v>
      </c>
      <c r="K168" s="35">
        <v>21.7</v>
      </c>
      <c r="L168" s="79">
        <v>80.47058823529412</v>
      </c>
      <c r="M168" s="84">
        <v>33.0</v>
      </c>
      <c r="N168" s="84">
        <v>8.0</v>
      </c>
      <c r="O168" s="85">
        <v>0.23462543378674627</v>
      </c>
      <c r="P168" s="85">
        <v>-0.4999433157781228</v>
      </c>
      <c r="Q168" s="85">
        <v>-0.6108479294557779</v>
      </c>
      <c r="R168" s="85">
        <v>0.1259730506845632</v>
      </c>
      <c r="S168" s="85">
        <v>-0.05840964178494014</v>
      </c>
      <c r="T168" s="85">
        <v>-0.7854996801656857</v>
      </c>
      <c r="U168" s="85">
        <v>0.17361531285602932</v>
      </c>
      <c r="V168" s="85">
        <v>0.0</v>
      </c>
      <c r="W168" s="85">
        <v>0.15548961625469104</v>
      </c>
      <c r="X168" s="85">
        <v>-1.8017821306517654</v>
      </c>
      <c r="Y168" s="50" t="s">
        <v>69</v>
      </c>
      <c r="Z168" s="50" t="s">
        <v>69</v>
      </c>
      <c r="AA168" s="50" t="s">
        <v>69</v>
      </c>
      <c r="AB168" s="50" t="s">
        <v>69</v>
      </c>
      <c r="AC168" s="34" t="str">
        <f t="shared" ref="AC168:AP168" si="168">LET(
  skater, IFERROR(INDEX(AllProj, MATCH($E168, AllProjNames, 0), MATCH(AC$2, AllProjCats, 0) + 1), ""),
  goalie, IFERROR(INDEX(AllGProj, MATCH($E168, AllGProjNames, 0), MATCH(AC$2, AllGProjCats, 0) + 1), ""),
  val, IF(skater &lt;&gt; "", skater, goalie),
  IF(OR($E168="", AC$2="", val=""), "", val * AC$1)
)</f>
        <v/>
      </c>
      <c r="AD168" s="34" t="str">
        <f t="shared" si="168"/>
        <v/>
      </c>
      <c r="AE168" s="34" t="str">
        <f t="shared" si="168"/>
        <v/>
      </c>
      <c r="AF168" s="34" t="str">
        <f t="shared" si="168"/>
        <v/>
      </c>
      <c r="AG168" s="34" t="str">
        <f t="shared" si="168"/>
        <v/>
      </c>
      <c r="AH168" s="34" t="str">
        <f t="shared" si="168"/>
        <v/>
      </c>
      <c r="AI168" s="34" t="str">
        <f t="shared" si="168"/>
        <v/>
      </c>
      <c r="AJ168" s="34" t="str">
        <f t="shared" si="168"/>
        <v/>
      </c>
      <c r="AK168" s="34" t="str">
        <f t="shared" si="168"/>
        <v/>
      </c>
      <c r="AL168" s="34" t="str">
        <f t="shared" si="168"/>
        <v/>
      </c>
      <c r="AM168" s="34" t="str">
        <f t="shared" si="168"/>
        <v/>
      </c>
      <c r="AN168" s="34" t="str">
        <f t="shared" si="168"/>
        <v/>
      </c>
      <c r="AO168" s="34" t="str">
        <f t="shared" si="168"/>
        <v/>
      </c>
      <c r="AP168" s="34" t="str">
        <f t="shared" si="168"/>
        <v/>
      </c>
      <c r="AQ168" s="76" t="s">
        <v>202</v>
      </c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  <c r="BF168" s="77"/>
      <c r="BG168" s="77"/>
      <c r="BH168" s="77"/>
      <c r="BI168" s="77"/>
      <c r="BJ168" s="77"/>
      <c r="BK168" s="77"/>
      <c r="BL168" s="77"/>
      <c r="BM168" s="78"/>
    </row>
    <row r="169">
      <c r="A169" s="41" t="s">
        <v>69</v>
      </c>
      <c r="B169" s="41" t="b">
        <v>0</v>
      </c>
      <c r="C169" s="41" t="b">
        <f t="shared" si="3"/>
        <v>1</v>
      </c>
      <c r="D169" s="42" t="s">
        <v>826</v>
      </c>
      <c r="E169" s="43" t="s">
        <v>1737</v>
      </c>
      <c r="F169" s="44" t="s">
        <v>930</v>
      </c>
      <c r="G169" s="29" t="s">
        <v>835</v>
      </c>
      <c r="H169" s="32">
        <v>-3.079172257468681</v>
      </c>
      <c r="I169" s="32">
        <v>2.308707867444058</v>
      </c>
      <c r="J169" s="45" t="s">
        <v>1738</v>
      </c>
      <c r="K169" s="29">
        <v>38.3</v>
      </c>
      <c r="L169" s="41">
        <v>76.62220588235293</v>
      </c>
      <c r="M169" s="46">
        <v>29.0</v>
      </c>
      <c r="N169" s="46">
        <v>7.0</v>
      </c>
      <c r="O169" s="47">
        <v>0.6688036689242877</v>
      </c>
      <c r="P169" s="47">
        <v>-0.023460796877584542</v>
      </c>
      <c r="Q169" s="47">
        <v>-1.4952027857595254</v>
      </c>
      <c r="R169" s="47">
        <v>0.4816401243495747</v>
      </c>
      <c r="S169" s="47">
        <v>0.3834392208870616</v>
      </c>
      <c r="T169" s="47">
        <v>-0.3088668745556556</v>
      </c>
      <c r="U169" s="47">
        <v>0.28585564552008513</v>
      </c>
      <c r="V169" s="47">
        <v>0.0</v>
      </c>
      <c r="W169" s="47">
        <v>-1.231594311128853</v>
      </c>
      <c r="X169" s="47">
        <v>-1.8397861488280713</v>
      </c>
      <c r="Y169" s="50" t="s">
        <v>69</v>
      </c>
      <c r="Z169" s="50" t="s">
        <v>69</v>
      </c>
      <c r="AA169" s="50" t="s">
        <v>69</v>
      </c>
      <c r="AB169" s="50" t="s">
        <v>69</v>
      </c>
      <c r="AC169" s="34" t="str">
        <f t="shared" ref="AC169:AP169" si="169">LET(
  skater, IFERROR(INDEX(AllProj, MATCH($E169, AllProjNames, 0), MATCH(AC$2, AllProjCats, 0) + 1), ""),
  goalie, IFERROR(INDEX(AllGProj, MATCH($E169, AllGProjNames, 0), MATCH(AC$2, AllGProjCats, 0) + 1), ""),
  val, IF(skater &lt;&gt; "", skater, goalie),
  IF(OR($E169="", AC$2="", val=""), "", val * AC$1)
)</f>
        <v/>
      </c>
      <c r="AD169" s="34" t="str">
        <f t="shared" si="169"/>
        <v/>
      </c>
      <c r="AE169" s="34" t="str">
        <f t="shared" si="169"/>
        <v/>
      </c>
      <c r="AF169" s="34" t="str">
        <f t="shared" si="169"/>
        <v/>
      </c>
      <c r="AG169" s="34" t="str">
        <f t="shared" si="169"/>
        <v/>
      </c>
      <c r="AH169" s="34" t="str">
        <f t="shared" si="169"/>
        <v/>
      </c>
      <c r="AI169" s="34" t="str">
        <f t="shared" si="169"/>
        <v/>
      </c>
      <c r="AJ169" s="34" t="str">
        <f t="shared" si="169"/>
        <v/>
      </c>
      <c r="AK169" s="34" t="str">
        <f t="shared" si="169"/>
        <v/>
      </c>
      <c r="AL169" s="34" t="str">
        <f t="shared" si="169"/>
        <v/>
      </c>
      <c r="AM169" s="34" t="str">
        <f t="shared" si="169"/>
        <v/>
      </c>
      <c r="AN169" s="34" t="str">
        <f t="shared" si="169"/>
        <v/>
      </c>
      <c r="AO169" s="34" t="str">
        <f t="shared" si="169"/>
        <v/>
      </c>
      <c r="AP169" s="34" t="str">
        <f t="shared" si="169"/>
        <v/>
      </c>
      <c r="AQ169" s="76" t="s">
        <v>203</v>
      </c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  <c r="BF169" s="77"/>
      <c r="BG169" s="77"/>
      <c r="BH169" s="77"/>
      <c r="BI169" s="77"/>
      <c r="BJ169" s="77"/>
      <c r="BK169" s="77"/>
      <c r="BL169" s="77"/>
      <c r="BM169" s="78"/>
    </row>
    <row r="170">
      <c r="A170" s="79" t="s">
        <v>69</v>
      </c>
      <c r="B170" s="79" t="b">
        <v>0</v>
      </c>
      <c r="C170" s="79" t="b">
        <f t="shared" si="3"/>
        <v>1</v>
      </c>
      <c r="D170" s="80" t="s">
        <v>502</v>
      </c>
      <c r="E170" s="81" t="s">
        <v>1739</v>
      </c>
      <c r="F170" s="82" t="s">
        <v>1419</v>
      </c>
      <c r="G170" s="35" t="s">
        <v>837</v>
      </c>
      <c r="H170" s="37">
        <v>-3.125914834867378</v>
      </c>
      <c r="I170" s="37">
        <v>2.403943937061523</v>
      </c>
      <c r="J170" s="83" t="s">
        <v>1740</v>
      </c>
      <c r="K170" s="35">
        <v>33.4</v>
      </c>
      <c r="L170" s="79">
        <v>75.73308823529412</v>
      </c>
      <c r="M170" s="84">
        <v>23.0</v>
      </c>
      <c r="N170" s="84">
        <v>7.0</v>
      </c>
      <c r="O170" s="85">
        <v>-1.1851015259260207</v>
      </c>
      <c r="P170" s="85">
        <v>0.8788956920034154</v>
      </c>
      <c r="Q170" s="85">
        <v>0.2756084071299615</v>
      </c>
      <c r="R170" s="85">
        <v>-0.9585851589534965</v>
      </c>
      <c r="S170" s="85">
        <v>1.1920698053021568</v>
      </c>
      <c r="T170" s="85">
        <v>-0.7834645533906035</v>
      </c>
      <c r="U170" s="85">
        <v>-0.4788307128852345</v>
      </c>
      <c r="V170" s="85">
        <v>0.0</v>
      </c>
      <c r="W170" s="85">
        <v>-1.8030900059543704</v>
      </c>
      <c r="X170" s="85">
        <v>-0.26341678219318665</v>
      </c>
      <c r="Y170" s="50" t="s">
        <v>69</v>
      </c>
      <c r="Z170" s="50" t="s">
        <v>69</v>
      </c>
      <c r="AA170" s="50" t="s">
        <v>69</v>
      </c>
      <c r="AB170" s="50" t="s">
        <v>69</v>
      </c>
      <c r="AC170" s="34" t="str">
        <f t="shared" ref="AC170:AP170" si="170">LET(
  skater, IFERROR(INDEX(AllProj, MATCH($E170, AllProjNames, 0), MATCH(AC$2, AllProjCats, 0) + 1), ""),
  goalie, IFERROR(INDEX(AllGProj, MATCH($E170, AllGProjNames, 0), MATCH(AC$2, AllGProjCats, 0) + 1), ""),
  val, IF(skater &lt;&gt; "", skater, goalie),
  IF(OR($E170="", AC$2="", val=""), "", val * AC$1)
)</f>
        <v/>
      </c>
      <c r="AD170" s="34" t="str">
        <f t="shared" si="170"/>
        <v/>
      </c>
      <c r="AE170" s="34" t="str">
        <f t="shared" si="170"/>
        <v/>
      </c>
      <c r="AF170" s="34" t="str">
        <f t="shared" si="170"/>
        <v/>
      </c>
      <c r="AG170" s="34" t="str">
        <f t="shared" si="170"/>
        <v/>
      </c>
      <c r="AH170" s="34" t="str">
        <f t="shared" si="170"/>
        <v/>
      </c>
      <c r="AI170" s="34" t="str">
        <f t="shared" si="170"/>
        <v/>
      </c>
      <c r="AJ170" s="34" t="str">
        <f t="shared" si="170"/>
        <v/>
      </c>
      <c r="AK170" s="34" t="str">
        <f t="shared" si="170"/>
        <v/>
      </c>
      <c r="AL170" s="34" t="str">
        <f t="shared" si="170"/>
        <v/>
      </c>
      <c r="AM170" s="34" t="str">
        <f t="shared" si="170"/>
        <v/>
      </c>
      <c r="AN170" s="34" t="str">
        <f t="shared" si="170"/>
        <v/>
      </c>
      <c r="AO170" s="34" t="str">
        <f t="shared" si="170"/>
        <v/>
      </c>
      <c r="AP170" s="34" t="str">
        <f t="shared" si="170"/>
        <v/>
      </c>
      <c r="AQ170" s="76" t="s">
        <v>204</v>
      </c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  <c r="BF170" s="77"/>
      <c r="BG170" s="77"/>
      <c r="BH170" s="77"/>
      <c r="BI170" s="77"/>
      <c r="BJ170" s="77"/>
      <c r="BK170" s="77"/>
      <c r="BL170" s="77"/>
      <c r="BM170" s="78"/>
    </row>
    <row r="171">
      <c r="A171" s="41" t="s">
        <v>69</v>
      </c>
      <c r="B171" s="41" t="b">
        <v>0</v>
      </c>
      <c r="C171" s="41" t="b">
        <f t="shared" si="3"/>
        <v>1</v>
      </c>
      <c r="D171" s="42" t="s">
        <v>824</v>
      </c>
      <c r="E171" s="43" t="s">
        <v>1741</v>
      </c>
      <c r="F171" s="44" t="s">
        <v>1299</v>
      </c>
      <c r="G171" s="29" t="s">
        <v>837</v>
      </c>
      <c r="H171" s="32">
        <v>-3.158474559815205</v>
      </c>
      <c r="I171" s="32">
        <v>2.3713842121136963</v>
      </c>
      <c r="J171" s="45" t="s">
        <v>1742</v>
      </c>
      <c r="K171" s="29">
        <v>32.6</v>
      </c>
      <c r="L171" s="41">
        <v>80.21428571428571</v>
      </c>
      <c r="M171" s="46">
        <v>31.0</v>
      </c>
      <c r="N171" s="46">
        <v>7.0</v>
      </c>
      <c r="O171" s="47">
        <v>-1.8898829124837966</v>
      </c>
      <c r="P171" s="47">
        <v>-0.975698748247525</v>
      </c>
      <c r="Q171" s="47">
        <v>-1.2345795270854143</v>
      </c>
      <c r="R171" s="47">
        <v>0.26043012365551055</v>
      </c>
      <c r="S171" s="47">
        <v>-1.5262528002119675</v>
      </c>
      <c r="T171" s="47">
        <v>-0.16952108464970286</v>
      </c>
      <c r="U171" s="47">
        <v>-0.6016449382232627</v>
      </c>
      <c r="V171" s="47">
        <v>0.0</v>
      </c>
      <c r="W171" s="47">
        <v>0.47129810249347887</v>
      </c>
      <c r="X171" s="47">
        <v>2.5073772249374757</v>
      </c>
      <c r="Y171" s="50" t="s">
        <v>69</v>
      </c>
      <c r="Z171" s="50" t="s">
        <v>69</v>
      </c>
      <c r="AA171" s="50" t="s">
        <v>69</v>
      </c>
      <c r="AB171" s="50" t="s">
        <v>69</v>
      </c>
      <c r="AC171" s="34" t="str">
        <f t="shared" ref="AC171:AP171" si="171">LET(
  skater, IFERROR(INDEX(AllProj, MATCH($E171, AllProjNames, 0), MATCH(AC$2, AllProjCats, 0) + 1), ""),
  goalie, IFERROR(INDEX(AllGProj, MATCH($E171, AllGProjNames, 0), MATCH(AC$2, AllGProjCats, 0) + 1), ""),
  val, IF(skater &lt;&gt; "", skater, goalie),
  IF(OR($E171="", AC$2="", val=""), "", val * AC$1)
)</f>
        <v/>
      </c>
      <c r="AD171" s="34" t="str">
        <f t="shared" si="171"/>
        <v/>
      </c>
      <c r="AE171" s="34" t="str">
        <f t="shared" si="171"/>
        <v/>
      </c>
      <c r="AF171" s="34" t="str">
        <f t="shared" si="171"/>
        <v/>
      </c>
      <c r="AG171" s="34" t="str">
        <f t="shared" si="171"/>
        <v/>
      </c>
      <c r="AH171" s="34" t="str">
        <f t="shared" si="171"/>
        <v/>
      </c>
      <c r="AI171" s="34" t="str">
        <f t="shared" si="171"/>
        <v/>
      </c>
      <c r="AJ171" s="34" t="str">
        <f t="shared" si="171"/>
        <v/>
      </c>
      <c r="AK171" s="34" t="str">
        <f t="shared" si="171"/>
        <v/>
      </c>
      <c r="AL171" s="34" t="str">
        <f t="shared" si="171"/>
        <v/>
      </c>
      <c r="AM171" s="34" t="str">
        <f t="shared" si="171"/>
        <v/>
      </c>
      <c r="AN171" s="34" t="str">
        <f t="shared" si="171"/>
        <v/>
      </c>
      <c r="AO171" s="34" t="str">
        <f t="shared" si="171"/>
        <v/>
      </c>
      <c r="AP171" s="34" t="str">
        <f t="shared" si="171"/>
        <v/>
      </c>
      <c r="AQ171" s="76" t="s">
        <v>205</v>
      </c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  <c r="BF171" s="77"/>
      <c r="BG171" s="77"/>
      <c r="BH171" s="77"/>
      <c r="BI171" s="77"/>
      <c r="BJ171" s="77"/>
      <c r="BK171" s="77"/>
      <c r="BL171" s="77"/>
      <c r="BM171" s="78"/>
    </row>
    <row r="172">
      <c r="A172" s="79" t="s">
        <v>69</v>
      </c>
      <c r="B172" s="79" t="b">
        <v>0</v>
      </c>
      <c r="C172" s="79" t="b">
        <f t="shared" si="3"/>
        <v>1</v>
      </c>
      <c r="D172" s="80" t="s">
        <v>824</v>
      </c>
      <c r="E172" s="81" t="s">
        <v>1743</v>
      </c>
      <c r="F172" s="82" t="s">
        <v>1454</v>
      </c>
      <c r="G172" s="35" t="s">
        <v>835</v>
      </c>
      <c r="H172" s="37">
        <v>-3.1666118482615926</v>
      </c>
      <c r="I172" s="37">
        <v>2.2212682766511462</v>
      </c>
      <c r="J172" s="83" t="s">
        <v>1744</v>
      </c>
      <c r="K172" s="35">
        <v>21.3</v>
      </c>
      <c r="L172" s="79">
        <v>78.16764705882352</v>
      </c>
      <c r="M172" s="84">
        <v>25.0</v>
      </c>
      <c r="N172" s="84">
        <v>6.0</v>
      </c>
      <c r="O172" s="85">
        <v>-0.36100189009723554</v>
      </c>
      <c r="P172" s="85">
        <v>0.17095990485719476</v>
      </c>
      <c r="Q172" s="85">
        <v>0.7008778665783273</v>
      </c>
      <c r="R172" s="85">
        <v>0.34592557734640117</v>
      </c>
      <c r="S172" s="85">
        <v>-0.475620850764466</v>
      </c>
      <c r="T172" s="85">
        <v>0.02037361027679041</v>
      </c>
      <c r="U172" s="85">
        <v>-0.20927526040352445</v>
      </c>
      <c r="V172" s="85">
        <v>0.0</v>
      </c>
      <c r="W172" s="85">
        <v>-1.6475652915986518</v>
      </c>
      <c r="X172" s="85">
        <v>-1.7112855144564283</v>
      </c>
      <c r="Y172" s="50" t="s">
        <v>69</v>
      </c>
      <c r="Z172" s="50" t="s">
        <v>69</v>
      </c>
      <c r="AA172" s="50" t="s">
        <v>69</v>
      </c>
      <c r="AB172" s="50" t="s">
        <v>69</v>
      </c>
      <c r="AC172" s="34" t="str">
        <f t="shared" ref="AC172:AP172" si="172">LET(
  skater, IFERROR(INDEX(AllProj, MATCH($E172, AllProjNames, 0), MATCH(AC$2, AllProjCats, 0) + 1), ""),
  goalie, IFERROR(INDEX(AllGProj, MATCH($E172, AllGProjNames, 0), MATCH(AC$2, AllGProjCats, 0) + 1), ""),
  val, IF(skater &lt;&gt; "", skater, goalie),
  IF(OR($E172="", AC$2="", val=""), "", val * AC$1)
)</f>
        <v/>
      </c>
      <c r="AD172" s="34" t="str">
        <f t="shared" si="172"/>
        <v/>
      </c>
      <c r="AE172" s="34" t="str">
        <f t="shared" si="172"/>
        <v/>
      </c>
      <c r="AF172" s="34" t="str">
        <f t="shared" si="172"/>
        <v/>
      </c>
      <c r="AG172" s="34" t="str">
        <f t="shared" si="172"/>
        <v/>
      </c>
      <c r="AH172" s="34" t="str">
        <f t="shared" si="172"/>
        <v/>
      </c>
      <c r="AI172" s="34" t="str">
        <f t="shared" si="172"/>
        <v/>
      </c>
      <c r="AJ172" s="34" t="str">
        <f t="shared" si="172"/>
        <v/>
      </c>
      <c r="AK172" s="34" t="str">
        <f t="shared" si="172"/>
        <v/>
      </c>
      <c r="AL172" s="34" t="str">
        <f t="shared" si="172"/>
        <v/>
      </c>
      <c r="AM172" s="34" t="str">
        <f t="shared" si="172"/>
        <v/>
      </c>
      <c r="AN172" s="34" t="str">
        <f t="shared" si="172"/>
        <v/>
      </c>
      <c r="AO172" s="34" t="str">
        <f t="shared" si="172"/>
        <v/>
      </c>
      <c r="AP172" s="34" t="str">
        <f t="shared" si="172"/>
        <v/>
      </c>
      <c r="AQ172" s="76" t="s">
        <v>206</v>
      </c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  <c r="BF172" s="77"/>
      <c r="BG172" s="77"/>
      <c r="BH172" s="77"/>
      <c r="BI172" s="77"/>
      <c r="BJ172" s="77"/>
      <c r="BK172" s="77"/>
      <c r="BL172" s="77"/>
      <c r="BM172" s="78"/>
    </row>
    <row r="173">
      <c r="A173" s="41" t="s">
        <v>69</v>
      </c>
      <c r="B173" s="41" t="b">
        <v>0</v>
      </c>
      <c r="C173" s="41" t="b">
        <f t="shared" si="3"/>
        <v>1</v>
      </c>
      <c r="D173" s="42" t="s">
        <v>827</v>
      </c>
      <c r="E173" s="43" t="s">
        <v>1745</v>
      </c>
      <c r="F173" s="44" t="s">
        <v>854</v>
      </c>
      <c r="G173" s="29" t="s">
        <v>837</v>
      </c>
      <c r="H173" s="32">
        <v>-3.1996260631308306</v>
      </c>
      <c r="I173" s="32">
        <v>2.3302327087980705</v>
      </c>
      <c r="J173" s="45" t="s">
        <v>1746</v>
      </c>
      <c r="K173" s="29">
        <v>35.7</v>
      </c>
      <c r="L173" s="41">
        <v>78.32705882352941</v>
      </c>
      <c r="M173" s="46">
        <v>16.0</v>
      </c>
      <c r="N173" s="46">
        <v>6.0</v>
      </c>
      <c r="O173" s="47">
        <v>-1.4522380388582745</v>
      </c>
      <c r="P173" s="47">
        <v>0.4759390723232975</v>
      </c>
      <c r="Q173" s="47">
        <v>0.42102371357893886</v>
      </c>
      <c r="R173" s="47">
        <v>-0.6437974779920983</v>
      </c>
      <c r="S173" s="47">
        <v>0.0934919185154624</v>
      </c>
      <c r="T173" s="47">
        <v>-0.7733872041549479</v>
      </c>
      <c r="U173" s="47">
        <v>-0.4287099580820277</v>
      </c>
      <c r="V173" s="47">
        <v>0.0</v>
      </c>
      <c r="W173" s="47">
        <v>-1.5762153769364067</v>
      </c>
      <c r="X173" s="47">
        <v>0.684267288475226</v>
      </c>
      <c r="Y173" s="50" t="s">
        <v>69</v>
      </c>
      <c r="Z173" s="50" t="s">
        <v>69</v>
      </c>
      <c r="AA173" s="50" t="s">
        <v>69</v>
      </c>
      <c r="AB173" s="50" t="s">
        <v>69</v>
      </c>
      <c r="AC173" s="34" t="str">
        <f t="shared" ref="AC173:AP173" si="173">LET(
  skater, IFERROR(INDEX(AllProj, MATCH($E173, AllProjNames, 0), MATCH(AC$2, AllProjCats, 0) + 1), ""),
  goalie, IFERROR(INDEX(AllGProj, MATCH($E173, AllGProjNames, 0), MATCH(AC$2, AllGProjCats, 0) + 1), ""),
  val, IF(skater &lt;&gt; "", skater, goalie),
  IF(OR($E173="", AC$2="", val=""), "", val * AC$1)
)</f>
        <v/>
      </c>
      <c r="AD173" s="34" t="str">
        <f t="shared" si="173"/>
        <v/>
      </c>
      <c r="AE173" s="34" t="str">
        <f t="shared" si="173"/>
        <v/>
      </c>
      <c r="AF173" s="34" t="str">
        <f t="shared" si="173"/>
        <v/>
      </c>
      <c r="AG173" s="34" t="str">
        <f t="shared" si="173"/>
        <v/>
      </c>
      <c r="AH173" s="34" t="str">
        <f t="shared" si="173"/>
        <v/>
      </c>
      <c r="AI173" s="34" t="str">
        <f t="shared" si="173"/>
        <v/>
      </c>
      <c r="AJ173" s="34" t="str">
        <f t="shared" si="173"/>
        <v/>
      </c>
      <c r="AK173" s="34" t="str">
        <f t="shared" si="173"/>
        <v/>
      </c>
      <c r="AL173" s="34" t="str">
        <f t="shared" si="173"/>
        <v/>
      </c>
      <c r="AM173" s="34" t="str">
        <f t="shared" si="173"/>
        <v/>
      </c>
      <c r="AN173" s="34" t="str">
        <f t="shared" si="173"/>
        <v/>
      </c>
      <c r="AO173" s="34" t="str">
        <f t="shared" si="173"/>
        <v/>
      </c>
      <c r="AP173" s="34" t="str">
        <f t="shared" si="173"/>
        <v/>
      </c>
      <c r="AQ173" s="76" t="s">
        <v>207</v>
      </c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  <c r="BF173" s="77"/>
      <c r="BG173" s="77"/>
      <c r="BH173" s="77"/>
      <c r="BI173" s="77"/>
      <c r="BJ173" s="77"/>
      <c r="BK173" s="77"/>
      <c r="BL173" s="77"/>
      <c r="BM173" s="78"/>
    </row>
    <row r="174">
      <c r="A174" s="79" t="s">
        <v>69</v>
      </c>
      <c r="B174" s="79" t="b">
        <v>0</v>
      </c>
      <c r="C174" s="79" t="b">
        <f t="shared" si="3"/>
        <v>1</v>
      </c>
      <c r="D174" s="80" t="s">
        <v>254</v>
      </c>
      <c r="E174" s="81" t="s">
        <v>1747</v>
      </c>
      <c r="F174" s="82" t="s">
        <v>1439</v>
      </c>
      <c r="G174" s="35" t="s">
        <v>837</v>
      </c>
      <c r="H174" s="37">
        <v>-3.215048763129036</v>
      </c>
      <c r="I174" s="37">
        <v>2.3148100087998653</v>
      </c>
      <c r="J174" s="83" t="s">
        <v>1748</v>
      </c>
      <c r="K174" s="35">
        <v>25.1</v>
      </c>
      <c r="L174" s="79">
        <v>79.89117647058823</v>
      </c>
      <c r="M174" s="84">
        <v>25.0</v>
      </c>
      <c r="N174" s="84">
        <v>6.0</v>
      </c>
      <c r="O174" s="85">
        <v>-1.1975042037501429</v>
      </c>
      <c r="P174" s="85">
        <v>0.01129513752453499</v>
      </c>
      <c r="Q174" s="85">
        <v>0.9461780582867665</v>
      </c>
      <c r="R174" s="85">
        <v>-1.3290450276921304</v>
      </c>
      <c r="S174" s="85">
        <v>-0.5950797325891475</v>
      </c>
      <c r="T174" s="85">
        <v>-0.42165519619158665</v>
      </c>
      <c r="U174" s="85">
        <v>-0.5583646019399982</v>
      </c>
      <c r="V174" s="85">
        <v>0.0</v>
      </c>
      <c r="W174" s="85">
        <v>-1.7627592430727441</v>
      </c>
      <c r="X174" s="85">
        <v>1.6918860462954128</v>
      </c>
      <c r="Y174" s="50" t="s">
        <v>69</v>
      </c>
      <c r="Z174" s="50" t="s">
        <v>69</v>
      </c>
      <c r="AA174" s="50" t="s">
        <v>69</v>
      </c>
      <c r="AB174" s="50" t="s">
        <v>69</v>
      </c>
      <c r="AC174" s="34" t="str">
        <f t="shared" ref="AC174:AP174" si="174">LET(
  skater, IFERROR(INDEX(AllProj, MATCH($E174, AllProjNames, 0), MATCH(AC$2, AllProjCats, 0) + 1), ""),
  goalie, IFERROR(INDEX(AllGProj, MATCH($E174, AllGProjNames, 0), MATCH(AC$2, AllGProjCats, 0) + 1), ""),
  val, IF(skater &lt;&gt; "", skater, goalie),
  IF(OR($E174="", AC$2="", val=""), "", val * AC$1)
)</f>
        <v/>
      </c>
      <c r="AD174" s="34" t="str">
        <f t="shared" si="174"/>
        <v/>
      </c>
      <c r="AE174" s="34" t="str">
        <f t="shared" si="174"/>
        <v/>
      </c>
      <c r="AF174" s="34" t="str">
        <f t="shared" si="174"/>
        <v/>
      </c>
      <c r="AG174" s="34" t="str">
        <f t="shared" si="174"/>
        <v/>
      </c>
      <c r="AH174" s="34" t="str">
        <f t="shared" si="174"/>
        <v/>
      </c>
      <c r="AI174" s="34" t="str">
        <f t="shared" si="174"/>
        <v/>
      </c>
      <c r="AJ174" s="34" t="str">
        <f t="shared" si="174"/>
        <v/>
      </c>
      <c r="AK174" s="34" t="str">
        <f t="shared" si="174"/>
        <v/>
      </c>
      <c r="AL174" s="34" t="str">
        <f t="shared" si="174"/>
        <v/>
      </c>
      <c r="AM174" s="34" t="str">
        <f t="shared" si="174"/>
        <v/>
      </c>
      <c r="AN174" s="34" t="str">
        <f t="shared" si="174"/>
        <v/>
      </c>
      <c r="AO174" s="34" t="str">
        <f t="shared" si="174"/>
        <v/>
      </c>
      <c r="AP174" s="34" t="str">
        <f t="shared" si="174"/>
        <v/>
      </c>
      <c r="AQ174" s="76" t="s">
        <v>208</v>
      </c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  <c r="BF174" s="77"/>
      <c r="BG174" s="77"/>
      <c r="BH174" s="77"/>
      <c r="BI174" s="77"/>
      <c r="BJ174" s="77"/>
      <c r="BK174" s="77"/>
      <c r="BL174" s="77"/>
      <c r="BM174" s="78"/>
    </row>
    <row r="175">
      <c r="A175" s="41" t="s">
        <v>69</v>
      </c>
      <c r="B175" s="41" t="b">
        <v>0</v>
      </c>
      <c r="C175" s="41" t="b">
        <f t="shared" si="3"/>
        <v>1</v>
      </c>
      <c r="D175" s="42" t="s">
        <v>824</v>
      </c>
      <c r="E175" s="98" t="s">
        <v>1749</v>
      </c>
      <c r="F175" s="44" t="s">
        <v>1419</v>
      </c>
      <c r="G175" s="29" t="s">
        <v>837</v>
      </c>
      <c r="H175" s="32">
        <v>-3.2408949986136477</v>
      </c>
      <c r="I175" s="32">
        <v>2.2889637733152535</v>
      </c>
      <c r="J175" s="45" t="s">
        <v>1750</v>
      </c>
      <c r="K175" s="29">
        <v>25.0</v>
      </c>
      <c r="L175" s="41">
        <v>82.63720588235294</v>
      </c>
      <c r="M175" s="46">
        <v>23.0</v>
      </c>
      <c r="N175" s="46">
        <v>7.0</v>
      </c>
      <c r="O175" s="47">
        <v>-1.4499913565855755</v>
      </c>
      <c r="P175" s="47">
        <v>-0.7269683546534899</v>
      </c>
      <c r="Q175" s="47">
        <v>1.0497890607695808</v>
      </c>
      <c r="R175" s="47">
        <v>-0.6912231493434786</v>
      </c>
      <c r="S175" s="47">
        <v>-0.6804499330988242</v>
      </c>
      <c r="T175" s="47">
        <v>-0.28103862509377825</v>
      </c>
      <c r="U175" s="47">
        <v>-0.8458941616500698</v>
      </c>
      <c r="V175" s="47">
        <v>0.0</v>
      </c>
      <c r="W175" s="47">
        <v>0.10401467759451245</v>
      </c>
      <c r="X175" s="47">
        <v>0.28086684344747553</v>
      </c>
      <c r="Y175" s="50" t="s">
        <v>69</v>
      </c>
      <c r="Z175" s="50" t="s">
        <v>69</v>
      </c>
      <c r="AA175" s="50" t="s">
        <v>69</v>
      </c>
      <c r="AB175" s="50" t="s">
        <v>69</v>
      </c>
      <c r="AC175" s="34" t="str">
        <f t="shared" ref="AC175:AP175" si="175">LET(
  skater, IFERROR(INDEX(AllProj, MATCH($E175, AllProjNames, 0), MATCH(AC$2, AllProjCats, 0) + 1), ""),
  goalie, IFERROR(INDEX(AllGProj, MATCH($E175, AllGProjNames, 0), MATCH(AC$2, AllGProjCats, 0) + 1), ""),
  val, IF(skater &lt;&gt; "", skater, goalie),
  IF(OR($E175="", AC$2="", val=""), "", val * AC$1)
)</f>
        <v/>
      </c>
      <c r="AD175" s="34" t="str">
        <f t="shared" si="175"/>
        <v/>
      </c>
      <c r="AE175" s="34" t="str">
        <f t="shared" si="175"/>
        <v/>
      </c>
      <c r="AF175" s="34" t="str">
        <f t="shared" si="175"/>
        <v/>
      </c>
      <c r="AG175" s="34" t="str">
        <f t="shared" si="175"/>
        <v/>
      </c>
      <c r="AH175" s="34" t="str">
        <f t="shared" si="175"/>
        <v/>
      </c>
      <c r="AI175" s="34" t="str">
        <f t="shared" si="175"/>
        <v/>
      </c>
      <c r="AJ175" s="34" t="str">
        <f t="shared" si="175"/>
        <v/>
      </c>
      <c r="AK175" s="34" t="str">
        <f t="shared" si="175"/>
        <v/>
      </c>
      <c r="AL175" s="34" t="str">
        <f t="shared" si="175"/>
        <v/>
      </c>
      <c r="AM175" s="34" t="str">
        <f t="shared" si="175"/>
        <v/>
      </c>
      <c r="AN175" s="34" t="str">
        <f t="shared" si="175"/>
        <v/>
      </c>
      <c r="AO175" s="34" t="str">
        <f t="shared" si="175"/>
        <v/>
      </c>
      <c r="AP175" s="34" t="str">
        <f t="shared" si="175"/>
        <v/>
      </c>
      <c r="AQ175" s="76" t="s">
        <v>209</v>
      </c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  <c r="BF175" s="77"/>
      <c r="BG175" s="77"/>
      <c r="BH175" s="77"/>
      <c r="BI175" s="77"/>
      <c r="BJ175" s="77"/>
      <c r="BK175" s="77"/>
      <c r="BL175" s="77"/>
      <c r="BM175" s="78"/>
    </row>
    <row r="176">
      <c r="A176" s="79">
        <v>2.5714285714285716</v>
      </c>
      <c r="B176" s="79" t="b">
        <v>0</v>
      </c>
      <c r="C176" s="79" t="b">
        <f t="shared" si="3"/>
        <v>0</v>
      </c>
      <c r="D176" s="80" t="s">
        <v>1565</v>
      </c>
      <c r="E176" s="81" t="s">
        <v>924</v>
      </c>
      <c r="F176" s="82" t="s">
        <v>1436</v>
      </c>
      <c r="G176" s="35" t="s">
        <v>837</v>
      </c>
      <c r="H176" s="37">
        <v>-3.257442424380822</v>
      </c>
      <c r="I176" s="37">
        <v>2.272416347548079</v>
      </c>
      <c r="J176" s="83" t="s">
        <v>1751</v>
      </c>
      <c r="K176" s="35">
        <v>25.0</v>
      </c>
      <c r="L176" s="79">
        <v>82.0</v>
      </c>
      <c r="M176" s="84">
        <v>26.0</v>
      </c>
      <c r="N176" s="84">
        <v>5.0</v>
      </c>
      <c r="O176" s="96" t="s">
        <v>69</v>
      </c>
      <c r="P176" s="85">
        <v>-1.7830439555040773</v>
      </c>
      <c r="Q176" s="96" t="s">
        <v>69</v>
      </c>
      <c r="R176" s="85">
        <v>0.49401537277127644</v>
      </c>
      <c r="S176" s="96" t="s">
        <v>69</v>
      </c>
      <c r="T176" s="96" t="s">
        <v>69</v>
      </c>
      <c r="U176" s="85">
        <v>-2.0711582794355325</v>
      </c>
      <c r="V176" s="96" t="s">
        <v>69</v>
      </c>
      <c r="W176" s="85">
        <v>0.08458951327224147</v>
      </c>
      <c r="X176" s="85">
        <v>0.018154924515269972</v>
      </c>
      <c r="Y176" s="50" t="s">
        <v>69</v>
      </c>
      <c r="Z176" s="50" t="s">
        <v>69</v>
      </c>
      <c r="AA176" s="50" t="s">
        <v>69</v>
      </c>
      <c r="AB176" s="50" t="s">
        <v>69</v>
      </c>
      <c r="AC176" s="34" t="str">
        <f t="shared" ref="AC176:AP176" si="176">LET(
  skater, IFERROR(INDEX(AllProj, MATCH($E176, AllProjNames, 0), MATCH(AC$2, AllProjCats, 0) + 1), ""),
  goalie, IFERROR(INDEX(AllGProj, MATCH($E176, AllGProjNames, 0), MATCH(AC$2, AllGProjCats, 0) + 1), ""),
  val, IF(skater &lt;&gt; "", skater, goalie),
  IF(OR($E176="", AC$2="", val=""), "", val * AC$1)
)</f>
        <v/>
      </c>
      <c r="AD176" s="34" t="str">
        <f t="shared" si="176"/>
        <v/>
      </c>
      <c r="AE176" s="34" t="str">
        <f t="shared" si="176"/>
        <v/>
      </c>
      <c r="AF176" s="34" t="str">
        <f t="shared" si="176"/>
        <v/>
      </c>
      <c r="AG176" s="34" t="str">
        <f t="shared" si="176"/>
        <v/>
      </c>
      <c r="AH176" s="34" t="str">
        <f t="shared" si="176"/>
        <v/>
      </c>
      <c r="AI176" s="34" t="str">
        <f t="shared" si="176"/>
        <v/>
      </c>
      <c r="AJ176" s="34" t="str">
        <f t="shared" si="176"/>
        <v/>
      </c>
      <c r="AK176" s="34" t="str">
        <f t="shared" si="176"/>
        <v/>
      </c>
      <c r="AL176" s="34" t="str">
        <f t="shared" si="176"/>
        <v/>
      </c>
      <c r="AM176" s="34" t="str">
        <f t="shared" si="176"/>
        <v/>
      </c>
      <c r="AN176" s="34" t="str">
        <f t="shared" si="176"/>
        <v/>
      </c>
      <c r="AO176" s="34" t="str">
        <f t="shared" si="176"/>
        <v/>
      </c>
      <c r="AP176" s="34" t="str">
        <f t="shared" si="176"/>
        <v/>
      </c>
      <c r="AQ176" s="76" t="s">
        <v>210</v>
      </c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  <c r="BF176" s="77"/>
      <c r="BG176" s="77"/>
      <c r="BH176" s="77"/>
      <c r="BI176" s="77"/>
      <c r="BJ176" s="77"/>
      <c r="BK176" s="77"/>
      <c r="BL176" s="77"/>
      <c r="BM176" s="78"/>
    </row>
    <row r="177">
      <c r="A177" s="41" t="s">
        <v>69</v>
      </c>
      <c r="B177" s="41" t="b">
        <v>0</v>
      </c>
      <c r="C177" s="41" t="b">
        <f t="shared" si="3"/>
        <v>1</v>
      </c>
      <c r="D177" s="42" t="s">
        <v>827</v>
      </c>
      <c r="E177" s="43" t="s">
        <v>1752</v>
      </c>
      <c r="F177" s="44" t="s">
        <v>1426</v>
      </c>
      <c r="G177" s="29" t="s">
        <v>831</v>
      </c>
      <c r="H177" s="32">
        <v>-3.2953928479898744</v>
      </c>
      <c r="I177" s="32">
        <v>2.146744760737983</v>
      </c>
      <c r="J177" s="45" t="s">
        <v>1753</v>
      </c>
      <c r="K177" s="29">
        <v>28.2</v>
      </c>
      <c r="L177" s="41">
        <v>80.74676470588236</v>
      </c>
      <c r="M177" s="46">
        <v>23.0</v>
      </c>
      <c r="N177" s="46">
        <v>6.0</v>
      </c>
      <c r="O177" s="47">
        <v>1.6177863557088124</v>
      </c>
      <c r="P177" s="47">
        <v>-0.4210445174774655</v>
      </c>
      <c r="Q177" s="47">
        <v>-1.3085765343770361</v>
      </c>
      <c r="R177" s="47">
        <v>-1.1313916882124737</v>
      </c>
      <c r="S177" s="47">
        <v>0.6200858787433843</v>
      </c>
      <c r="T177" s="47">
        <v>-0.7864679011152766</v>
      </c>
      <c r="U177" s="47">
        <v>0.13319889065440502</v>
      </c>
      <c r="V177" s="47">
        <v>0.0</v>
      </c>
      <c r="W177" s="47">
        <v>-0.3630912962242334</v>
      </c>
      <c r="X177" s="47">
        <v>-1.6558920356899907</v>
      </c>
      <c r="Y177" s="50" t="s">
        <v>69</v>
      </c>
      <c r="Z177" s="50" t="s">
        <v>69</v>
      </c>
      <c r="AA177" s="50" t="s">
        <v>69</v>
      </c>
      <c r="AB177" s="50" t="s">
        <v>69</v>
      </c>
      <c r="AC177" s="34" t="str">
        <f t="shared" ref="AC177:AP177" si="177">LET(
  skater, IFERROR(INDEX(AllProj, MATCH($E177, AllProjNames, 0), MATCH(AC$2, AllProjCats, 0) + 1), ""),
  goalie, IFERROR(INDEX(AllGProj, MATCH($E177, AllGProjNames, 0), MATCH(AC$2, AllGProjCats, 0) + 1), ""),
  val, IF(skater &lt;&gt; "", skater, goalie),
  IF(OR($E177="", AC$2="", val=""), "", val * AC$1)
)</f>
        <v/>
      </c>
      <c r="AD177" s="34" t="str">
        <f t="shared" si="177"/>
        <v/>
      </c>
      <c r="AE177" s="34" t="str">
        <f t="shared" si="177"/>
        <v/>
      </c>
      <c r="AF177" s="34" t="str">
        <f t="shared" si="177"/>
        <v/>
      </c>
      <c r="AG177" s="34" t="str">
        <f t="shared" si="177"/>
        <v/>
      </c>
      <c r="AH177" s="34" t="str">
        <f t="shared" si="177"/>
        <v/>
      </c>
      <c r="AI177" s="34" t="str">
        <f t="shared" si="177"/>
        <v/>
      </c>
      <c r="AJ177" s="34" t="str">
        <f t="shared" si="177"/>
        <v/>
      </c>
      <c r="AK177" s="34" t="str">
        <f t="shared" si="177"/>
        <v/>
      </c>
      <c r="AL177" s="34" t="str">
        <f t="shared" si="177"/>
        <v/>
      </c>
      <c r="AM177" s="34" t="str">
        <f t="shared" si="177"/>
        <v/>
      </c>
      <c r="AN177" s="34" t="str">
        <f t="shared" si="177"/>
        <v/>
      </c>
      <c r="AO177" s="34" t="str">
        <f t="shared" si="177"/>
        <v/>
      </c>
      <c r="AP177" s="34" t="str">
        <f t="shared" si="177"/>
        <v/>
      </c>
      <c r="AQ177" s="76" t="s">
        <v>211</v>
      </c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  <c r="BF177" s="77"/>
      <c r="BG177" s="77"/>
      <c r="BH177" s="77"/>
      <c r="BI177" s="77"/>
      <c r="BJ177" s="77"/>
      <c r="BK177" s="77"/>
      <c r="BL177" s="77"/>
      <c r="BM177" s="78"/>
    </row>
    <row r="178">
      <c r="A178" s="79" t="s">
        <v>69</v>
      </c>
      <c r="B178" s="79" t="b">
        <v>0</v>
      </c>
      <c r="C178" s="79" t="b">
        <f t="shared" si="3"/>
        <v>1</v>
      </c>
      <c r="D178" s="80" t="s">
        <v>22</v>
      </c>
      <c r="E178" s="81" t="s">
        <v>1754</v>
      </c>
      <c r="F178" s="82" t="s">
        <v>1419</v>
      </c>
      <c r="G178" s="35" t="s">
        <v>837</v>
      </c>
      <c r="H178" s="37">
        <v>-3.2985376767272876</v>
      </c>
      <c r="I178" s="37">
        <v>2.2313210952016136</v>
      </c>
      <c r="J178" s="83" t="s">
        <v>1755</v>
      </c>
      <c r="K178" s="35">
        <v>26.7</v>
      </c>
      <c r="L178" s="79">
        <v>79.63911764705882</v>
      </c>
      <c r="M178" s="84">
        <v>23.0</v>
      </c>
      <c r="N178" s="84">
        <v>7.0</v>
      </c>
      <c r="O178" s="85">
        <v>-1.6196945761042574</v>
      </c>
      <c r="P178" s="85">
        <v>-0.3747214762885573</v>
      </c>
      <c r="Q178" s="85">
        <v>0.8742068565120061</v>
      </c>
      <c r="R178" s="85">
        <v>-0.009446660023224052</v>
      </c>
      <c r="S178" s="85">
        <v>-1.3072810756321451</v>
      </c>
      <c r="T178" s="85">
        <v>0.2404575549829711</v>
      </c>
      <c r="U178" s="85">
        <v>-0.9831236562548542</v>
      </c>
      <c r="V178" s="85">
        <v>0.0</v>
      </c>
      <c r="W178" s="85">
        <v>-0.3761077084684924</v>
      </c>
      <c r="X178" s="85">
        <v>0.2571730645492653</v>
      </c>
      <c r="Y178" s="50" t="s">
        <v>69</v>
      </c>
      <c r="Z178" s="50" t="s">
        <v>69</v>
      </c>
      <c r="AA178" s="50" t="s">
        <v>69</v>
      </c>
      <c r="AB178" s="50" t="s">
        <v>69</v>
      </c>
      <c r="AC178" s="34" t="str">
        <f t="shared" ref="AC178:AP178" si="178">LET(
  skater, IFERROR(INDEX(AllProj, MATCH($E178, AllProjNames, 0), MATCH(AC$2, AllProjCats, 0) + 1), ""),
  goalie, IFERROR(INDEX(AllGProj, MATCH($E178, AllGProjNames, 0), MATCH(AC$2, AllGProjCats, 0) + 1), ""),
  val, IF(skater &lt;&gt; "", skater, goalie),
  IF(OR($E178="", AC$2="", val=""), "", val * AC$1)
)</f>
        <v/>
      </c>
      <c r="AD178" s="34" t="str">
        <f t="shared" si="178"/>
        <v/>
      </c>
      <c r="AE178" s="34" t="str">
        <f t="shared" si="178"/>
        <v/>
      </c>
      <c r="AF178" s="34" t="str">
        <f t="shared" si="178"/>
        <v/>
      </c>
      <c r="AG178" s="34" t="str">
        <f t="shared" si="178"/>
        <v/>
      </c>
      <c r="AH178" s="34" t="str">
        <f t="shared" si="178"/>
        <v/>
      </c>
      <c r="AI178" s="34" t="str">
        <f t="shared" si="178"/>
        <v/>
      </c>
      <c r="AJ178" s="34" t="str">
        <f t="shared" si="178"/>
        <v/>
      </c>
      <c r="AK178" s="34" t="str">
        <f t="shared" si="178"/>
        <v/>
      </c>
      <c r="AL178" s="34" t="str">
        <f t="shared" si="178"/>
        <v/>
      </c>
      <c r="AM178" s="34" t="str">
        <f t="shared" si="178"/>
        <v/>
      </c>
      <c r="AN178" s="34" t="str">
        <f t="shared" si="178"/>
        <v/>
      </c>
      <c r="AO178" s="34" t="str">
        <f t="shared" si="178"/>
        <v/>
      </c>
      <c r="AP178" s="34" t="str">
        <f t="shared" si="178"/>
        <v/>
      </c>
      <c r="AQ178" s="76" t="s">
        <v>212</v>
      </c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  <c r="BF178" s="77"/>
      <c r="BG178" s="77"/>
      <c r="BH178" s="77"/>
      <c r="BI178" s="77"/>
      <c r="BJ178" s="77"/>
      <c r="BK178" s="77"/>
      <c r="BL178" s="77"/>
      <c r="BM178" s="78"/>
    </row>
    <row r="179">
      <c r="A179" s="41" t="s">
        <v>69</v>
      </c>
      <c r="B179" s="41" t="b">
        <v>0</v>
      </c>
      <c r="C179" s="41" t="b">
        <f t="shared" si="3"/>
        <v>1</v>
      </c>
      <c r="D179" s="42" t="s">
        <v>22</v>
      </c>
      <c r="E179" s="43" t="s">
        <v>1756</v>
      </c>
      <c r="F179" s="44" t="s">
        <v>279</v>
      </c>
      <c r="G179" s="29" t="s">
        <v>837</v>
      </c>
      <c r="H179" s="32">
        <v>-3.3901837018284033</v>
      </c>
      <c r="I179" s="32">
        <v>2.139675070100498</v>
      </c>
      <c r="J179" s="45" t="s">
        <v>1757</v>
      </c>
      <c r="K179" s="29">
        <v>32.6</v>
      </c>
      <c r="L179" s="41">
        <v>79.00941176470589</v>
      </c>
      <c r="M179" s="46">
        <v>34.0</v>
      </c>
      <c r="N179" s="46">
        <v>7.0</v>
      </c>
      <c r="O179" s="47">
        <v>-1.7837501150043837</v>
      </c>
      <c r="P179" s="47">
        <v>-0.1882891483314905</v>
      </c>
      <c r="Q179" s="47">
        <v>3.8763996537489382</v>
      </c>
      <c r="R179" s="47">
        <v>-1.1236570608120386</v>
      </c>
      <c r="S179" s="47">
        <v>-1.3526099397282927</v>
      </c>
      <c r="T179" s="47">
        <v>-0.3988389608276747</v>
      </c>
      <c r="U179" s="47">
        <v>-0.824509669261579</v>
      </c>
      <c r="V179" s="47">
        <v>0.0</v>
      </c>
      <c r="W179" s="47">
        <v>-1.8542189370248878</v>
      </c>
      <c r="X179" s="47">
        <v>0.25929047541300526</v>
      </c>
      <c r="Y179" s="50" t="s">
        <v>69</v>
      </c>
      <c r="Z179" s="50" t="s">
        <v>69</v>
      </c>
      <c r="AA179" s="50" t="s">
        <v>69</v>
      </c>
      <c r="AB179" s="50" t="s">
        <v>69</v>
      </c>
      <c r="AC179" s="34" t="str">
        <f t="shared" ref="AC179:AP179" si="179">LET(
  skater, IFERROR(INDEX(AllProj, MATCH($E179, AllProjNames, 0), MATCH(AC$2, AllProjCats, 0) + 1), ""),
  goalie, IFERROR(INDEX(AllGProj, MATCH($E179, AllGProjNames, 0), MATCH(AC$2, AllGProjCats, 0) + 1), ""),
  val, IF(skater &lt;&gt; "", skater, goalie),
  IF(OR($E179="", AC$2="", val=""), "", val * AC$1)
)</f>
        <v/>
      </c>
      <c r="AD179" s="34" t="str">
        <f t="shared" si="179"/>
        <v/>
      </c>
      <c r="AE179" s="34" t="str">
        <f t="shared" si="179"/>
        <v/>
      </c>
      <c r="AF179" s="34" t="str">
        <f t="shared" si="179"/>
        <v/>
      </c>
      <c r="AG179" s="34" t="str">
        <f t="shared" si="179"/>
        <v/>
      </c>
      <c r="AH179" s="34" t="str">
        <f t="shared" si="179"/>
        <v/>
      </c>
      <c r="AI179" s="34" t="str">
        <f t="shared" si="179"/>
        <v/>
      </c>
      <c r="AJ179" s="34" t="str">
        <f t="shared" si="179"/>
        <v/>
      </c>
      <c r="AK179" s="34" t="str">
        <f t="shared" si="179"/>
        <v/>
      </c>
      <c r="AL179" s="34" t="str">
        <f t="shared" si="179"/>
        <v/>
      </c>
      <c r="AM179" s="34" t="str">
        <f t="shared" si="179"/>
        <v/>
      </c>
      <c r="AN179" s="34" t="str">
        <f t="shared" si="179"/>
        <v/>
      </c>
      <c r="AO179" s="34" t="str">
        <f t="shared" si="179"/>
        <v/>
      </c>
      <c r="AP179" s="34" t="str">
        <f t="shared" si="179"/>
        <v/>
      </c>
      <c r="AQ179" s="76" t="s">
        <v>213</v>
      </c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  <c r="BF179" s="77"/>
      <c r="BG179" s="77"/>
      <c r="BH179" s="77"/>
      <c r="BI179" s="77"/>
      <c r="BJ179" s="77"/>
      <c r="BK179" s="77"/>
      <c r="BL179" s="77"/>
      <c r="BM179" s="78"/>
    </row>
    <row r="180">
      <c r="A180" s="79" t="s">
        <v>69</v>
      </c>
      <c r="B180" s="79" t="b">
        <v>0</v>
      </c>
      <c r="C180" s="79" t="b">
        <f t="shared" si="3"/>
        <v>1</v>
      </c>
      <c r="D180" s="80" t="s">
        <v>827</v>
      </c>
      <c r="E180" s="81" t="s">
        <v>1758</v>
      </c>
      <c r="F180" s="82" t="s">
        <v>1505</v>
      </c>
      <c r="G180" s="35" t="s">
        <v>836</v>
      </c>
      <c r="H180" s="37">
        <v>-3.398206942981653</v>
      </c>
      <c r="I180" s="37">
        <v>2.0439306657462044</v>
      </c>
      <c r="J180" s="83" t="s">
        <v>1759</v>
      </c>
      <c r="K180" s="35">
        <v>29.2</v>
      </c>
      <c r="L180" s="79">
        <v>82.75558823529411</v>
      </c>
      <c r="M180" s="84">
        <v>30.0</v>
      </c>
      <c r="N180" s="84">
        <v>5.0</v>
      </c>
      <c r="O180" s="85">
        <v>-0.13685236610469811</v>
      </c>
      <c r="P180" s="85">
        <v>-1.1835525203439416</v>
      </c>
      <c r="Q180" s="85">
        <v>-0.4428349367158737</v>
      </c>
      <c r="R180" s="85">
        <v>-0.2581008923501598</v>
      </c>
      <c r="S180" s="85">
        <v>-1.361502747808392</v>
      </c>
      <c r="T180" s="85">
        <v>0.05183694441896299</v>
      </c>
      <c r="U180" s="85">
        <v>-0.5327990237861913</v>
      </c>
      <c r="V180" s="85">
        <v>0.0</v>
      </c>
      <c r="W180" s="85">
        <v>1.521607999595105</v>
      </c>
      <c r="X180" s="85">
        <v>-1.0560093998864641</v>
      </c>
      <c r="Y180" s="50" t="s">
        <v>69</v>
      </c>
      <c r="Z180" s="50" t="s">
        <v>69</v>
      </c>
      <c r="AA180" s="50" t="s">
        <v>69</v>
      </c>
      <c r="AB180" s="50" t="s">
        <v>69</v>
      </c>
      <c r="AC180" s="34" t="str">
        <f t="shared" ref="AC180:AP180" si="180">LET(
  skater, IFERROR(INDEX(AllProj, MATCH($E180, AllProjNames, 0), MATCH(AC$2, AllProjCats, 0) + 1), ""),
  goalie, IFERROR(INDEX(AllGProj, MATCH($E180, AllGProjNames, 0), MATCH(AC$2, AllGProjCats, 0) + 1), ""),
  val, IF(skater &lt;&gt; "", skater, goalie),
  IF(OR($E180="", AC$2="", val=""), "", val * AC$1)
)</f>
        <v/>
      </c>
      <c r="AD180" s="34" t="str">
        <f t="shared" si="180"/>
        <v/>
      </c>
      <c r="AE180" s="34" t="str">
        <f t="shared" si="180"/>
        <v/>
      </c>
      <c r="AF180" s="34" t="str">
        <f t="shared" si="180"/>
        <v/>
      </c>
      <c r="AG180" s="34" t="str">
        <f t="shared" si="180"/>
        <v/>
      </c>
      <c r="AH180" s="34" t="str">
        <f t="shared" si="180"/>
        <v/>
      </c>
      <c r="AI180" s="34" t="str">
        <f t="shared" si="180"/>
        <v/>
      </c>
      <c r="AJ180" s="34" t="str">
        <f t="shared" si="180"/>
        <v/>
      </c>
      <c r="AK180" s="34" t="str">
        <f t="shared" si="180"/>
        <v/>
      </c>
      <c r="AL180" s="34" t="str">
        <f t="shared" si="180"/>
        <v/>
      </c>
      <c r="AM180" s="34" t="str">
        <f t="shared" si="180"/>
        <v/>
      </c>
      <c r="AN180" s="34" t="str">
        <f t="shared" si="180"/>
        <v/>
      </c>
      <c r="AO180" s="34" t="str">
        <f t="shared" si="180"/>
        <v/>
      </c>
      <c r="AP180" s="34" t="str">
        <f t="shared" si="180"/>
        <v/>
      </c>
      <c r="AQ180" s="76" t="s">
        <v>214</v>
      </c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  <c r="BI180" s="77"/>
      <c r="BJ180" s="77"/>
      <c r="BK180" s="77"/>
      <c r="BL180" s="77"/>
      <c r="BM180" s="78"/>
    </row>
    <row r="181">
      <c r="A181" s="41" t="s">
        <v>69</v>
      </c>
      <c r="B181" s="41" t="b">
        <v>0</v>
      </c>
      <c r="C181" s="41" t="b">
        <f t="shared" si="3"/>
        <v>1</v>
      </c>
      <c r="D181" s="42" t="s">
        <v>773</v>
      </c>
      <c r="E181" s="43" t="s">
        <v>1760</v>
      </c>
      <c r="F181" s="44" t="s">
        <v>1043</v>
      </c>
      <c r="G181" s="29" t="s">
        <v>837</v>
      </c>
      <c r="H181" s="32">
        <v>-3.46331727240751</v>
      </c>
      <c r="I181" s="32">
        <v>2.0665414995213913</v>
      </c>
      <c r="J181" s="45" t="s">
        <v>1761</v>
      </c>
      <c r="K181" s="29">
        <v>31.1</v>
      </c>
      <c r="L181" s="41">
        <v>76.00073529411765</v>
      </c>
      <c r="M181" s="46">
        <v>28.0</v>
      </c>
      <c r="N181" s="46">
        <v>6.0</v>
      </c>
      <c r="O181" s="47">
        <v>-1.4644880446275463</v>
      </c>
      <c r="P181" s="47">
        <v>1.0455426401548165</v>
      </c>
      <c r="Q181" s="47">
        <v>1.365724118491483</v>
      </c>
      <c r="R181" s="47">
        <v>-1.2760726520732713</v>
      </c>
      <c r="S181" s="47">
        <v>0.24362638686702093</v>
      </c>
      <c r="T181" s="47">
        <v>-0.7560180609647483</v>
      </c>
      <c r="U181" s="47">
        <v>-0.31142574393480515</v>
      </c>
      <c r="V181" s="47">
        <v>0.0</v>
      </c>
      <c r="W181" s="47">
        <v>-2.4787708280934666</v>
      </c>
      <c r="X181" s="47">
        <v>0.1685649117730072</v>
      </c>
      <c r="Y181" s="50" t="s">
        <v>69</v>
      </c>
      <c r="Z181" s="50" t="s">
        <v>69</v>
      </c>
      <c r="AA181" s="50" t="s">
        <v>69</v>
      </c>
      <c r="AB181" s="50" t="s">
        <v>69</v>
      </c>
      <c r="AC181" s="34" t="str">
        <f t="shared" ref="AC181:AP181" si="181">LET(
  skater, IFERROR(INDEX(AllProj, MATCH($E181, AllProjNames, 0), MATCH(AC$2, AllProjCats, 0) + 1), ""),
  goalie, IFERROR(INDEX(AllGProj, MATCH($E181, AllGProjNames, 0), MATCH(AC$2, AllGProjCats, 0) + 1), ""),
  val, IF(skater &lt;&gt; "", skater, goalie),
  IF(OR($E181="", AC$2="", val=""), "", val * AC$1)
)</f>
        <v/>
      </c>
      <c r="AD181" s="34" t="str">
        <f t="shared" si="181"/>
        <v/>
      </c>
      <c r="AE181" s="34" t="str">
        <f t="shared" si="181"/>
        <v/>
      </c>
      <c r="AF181" s="34" t="str">
        <f t="shared" si="181"/>
        <v/>
      </c>
      <c r="AG181" s="34" t="str">
        <f t="shared" si="181"/>
        <v/>
      </c>
      <c r="AH181" s="34" t="str">
        <f t="shared" si="181"/>
        <v/>
      </c>
      <c r="AI181" s="34" t="str">
        <f t="shared" si="181"/>
        <v/>
      </c>
      <c r="AJ181" s="34" t="str">
        <f t="shared" si="181"/>
        <v/>
      </c>
      <c r="AK181" s="34" t="str">
        <f t="shared" si="181"/>
        <v/>
      </c>
      <c r="AL181" s="34" t="str">
        <f t="shared" si="181"/>
        <v/>
      </c>
      <c r="AM181" s="34" t="str">
        <f t="shared" si="181"/>
        <v/>
      </c>
      <c r="AN181" s="34" t="str">
        <f t="shared" si="181"/>
        <v/>
      </c>
      <c r="AO181" s="34" t="str">
        <f t="shared" si="181"/>
        <v/>
      </c>
      <c r="AP181" s="34" t="str">
        <f t="shared" si="181"/>
        <v/>
      </c>
      <c r="AQ181" s="76" t="s">
        <v>215</v>
      </c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7"/>
      <c r="BL181" s="77"/>
      <c r="BM181" s="78"/>
    </row>
    <row r="182">
      <c r="A182" s="79">
        <v>2.5</v>
      </c>
      <c r="B182" s="79" t="b">
        <v>0</v>
      </c>
      <c r="C182" s="79" t="b">
        <f t="shared" si="3"/>
        <v>0</v>
      </c>
      <c r="D182" s="80" t="s">
        <v>1565</v>
      </c>
      <c r="E182" s="81" t="s">
        <v>890</v>
      </c>
      <c r="F182" s="82" t="s">
        <v>1482</v>
      </c>
      <c r="G182" s="35" t="s">
        <v>829</v>
      </c>
      <c r="H182" s="37">
        <v>-3.5004215029639734</v>
      </c>
      <c r="I182" s="37">
        <v>1.9417161057638839</v>
      </c>
      <c r="J182" s="83" t="s">
        <v>1762</v>
      </c>
      <c r="K182" s="35">
        <v>24.1</v>
      </c>
      <c r="L182" s="79">
        <v>79.75161764705882</v>
      </c>
      <c r="M182" s="84">
        <v>27.0</v>
      </c>
      <c r="N182" s="84">
        <v>6.0</v>
      </c>
      <c r="O182" s="85">
        <v>-0.8439834717732808</v>
      </c>
      <c r="P182" s="85">
        <v>-0.9886985219337154</v>
      </c>
      <c r="Q182" s="85">
        <v>-0.2777322782401003</v>
      </c>
      <c r="R182" s="85">
        <v>1.3984180005271871</v>
      </c>
      <c r="S182" s="85">
        <v>-1.1938923058292545</v>
      </c>
      <c r="T182" s="85">
        <v>0.5629522301366725</v>
      </c>
      <c r="U182" s="85">
        <v>-0.9020874645498069</v>
      </c>
      <c r="V182" s="85">
        <v>0.12533070593749962</v>
      </c>
      <c r="W182" s="85">
        <v>-0.2540176243581634</v>
      </c>
      <c r="X182" s="85">
        <v>-1.1267107728810113</v>
      </c>
      <c r="Y182" s="50" t="s">
        <v>69</v>
      </c>
      <c r="Z182" s="50" t="s">
        <v>69</v>
      </c>
      <c r="AA182" s="50" t="s">
        <v>69</v>
      </c>
      <c r="AB182" s="50" t="s">
        <v>69</v>
      </c>
      <c r="AC182" s="34" t="str">
        <f t="shared" ref="AC182:AP182" si="182">LET(
  skater, IFERROR(INDEX(AllProj, MATCH($E182, AllProjNames, 0), MATCH(AC$2, AllProjCats, 0) + 1), ""),
  goalie, IFERROR(INDEX(AllGProj, MATCH($E182, AllGProjNames, 0), MATCH(AC$2, AllGProjCats, 0) + 1), ""),
  val, IF(skater &lt;&gt; "", skater, goalie),
  IF(OR($E182="", AC$2="", val=""), "", val * AC$1)
)</f>
        <v/>
      </c>
      <c r="AD182" s="34" t="str">
        <f t="shared" si="182"/>
        <v/>
      </c>
      <c r="AE182" s="34" t="str">
        <f t="shared" si="182"/>
        <v/>
      </c>
      <c r="AF182" s="34" t="str">
        <f t="shared" si="182"/>
        <v/>
      </c>
      <c r="AG182" s="34" t="str">
        <f t="shared" si="182"/>
        <v/>
      </c>
      <c r="AH182" s="34" t="str">
        <f t="shared" si="182"/>
        <v/>
      </c>
      <c r="AI182" s="34" t="str">
        <f t="shared" si="182"/>
        <v/>
      </c>
      <c r="AJ182" s="34" t="str">
        <f t="shared" si="182"/>
        <v/>
      </c>
      <c r="AK182" s="34" t="str">
        <f t="shared" si="182"/>
        <v/>
      </c>
      <c r="AL182" s="34" t="str">
        <f t="shared" si="182"/>
        <v/>
      </c>
      <c r="AM182" s="34" t="str">
        <f t="shared" si="182"/>
        <v/>
      </c>
      <c r="AN182" s="34" t="str">
        <f t="shared" si="182"/>
        <v/>
      </c>
      <c r="AO182" s="34" t="str">
        <f t="shared" si="182"/>
        <v/>
      </c>
      <c r="AP182" s="34" t="str">
        <f t="shared" si="182"/>
        <v/>
      </c>
      <c r="AQ182" s="76" t="s">
        <v>216</v>
      </c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8"/>
    </row>
    <row r="183">
      <c r="A183" s="41" t="s">
        <v>69</v>
      </c>
      <c r="B183" s="41" t="b">
        <v>0</v>
      </c>
      <c r="C183" s="41" t="b">
        <f t="shared" si="3"/>
        <v>1</v>
      </c>
      <c r="D183" s="42" t="s">
        <v>502</v>
      </c>
      <c r="E183" s="43" t="s">
        <v>1763</v>
      </c>
      <c r="F183" s="44" t="s">
        <v>1043</v>
      </c>
      <c r="G183" s="29" t="s">
        <v>837</v>
      </c>
      <c r="H183" s="32">
        <v>-3.500676281273397</v>
      </c>
      <c r="I183" s="32">
        <v>2.0291824906555043</v>
      </c>
      <c r="J183" s="45" t="s">
        <v>1764</v>
      </c>
      <c r="K183" s="29">
        <v>29.9</v>
      </c>
      <c r="L183" s="41">
        <v>82.52617647058823</v>
      </c>
      <c r="M183" s="46">
        <v>28.0</v>
      </c>
      <c r="N183" s="46">
        <v>6.0</v>
      </c>
      <c r="O183" s="47">
        <v>-1.2460276410808662</v>
      </c>
      <c r="P183" s="47">
        <v>-0.5730461189455729</v>
      </c>
      <c r="Q183" s="47">
        <v>-0.9427575200866514</v>
      </c>
      <c r="R183" s="47">
        <v>0.49954544489834374</v>
      </c>
      <c r="S183" s="47">
        <v>-0.816938300927542</v>
      </c>
      <c r="T183" s="47">
        <v>-0.30669664201892216</v>
      </c>
      <c r="U183" s="47">
        <v>-0.2113519318081739</v>
      </c>
      <c r="V183" s="47">
        <v>0.0</v>
      </c>
      <c r="W183" s="47">
        <v>-1.9099837312450034</v>
      </c>
      <c r="X183" s="47">
        <v>2.0065801599409907</v>
      </c>
      <c r="Y183" s="50" t="s">
        <v>69</v>
      </c>
      <c r="Z183" s="50" t="s">
        <v>69</v>
      </c>
      <c r="AA183" s="50" t="s">
        <v>69</v>
      </c>
      <c r="AB183" s="50" t="s">
        <v>69</v>
      </c>
      <c r="AC183" s="34" t="str">
        <f t="shared" ref="AC183:AP183" si="183">LET(
  skater, IFERROR(INDEX(AllProj, MATCH($E183, AllProjNames, 0), MATCH(AC$2, AllProjCats, 0) + 1), ""),
  goalie, IFERROR(INDEX(AllGProj, MATCH($E183, AllGProjNames, 0), MATCH(AC$2, AllGProjCats, 0) + 1), ""),
  val, IF(skater &lt;&gt; "", skater, goalie),
  IF(OR($E183="", AC$2="", val=""), "", val * AC$1)
)</f>
        <v/>
      </c>
      <c r="AD183" s="34" t="str">
        <f t="shared" si="183"/>
        <v/>
      </c>
      <c r="AE183" s="34" t="str">
        <f t="shared" si="183"/>
        <v/>
      </c>
      <c r="AF183" s="34" t="str">
        <f t="shared" si="183"/>
        <v/>
      </c>
      <c r="AG183" s="34" t="str">
        <f t="shared" si="183"/>
        <v/>
      </c>
      <c r="AH183" s="34" t="str">
        <f t="shared" si="183"/>
        <v/>
      </c>
      <c r="AI183" s="34" t="str">
        <f t="shared" si="183"/>
        <v/>
      </c>
      <c r="AJ183" s="34" t="str">
        <f t="shared" si="183"/>
        <v/>
      </c>
      <c r="AK183" s="34" t="str">
        <f t="shared" si="183"/>
        <v/>
      </c>
      <c r="AL183" s="34" t="str">
        <f t="shared" si="183"/>
        <v/>
      </c>
      <c r="AM183" s="34" t="str">
        <f t="shared" si="183"/>
        <v/>
      </c>
      <c r="AN183" s="34" t="str">
        <f t="shared" si="183"/>
        <v/>
      </c>
      <c r="AO183" s="34" t="str">
        <f t="shared" si="183"/>
        <v/>
      </c>
      <c r="AP183" s="34" t="str">
        <f t="shared" si="183"/>
        <v/>
      </c>
      <c r="AQ183" s="76" t="s">
        <v>217</v>
      </c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  <c r="BF183" s="77"/>
      <c r="BG183" s="77"/>
      <c r="BH183" s="77"/>
      <c r="BI183" s="77"/>
      <c r="BJ183" s="77"/>
      <c r="BK183" s="77"/>
      <c r="BL183" s="77"/>
      <c r="BM183" s="78"/>
    </row>
    <row r="184">
      <c r="A184" s="79" t="s">
        <v>69</v>
      </c>
      <c r="B184" s="79" t="b">
        <v>0</v>
      </c>
      <c r="C184" s="79" t="b">
        <f t="shared" si="3"/>
        <v>1</v>
      </c>
      <c r="D184" s="80" t="s">
        <v>22</v>
      </c>
      <c r="E184" s="81" t="s">
        <v>1765</v>
      </c>
      <c r="F184" s="82" t="s">
        <v>1482</v>
      </c>
      <c r="G184" s="35" t="s">
        <v>837</v>
      </c>
      <c r="H184" s="37">
        <v>-3.5007141826516586</v>
      </c>
      <c r="I184" s="37">
        <v>2.0291445892772426</v>
      </c>
      <c r="J184" s="83" t="s">
        <v>1766</v>
      </c>
      <c r="K184" s="35">
        <v>29.6</v>
      </c>
      <c r="L184" s="79">
        <v>76.1560294117647</v>
      </c>
      <c r="M184" s="84">
        <v>27.0</v>
      </c>
      <c r="N184" s="84">
        <v>6.0</v>
      </c>
      <c r="O184" s="85">
        <v>-1.4357152092533227</v>
      </c>
      <c r="P184" s="85">
        <v>-0.1194740606159015</v>
      </c>
      <c r="Q184" s="85">
        <v>0.352154282952075</v>
      </c>
      <c r="R184" s="85">
        <v>-1.0599093544464182</v>
      </c>
      <c r="S184" s="85">
        <v>-0.5764725124422589</v>
      </c>
      <c r="T184" s="85">
        <v>-0.16274566990351066</v>
      </c>
      <c r="U184" s="85">
        <v>-0.4011498235192201</v>
      </c>
      <c r="V184" s="85">
        <v>0.0</v>
      </c>
      <c r="W184" s="85">
        <v>-1.5408870394925969</v>
      </c>
      <c r="X184" s="85">
        <v>1.4434852040694954</v>
      </c>
      <c r="Y184" s="50" t="s">
        <v>69</v>
      </c>
      <c r="Z184" s="50" t="s">
        <v>69</v>
      </c>
      <c r="AA184" s="50" t="s">
        <v>69</v>
      </c>
      <c r="AB184" s="50" t="s">
        <v>69</v>
      </c>
      <c r="AC184" s="34" t="str">
        <f t="shared" ref="AC184:AP184" si="184">LET(
  skater, IFERROR(INDEX(AllProj, MATCH($E184, AllProjNames, 0), MATCH(AC$2, AllProjCats, 0) + 1), ""),
  goalie, IFERROR(INDEX(AllGProj, MATCH($E184, AllGProjNames, 0), MATCH(AC$2, AllGProjCats, 0) + 1), ""),
  val, IF(skater &lt;&gt; "", skater, goalie),
  IF(OR($E184="", AC$2="", val=""), "", val * AC$1)
)</f>
        <v/>
      </c>
      <c r="AD184" s="34" t="str">
        <f t="shared" si="184"/>
        <v/>
      </c>
      <c r="AE184" s="34" t="str">
        <f t="shared" si="184"/>
        <v/>
      </c>
      <c r="AF184" s="34" t="str">
        <f t="shared" si="184"/>
        <v/>
      </c>
      <c r="AG184" s="34" t="str">
        <f t="shared" si="184"/>
        <v/>
      </c>
      <c r="AH184" s="34" t="str">
        <f t="shared" si="184"/>
        <v/>
      </c>
      <c r="AI184" s="34" t="str">
        <f t="shared" si="184"/>
        <v/>
      </c>
      <c r="AJ184" s="34" t="str">
        <f t="shared" si="184"/>
        <v/>
      </c>
      <c r="AK184" s="34" t="str">
        <f t="shared" si="184"/>
        <v/>
      </c>
      <c r="AL184" s="34" t="str">
        <f t="shared" si="184"/>
        <v/>
      </c>
      <c r="AM184" s="34" t="str">
        <f t="shared" si="184"/>
        <v/>
      </c>
      <c r="AN184" s="34" t="str">
        <f t="shared" si="184"/>
        <v/>
      </c>
      <c r="AO184" s="34" t="str">
        <f t="shared" si="184"/>
        <v/>
      </c>
      <c r="AP184" s="34" t="str">
        <f t="shared" si="184"/>
        <v/>
      </c>
      <c r="AQ184" s="76" t="s">
        <v>218</v>
      </c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  <c r="BF184" s="77"/>
      <c r="BG184" s="77"/>
      <c r="BH184" s="77"/>
      <c r="BI184" s="77"/>
      <c r="BJ184" s="77"/>
      <c r="BK184" s="77"/>
      <c r="BL184" s="77"/>
      <c r="BM184" s="78"/>
    </row>
    <row r="185">
      <c r="A185" s="41">
        <v>2.5</v>
      </c>
      <c r="B185" s="41" t="b">
        <v>0</v>
      </c>
      <c r="C185" s="41" t="b">
        <f t="shared" si="3"/>
        <v>0</v>
      </c>
      <c r="D185" s="42" t="s">
        <v>1565</v>
      </c>
      <c r="E185" s="43" t="s">
        <v>884</v>
      </c>
      <c r="F185" s="44" t="s">
        <v>1043</v>
      </c>
      <c r="G185" s="29" t="s">
        <v>837</v>
      </c>
      <c r="H185" s="32">
        <v>-3.507716567400954</v>
      </c>
      <c r="I185" s="32">
        <v>2.022142204527947</v>
      </c>
      <c r="J185" s="45" t="s">
        <v>1767</v>
      </c>
      <c r="K185" s="29">
        <v>35.7</v>
      </c>
      <c r="L185" s="41">
        <v>79.42857142857143</v>
      </c>
      <c r="M185" s="46">
        <v>28.0</v>
      </c>
      <c r="N185" s="46">
        <v>6.0</v>
      </c>
      <c r="O185" s="47">
        <v>-2.019233621567247</v>
      </c>
      <c r="P185" s="47">
        <v>-1.6264468247862114</v>
      </c>
      <c r="Q185" s="47">
        <v>2.0402491274797296</v>
      </c>
      <c r="R185" s="47">
        <v>-0.8639764367268442</v>
      </c>
      <c r="S185" s="47">
        <v>-1.72461069241107</v>
      </c>
      <c r="T185" s="47">
        <v>-0.16952108464970286</v>
      </c>
      <c r="U185" s="47">
        <v>-1.6765058816725773</v>
      </c>
      <c r="V185" s="47">
        <v>0.0</v>
      </c>
      <c r="W185" s="47">
        <v>0.011697432487920545</v>
      </c>
      <c r="X185" s="47">
        <v>2.520631414445048</v>
      </c>
      <c r="Y185" s="50" t="s">
        <v>69</v>
      </c>
      <c r="Z185" s="50" t="s">
        <v>69</v>
      </c>
      <c r="AA185" s="50" t="s">
        <v>69</v>
      </c>
      <c r="AB185" s="50" t="s">
        <v>69</v>
      </c>
      <c r="AC185" s="34" t="str">
        <f t="shared" ref="AC185:AP185" si="185">LET(
  skater, IFERROR(INDEX(AllProj, MATCH($E185, AllProjNames, 0), MATCH(AC$2, AllProjCats, 0) + 1), ""),
  goalie, IFERROR(INDEX(AllGProj, MATCH($E185, AllGProjNames, 0), MATCH(AC$2, AllGProjCats, 0) + 1), ""),
  val, IF(skater &lt;&gt; "", skater, goalie),
  IF(OR($E185="", AC$2="", val=""), "", val * AC$1)
)</f>
        <v/>
      </c>
      <c r="AD185" s="34" t="str">
        <f t="shared" si="185"/>
        <v/>
      </c>
      <c r="AE185" s="34" t="str">
        <f t="shared" si="185"/>
        <v/>
      </c>
      <c r="AF185" s="34" t="str">
        <f t="shared" si="185"/>
        <v/>
      </c>
      <c r="AG185" s="34" t="str">
        <f t="shared" si="185"/>
        <v/>
      </c>
      <c r="AH185" s="34" t="str">
        <f t="shared" si="185"/>
        <v/>
      </c>
      <c r="AI185" s="34" t="str">
        <f t="shared" si="185"/>
        <v/>
      </c>
      <c r="AJ185" s="34" t="str">
        <f t="shared" si="185"/>
        <v/>
      </c>
      <c r="AK185" s="34" t="str">
        <f t="shared" si="185"/>
        <v/>
      </c>
      <c r="AL185" s="34" t="str">
        <f t="shared" si="185"/>
        <v/>
      </c>
      <c r="AM185" s="34" t="str">
        <f t="shared" si="185"/>
        <v/>
      </c>
      <c r="AN185" s="34" t="str">
        <f t="shared" si="185"/>
        <v/>
      </c>
      <c r="AO185" s="34" t="str">
        <f t="shared" si="185"/>
        <v/>
      </c>
      <c r="AP185" s="34" t="str">
        <f t="shared" si="185"/>
        <v/>
      </c>
      <c r="AQ185" s="76" t="s">
        <v>219</v>
      </c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  <c r="BF185" s="77"/>
      <c r="BG185" s="77"/>
      <c r="BH185" s="77"/>
      <c r="BI185" s="77"/>
      <c r="BJ185" s="77"/>
      <c r="BK185" s="77"/>
      <c r="BL185" s="77"/>
      <c r="BM185" s="78"/>
    </row>
    <row r="186">
      <c r="A186" s="79" t="s">
        <v>69</v>
      </c>
      <c r="B186" s="79" t="b">
        <v>0</v>
      </c>
      <c r="C186" s="79" t="b">
        <f t="shared" si="3"/>
        <v>1</v>
      </c>
      <c r="D186" s="80" t="s">
        <v>22</v>
      </c>
      <c r="E186" s="81" t="s">
        <v>1768</v>
      </c>
      <c r="F186" s="82" t="s">
        <v>1411</v>
      </c>
      <c r="G186" s="35" t="s">
        <v>836</v>
      </c>
      <c r="H186" s="37">
        <v>-3.550955849178729</v>
      </c>
      <c r="I186" s="37">
        <v>1.891181759549128</v>
      </c>
      <c r="J186" s="83" t="s">
        <v>1769</v>
      </c>
      <c r="K186" s="35">
        <v>25.7</v>
      </c>
      <c r="L186" s="79">
        <v>80.42470588235294</v>
      </c>
      <c r="M186" s="84">
        <v>33.0</v>
      </c>
      <c r="N186" s="84">
        <v>8.0</v>
      </c>
      <c r="O186" s="85">
        <v>0.5674038043424792</v>
      </c>
      <c r="P186" s="85">
        <v>-0.20926340364250623</v>
      </c>
      <c r="Q186" s="85">
        <v>1.6671861327498787</v>
      </c>
      <c r="R186" s="85">
        <v>-1.6311983825275274</v>
      </c>
      <c r="S186" s="85">
        <v>-1.5052834628097624</v>
      </c>
      <c r="T186" s="85">
        <v>1.0729106815515934</v>
      </c>
      <c r="U186" s="85">
        <v>-0.13041555384413764</v>
      </c>
      <c r="V186" s="85">
        <v>0.0</v>
      </c>
      <c r="W186" s="85">
        <v>-1.9680285719165638</v>
      </c>
      <c r="X186" s="85">
        <v>-1.414267093082183</v>
      </c>
      <c r="Y186" s="50" t="s">
        <v>69</v>
      </c>
      <c r="Z186" s="50" t="s">
        <v>69</v>
      </c>
      <c r="AA186" s="50" t="s">
        <v>69</v>
      </c>
      <c r="AB186" s="50" t="s">
        <v>69</v>
      </c>
      <c r="AC186" s="34" t="str">
        <f t="shared" ref="AC186:AP186" si="186">LET(
  skater, IFERROR(INDEX(AllProj, MATCH($E186, AllProjNames, 0), MATCH(AC$2, AllProjCats, 0) + 1), ""),
  goalie, IFERROR(INDEX(AllGProj, MATCH($E186, AllGProjNames, 0), MATCH(AC$2, AllGProjCats, 0) + 1), ""),
  val, IF(skater &lt;&gt; "", skater, goalie),
  IF(OR($E186="", AC$2="", val=""), "", val * AC$1)
)</f>
        <v/>
      </c>
      <c r="AD186" s="34" t="str">
        <f t="shared" si="186"/>
        <v/>
      </c>
      <c r="AE186" s="34" t="str">
        <f t="shared" si="186"/>
        <v/>
      </c>
      <c r="AF186" s="34" t="str">
        <f t="shared" si="186"/>
        <v/>
      </c>
      <c r="AG186" s="34" t="str">
        <f t="shared" si="186"/>
        <v/>
      </c>
      <c r="AH186" s="34" t="str">
        <f t="shared" si="186"/>
        <v/>
      </c>
      <c r="AI186" s="34" t="str">
        <f t="shared" si="186"/>
        <v/>
      </c>
      <c r="AJ186" s="34" t="str">
        <f t="shared" si="186"/>
        <v/>
      </c>
      <c r="AK186" s="34" t="str">
        <f t="shared" si="186"/>
        <v/>
      </c>
      <c r="AL186" s="34" t="str">
        <f t="shared" si="186"/>
        <v/>
      </c>
      <c r="AM186" s="34" t="str">
        <f t="shared" si="186"/>
        <v/>
      </c>
      <c r="AN186" s="34" t="str">
        <f t="shared" si="186"/>
        <v/>
      </c>
      <c r="AO186" s="34" t="str">
        <f t="shared" si="186"/>
        <v/>
      </c>
      <c r="AP186" s="34" t="str">
        <f t="shared" si="186"/>
        <v/>
      </c>
      <c r="AQ186" s="76" t="s">
        <v>220</v>
      </c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  <c r="BI186" s="77"/>
      <c r="BJ186" s="77"/>
      <c r="BK186" s="77"/>
      <c r="BL186" s="77"/>
      <c r="BM186" s="78"/>
    </row>
    <row r="187">
      <c r="A187" s="41" t="s">
        <v>69</v>
      </c>
      <c r="B187" s="41" t="b">
        <v>0</v>
      </c>
      <c r="C187" s="41" t="b">
        <f t="shared" si="3"/>
        <v>1</v>
      </c>
      <c r="D187" s="42" t="s">
        <v>502</v>
      </c>
      <c r="E187" s="43" t="s">
        <v>1770</v>
      </c>
      <c r="F187" s="44" t="s">
        <v>1401</v>
      </c>
      <c r="G187" s="29" t="s">
        <v>837</v>
      </c>
      <c r="H187" s="32">
        <v>-3.569970432771111</v>
      </c>
      <c r="I187" s="32">
        <v>1.9598883391577901</v>
      </c>
      <c r="J187" s="45" t="s">
        <v>1771</v>
      </c>
      <c r="K187" s="29">
        <v>32.9</v>
      </c>
      <c r="L187" s="41">
        <v>78.0</v>
      </c>
      <c r="M187" s="46">
        <v>25.0</v>
      </c>
      <c r="N187" s="46">
        <v>7.0</v>
      </c>
      <c r="O187" s="47">
        <v>-2.07432744210279</v>
      </c>
      <c r="P187" s="47">
        <v>-0.8803871612797378</v>
      </c>
      <c r="Q187" s="47">
        <v>0.508658693946739</v>
      </c>
      <c r="R187" s="47">
        <v>0.6245744283606969</v>
      </c>
      <c r="S187" s="47">
        <v>-1.6872727362324154</v>
      </c>
      <c r="T187" s="47">
        <v>-0.16952108464970286</v>
      </c>
      <c r="U187" s="47">
        <v>-2.0711582794355325</v>
      </c>
      <c r="V187" s="47">
        <v>0.0</v>
      </c>
      <c r="W187" s="47">
        <v>-0.10530069985532049</v>
      </c>
      <c r="X187" s="47">
        <v>2.2847638484769526</v>
      </c>
      <c r="Y187" s="50" t="s">
        <v>69</v>
      </c>
      <c r="Z187" s="50" t="s">
        <v>69</v>
      </c>
      <c r="AA187" s="50" t="s">
        <v>69</v>
      </c>
      <c r="AB187" s="50" t="s">
        <v>69</v>
      </c>
      <c r="AC187" s="34" t="str">
        <f t="shared" ref="AC187:AP187" si="187">LET(
  skater, IFERROR(INDEX(AllProj, MATCH($E187, AllProjNames, 0), MATCH(AC$2, AllProjCats, 0) + 1), ""),
  goalie, IFERROR(INDEX(AllGProj, MATCH($E187, AllGProjNames, 0), MATCH(AC$2, AllGProjCats, 0) + 1), ""),
  val, IF(skater &lt;&gt; "", skater, goalie),
  IF(OR($E187="", AC$2="", val=""), "", val * AC$1)
)</f>
        <v/>
      </c>
      <c r="AD187" s="34" t="str">
        <f t="shared" si="187"/>
        <v/>
      </c>
      <c r="AE187" s="34" t="str">
        <f t="shared" si="187"/>
        <v/>
      </c>
      <c r="AF187" s="34" t="str">
        <f t="shared" si="187"/>
        <v/>
      </c>
      <c r="AG187" s="34" t="str">
        <f t="shared" si="187"/>
        <v/>
      </c>
      <c r="AH187" s="34" t="str">
        <f t="shared" si="187"/>
        <v/>
      </c>
      <c r="AI187" s="34" t="str">
        <f t="shared" si="187"/>
        <v/>
      </c>
      <c r="AJ187" s="34" t="str">
        <f t="shared" si="187"/>
        <v/>
      </c>
      <c r="AK187" s="34" t="str">
        <f t="shared" si="187"/>
        <v/>
      </c>
      <c r="AL187" s="34" t="str">
        <f t="shared" si="187"/>
        <v/>
      </c>
      <c r="AM187" s="34" t="str">
        <f t="shared" si="187"/>
        <v/>
      </c>
      <c r="AN187" s="34" t="str">
        <f t="shared" si="187"/>
        <v/>
      </c>
      <c r="AO187" s="34" t="str">
        <f t="shared" si="187"/>
        <v/>
      </c>
      <c r="AP187" s="34" t="str">
        <f t="shared" si="187"/>
        <v/>
      </c>
      <c r="AQ187" s="76" t="s">
        <v>221</v>
      </c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  <c r="BF187" s="77"/>
      <c r="BG187" s="77"/>
      <c r="BH187" s="77"/>
      <c r="BI187" s="77"/>
      <c r="BJ187" s="77"/>
      <c r="BK187" s="77"/>
      <c r="BL187" s="77"/>
      <c r="BM187" s="78"/>
    </row>
    <row r="188">
      <c r="A188" s="79" t="s">
        <v>69</v>
      </c>
      <c r="B188" s="79" t="b">
        <v>0</v>
      </c>
      <c r="C188" s="79" t="b">
        <f t="shared" si="3"/>
        <v>1</v>
      </c>
      <c r="D188" s="80" t="s">
        <v>824</v>
      </c>
      <c r="E188" s="97" t="s">
        <v>1772</v>
      </c>
      <c r="F188" s="82" t="s">
        <v>1451</v>
      </c>
      <c r="G188" s="35" t="s">
        <v>837</v>
      </c>
      <c r="H188" s="37">
        <v>-3.614806564326021</v>
      </c>
      <c r="I188" s="37">
        <v>1.91505220760288</v>
      </c>
      <c r="J188" s="83" t="s">
        <v>1773</v>
      </c>
      <c r="K188" s="35">
        <v>23.6</v>
      </c>
      <c r="L188" s="79">
        <v>79.44205882352941</v>
      </c>
      <c r="M188" s="84">
        <v>29.0</v>
      </c>
      <c r="N188" s="84">
        <v>7.0</v>
      </c>
      <c r="O188" s="85">
        <v>-1.603753573727078</v>
      </c>
      <c r="P188" s="85">
        <v>-0.9485883051664484</v>
      </c>
      <c r="Q188" s="85">
        <v>-0.24818201735563344</v>
      </c>
      <c r="R188" s="85">
        <v>1.31303965294799</v>
      </c>
      <c r="S188" s="85">
        <v>-1.6593102247081335</v>
      </c>
      <c r="T188" s="85">
        <v>-0.12073439785450234</v>
      </c>
      <c r="U188" s="85">
        <v>-1.6014295451906817</v>
      </c>
      <c r="V188" s="85">
        <v>0.0</v>
      </c>
      <c r="W188" s="85">
        <v>-0.6514516990956106</v>
      </c>
      <c r="X188" s="85">
        <v>1.9056035458240768</v>
      </c>
      <c r="Y188" s="50" t="s">
        <v>69</v>
      </c>
      <c r="Z188" s="50" t="s">
        <v>69</v>
      </c>
      <c r="AA188" s="50" t="s">
        <v>69</v>
      </c>
      <c r="AB188" s="50" t="s">
        <v>69</v>
      </c>
      <c r="AC188" s="34" t="str">
        <f t="shared" ref="AC188:AP188" si="188">LET(
  skater, IFERROR(INDEX(AllProj, MATCH($E188, AllProjNames, 0), MATCH(AC$2, AllProjCats, 0) + 1), ""),
  goalie, IFERROR(INDEX(AllGProj, MATCH($E188, AllGProjNames, 0), MATCH(AC$2, AllGProjCats, 0) + 1), ""),
  val, IF(skater &lt;&gt; "", skater, goalie),
  IF(OR($E188="", AC$2="", val=""), "", val * AC$1)
)</f>
        <v/>
      </c>
      <c r="AD188" s="34" t="str">
        <f t="shared" si="188"/>
        <v/>
      </c>
      <c r="AE188" s="34" t="str">
        <f t="shared" si="188"/>
        <v/>
      </c>
      <c r="AF188" s="34" t="str">
        <f t="shared" si="188"/>
        <v/>
      </c>
      <c r="AG188" s="34" t="str">
        <f t="shared" si="188"/>
        <v/>
      </c>
      <c r="AH188" s="34" t="str">
        <f t="shared" si="188"/>
        <v/>
      </c>
      <c r="AI188" s="34" t="str">
        <f t="shared" si="188"/>
        <v/>
      </c>
      <c r="AJ188" s="34" t="str">
        <f t="shared" si="188"/>
        <v/>
      </c>
      <c r="AK188" s="34" t="str">
        <f t="shared" si="188"/>
        <v/>
      </c>
      <c r="AL188" s="34" t="str">
        <f t="shared" si="188"/>
        <v/>
      </c>
      <c r="AM188" s="34" t="str">
        <f t="shared" si="188"/>
        <v/>
      </c>
      <c r="AN188" s="34" t="str">
        <f t="shared" si="188"/>
        <v/>
      </c>
      <c r="AO188" s="34" t="str">
        <f t="shared" si="188"/>
        <v/>
      </c>
      <c r="AP188" s="34" t="str">
        <f t="shared" si="188"/>
        <v/>
      </c>
      <c r="AQ188" s="76" t="s">
        <v>222</v>
      </c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  <c r="BF188" s="77"/>
      <c r="BG188" s="77"/>
      <c r="BH188" s="77"/>
      <c r="BI188" s="77"/>
      <c r="BJ188" s="77"/>
      <c r="BK188" s="77"/>
      <c r="BL188" s="77"/>
      <c r="BM188" s="78"/>
    </row>
    <row r="189">
      <c r="A189" s="41" t="s">
        <v>69</v>
      </c>
      <c r="B189" s="41" t="b">
        <v>0</v>
      </c>
      <c r="C189" s="41" t="b">
        <f t="shared" si="3"/>
        <v>1</v>
      </c>
      <c r="D189" s="42" t="s">
        <v>825</v>
      </c>
      <c r="E189" s="43" t="s">
        <v>1774</v>
      </c>
      <c r="F189" s="44" t="s">
        <v>849</v>
      </c>
      <c r="G189" s="29" t="s">
        <v>830</v>
      </c>
      <c r="H189" s="32">
        <v>-3.6205683179574475</v>
      </c>
      <c r="I189" s="32">
        <v>1.7673118069552913</v>
      </c>
      <c r="J189" s="45" t="s">
        <v>1775</v>
      </c>
      <c r="K189" s="29">
        <v>33.4</v>
      </c>
      <c r="L189" s="41">
        <v>80.38323529411764</v>
      </c>
      <c r="M189" s="46">
        <v>29.0</v>
      </c>
      <c r="N189" s="46">
        <v>6.0</v>
      </c>
      <c r="O189" s="47">
        <v>-0.18400436059503736</v>
      </c>
      <c r="P189" s="47">
        <v>0.5578815338086293</v>
      </c>
      <c r="Q189" s="47">
        <v>-0.2789536866656227</v>
      </c>
      <c r="R189" s="47">
        <v>-1.274334267214812</v>
      </c>
      <c r="S189" s="47">
        <v>1.5002871401921543</v>
      </c>
      <c r="T189" s="47">
        <v>-0.09039063704168984</v>
      </c>
      <c r="U189" s="47">
        <v>-0.2722212766634495</v>
      </c>
      <c r="V189" s="47">
        <v>0.0</v>
      </c>
      <c r="W189" s="47">
        <v>-2.0081062499691478</v>
      </c>
      <c r="X189" s="47">
        <v>-1.570726513808472</v>
      </c>
      <c r="Y189" s="50" t="s">
        <v>69</v>
      </c>
      <c r="Z189" s="50" t="s">
        <v>69</v>
      </c>
      <c r="AA189" s="50" t="s">
        <v>69</v>
      </c>
      <c r="AB189" s="50" t="s">
        <v>69</v>
      </c>
      <c r="AC189" s="34" t="str">
        <f t="shared" ref="AC189:AP189" si="189">LET(
  skater, IFERROR(INDEX(AllProj, MATCH($E189, AllProjNames, 0), MATCH(AC$2, AllProjCats, 0) + 1), ""),
  goalie, IFERROR(INDEX(AllGProj, MATCH($E189, AllGProjNames, 0), MATCH(AC$2, AllGProjCats, 0) + 1), ""),
  val, IF(skater &lt;&gt; "", skater, goalie),
  IF(OR($E189="", AC$2="", val=""), "", val * AC$1)
)</f>
        <v/>
      </c>
      <c r="AD189" s="34" t="str">
        <f t="shared" si="189"/>
        <v/>
      </c>
      <c r="AE189" s="34" t="str">
        <f t="shared" si="189"/>
        <v/>
      </c>
      <c r="AF189" s="34" t="str">
        <f t="shared" si="189"/>
        <v/>
      </c>
      <c r="AG189" s="34" t="str">
        <f t="shared" si="189"/>
        <v/>
      </c>
      <c r="AH189" s="34" t="str">
        <f t="shared" si="189"/>
        <v/>
      </c>
      <c r="AI189" s="34" t="str">
        <f t="shared" si="189"/>
        <v/>
      </c>
      <c r="AJ189" s="34" t="str">
        <f t="shared" si="189"/>
        <v/>
      </c>
      <c r="AK189" s="34" t="str">
        <f t="shared" si="189"/>
        <v/>
      </c>
      <c r="AL189" s="34" t="str">
        <f t="shared" si="189"/>
        <v/>
      </c>
      <c r="AM189" s="34" t="str">
        <f t="shared" si="189"/>
        <v/>
      </c>
      <c r="AN189" s="34" t="str">
        <f t="shared" si="189"/>
        <v/>
      </c>
      <c r="AO189" s="34" t="str">
        <f t="shared" si="189"/>
        <v/>
      </c>
      <c r="AP189" s="34" t="str">
        <f t="shared" si="189"/>
        <v/>
      </c>
      <c r="AQ189" s="76" t="s">
        <v>223</v>
      </c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  <c r="BF189" s="77"/>
      <c r="BG189" s="77"/>
      <c r="BH189" s="77"/>
      <c r="BI189" s="77"/>
      <c r="BJ189" s="77"/>
      <c r="BK189" s="77"/>
      <c r="BL189" s="77"/>
      <c r="BM189" s="78"/>
    </row>
    <row r="190">
      <c r="A190" s="79" t="s">
        <v>69</v>
      </c>
      <c r="B190" s="79" t="b">
        <v>0</v>
      </c>
      <c r="C190" s="79" t="b">
        <f t="shared" si="3"/>
        <v>1</v>
      </c>
      <c r="D190" s="80" t="s">
        <v>824</v>
      </c>
      <c r="E190" s="81" t="s">
        <v>1776</v>
      </c>
      <c r="F190" s="82" t="s">
        <v>1299</v>
      </c>
      <c r="G190" s="35" t="s">
        <v>835</v>
      </c>
      <c r="H190" s="37">
        <v>-3.632803373175923</v>
      </c>
      <c r="I190" s="37">
        <v>1.7550767517368158</v>
      </c>
      <c r="J190" s="83" t="s">
        <v>1777</v>
      </c>
      <c r="K190" s="35">
        <v>31.2</v>
      </c>
      <c r="L190" s="79">
        <v>76.1814705882353</v>
      </c>
      <c r="M190" s="84">
        <v>31.0</v>
      </c>
      <c r="N190" s="84">
        <v>7.0</v>
      </c>
      <c r="O190" s="85">
        <v>0.07217330864635686</v>
      </c>
      <c r="P190" s="85">
        <v>-0.2925338501517865</v>
      </c>
      <c r="Q190" s="85">
        <v>0.38859712662592566</v>
      </c>
      <c r="R190" s="85">
        <v>0.5880273825243576</v>
      </c>
      <c r="S190" s="85">
        <v>-0.5536222248960517</v>
      </c>
      <c r="T190" s="85">
        <v>-0.7741010670206031</v>
      </c>
      <c r="U190" s="85">
        <v>-0.5714827466230239</v>
      </c>
      <c r="V190" s="85">
        <v>0.0</v>
      </c>
      <c r="W190" s="85">
        <v>-0.7218960560487616</v>
      </c>
      <c r="X190" s="85">
        <v>-1.7679652462323359</v>
      </c>
      <c r="Y190" s="50" t="s">
        <v>69</v>
      </c>
      <c r="Z190" s="50" t="s">
        <v>69</v>
      </c>
      <c r="AA190" s="50" t="s">
        <v>69</v>
      </c>
      <c r="AB190" s="50" t="s">
        <v>69</v>
      </c>
      <c r="AC190" s="34" t="str">
        <f t="shared" ref="AC190:AP190" si="190">LET(
  skater, IFERROR(INDEX(AllProj, MATCH($E190, AllProjNames, 0), MATCH(AC$2, AllProjCats, 0) + 1), ""),
  goalie, IFERROR(INDEX(AllGProj, MATCH($E190, AllGProjNames, 0), MATCH(AC$2, AllGProjCats, 0) + 1), ""),
  val, IF(skater &lt;&gt; "", skater, goalie),
  IF(OR($E190="", AC$2="", val=""), "", val * AC$1)
)</f>
        <v/>
      </c>
      <c r="AD190" s="34" t="str">
        <f t="shared" si="190"/>
        <v/>
      </c>
      <c r="AE190" s="34" t="str">
        <f t="shared" si="190"/>
        <v/>
      </c>
      <c r="AF190" s="34" t="str">
        <f t="shared" si="190"/>
        <v/>
      </c>
      <c r="AG190" s="34" t="str">
        <f t="shared" si="190"/>
        <v/>
      </c>
      <c r="AH190" s="34" t="str">
        <f t="shared" si="190"/>
        <v/>
      </c>
      <c r="AI190" s="34" t="str">
        <f t="shared" si="190"/>
        <v/>
      </c>
      <c r="AJ190" s="34" t="str">
        <f t="shared" si="190"/>
        <v/>
      </c>
      <c r="AK190" s="34" t="str">
        <f t="shared" si="190"/>
        <v/>
      </c>
      <c r="AL190" s="34" t="str">
        <f t="shared" si="190"/>
        <v/>
      </c>
      <c r="AM190" s="34" t="str">
        <f t="shared" si="190"/>
        <v/>
      </c>
      <c r="AN190" s="34" t="str">
        <f t="shared" si="190"/>
        <v/>
      </c>
      <c r="AO190" s="34" t="str">
        <f t="shared" si="190"/>
        <v/>
      </c>
      <c r="AP190" s="34" t="str">
        <f t="shared" si="190"/>
        <v/>
      </c>
      <c r="AQ190" s="76" t="s">
        <v>224</v>
      </c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  <c r="BF190" s="77"/>
      <c r="BG190" s="77"/>
      <c r="BH190" s="77"/>
      <c r="BI190" s="77"/>
      <c r="BJ190" s="77"/>
      <c r="BK190" s="77"/>
      <c r="BL190" s="77"/>
      <c r="BM190" s="78"/>
    </row>
    <row r="191">
      <c r="A191" s="41">
        <v>2.642857142857143</v>
      </c>
      <c r="B191" s="41" t="b">
        <v>0</v>
      </c>
      <c r="C191" s="41" t="b">
        <f t="shared" si="3"/>
        <v>0</v>
      </c>
      <c r="D191" s="42" t="s">
        <v>1565</v>
      </c>
      <c r="E191" s="43" t="s">
        <v>1098</v>
      </c>
      <c r="F191" s="44" t="s">
        <v>930</v>
      </c>
      <c r="G191" s="29" t="s">
        <v>837</v>
      </c>
      <c r="H191" s="32">
        <v>-3.6747852514157957</v>
      </c>
      <c r="I191" s="32">
        <v>1.8550735205131055</v>
      </c>
      <c r="J191" s="45" t="s">
        <v>1778</v>
      </c>
      <c r="K191" s="29">
        <v>36.3</v>
      </c>
      <c r="L191" s="41">
        <v>71.5</v>
      </c>
      <c r="M191" s="46">
        <v>29.0</v>
      </c>
      <c r="N191" s="46">
        <v>7.0</v>
      </c>
      <c r="O191" s="47">
        <v>-2.272186119330438</v>
      </c>
      <c r="P191" s="47">
        <v>-1.6612461871679596</v>
      </c>
      <c r="Q191" s="47">
        <v>-0.40756307842240663</v>
      </c>
      <c r="R191" s="47">
        <v>2.0296385504182686</v>
      </c>
      <c r="S191" s="47">
        <v>-1.72461069241107</v>
      </c>
      <c r="T191" s="47">
        <v>-0.7871777123417198</v>
      </c>
      <c r="U191" s="47">
        <v>-1.9947909045478465</v>
      </c>
      <c r="V191" s="47">
        <v>0.0</v>
      </c>
      <c r="W191" s="47">
        <v>2.163682429522864</v>
      </c>
      <c r="X191" s="47">
        <v>0.9794684628645121</v>
      </c>
      <c r="Y191" s="50" t="s">
        <v>69</v>
      </c>
      <c r="Z191" s="50" t="s">
        <v>69</v>
      </c>
      <c r="AA191" s="50" t="s">
        <v>69</v>
      </c>
      <c r="AB191" s="50" t="s">
        <v>69</v>
      </c>
      <c r="AC191" s="34" t="str">
        <f t="shared" ref="AC191:AP191" si="191">LET(
  skater, IFERROR(INDEX(AllProj, MATCH($E191, AllProjNames, 0), MATCH(AC$2, AllProjCats, 0) + 1), ""),
  goalie, IFERROR(INDEX(AllGProj, MATCH($E191, AllGProjNames, 0), MATCH(AC$2, AllGProjCats, 0) + 1), ""),
  val, IF(skater &lt;&gt; "", skater, goalie),
  IF(OR($E191="", AC$2="", val=""), "", val * AC$1)
)</f>
        <v/>
      </c>
      <c r="AD191" s="34" t="str">
        <f t="shared" si="191"/>
        <v/>
      </c>
      <c r="AE191" s="34" t="str">
        <f t="shared" si="191"/>
        <v/>
      </c>
      <c r="AF191" s="34" t="str">
        <f t="shared" si="191"/>
        <v/>
      </c>
      <c r="AG191" s="34" t="str">
        <f t="shared" si="191"/>
        <v/>
      </c>
      <c r="AH191" s="34" t="str">
        <f t="shared" si="191"/>
        <v/>
      </c>
      <c r="AI191" s="34" t="str">
        <f t="shared" si="191"/>
        <v/>
      </c>
      <c r="AJ191" s="34" t="str">
        <f t="shared" si="191"/>
        <v/>
      </c>
      <c r="AK191" s="34" t="str">
        <f t="shared" si="191"/>
        <v/>
      </c>
      <c r="AL191" s="34" t="str">
        <f t="shared" si="191"/>
        <v/>
      </c>
      <c r="AM191" s="34" t="str">
        <f t="shared" si="191"/>
        <v/>
      </c>
      <c r="AN191" s="34" t="str">
        <f t="shared" si="191"/>
        <v/>
      </c>
      <c r="AO191" s="34" t="str">
        <f t="shared" si="191"/>
        <v/>
      </c>
      <c r="AP191" s="34" t="str">
        <f t="shared" si="191"/>
        <v/>
      </c>
      <c r="AQ191" s="76" t="s">
        <v>225</v>
      </c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  <c r="BF191" s="77"/>
      <c r="BG191" s="77"/>
      <c r="BH191" s="77"/>
      <c r="BI191" s="77"/>
      <c r="BJ191" s="77"/>
      <c r="BK191" s="77"/>
      <c r="BL191" s="77"/>
      <c r="BM191" s="78"/>
    </row>
    <row r="192">
      <c r="A192" s="79">
        <v>2.5714285714285716</v>
      </c>
      <c r="B192" s="79" t="b">
        <v>0</v>
      </c>
      <c r="C192" s="79" t="b">
        <f t="shared" si="3"/>
        <v>0</v>
      </c>
      <c r="D192" s="80" t="s">
        <v>1565</v>
      </c>
      <c r="E192" s="81" t="s">
        <v>1092</v>
      </c>
      <c r="F192" s="82" t="s">
        <v>1779</v>
      </c>
      <c r="G192" s="35" t="s">
        <v>6</v>
      </c>
      <c r="H192" s="37">
        <v>-3.7015137796363367</v>
      </c>
      <c r="I192" s="37">
        <v>0.6367091988337772</v>
      </c>
      <c r="J192" s="83" t="s">
        <v>1780</v>
      </c>
      <c r="K192" s="35">
        <v>30.8</v>
      </c>
      <c r="L192" s="79">
        <v>37.1</v>
      </c>
      <c r="M192" s="84">
        <v>27.0</v>
      </c>
      <c r="N192" s="84">
        <v>6.0</v>
      </c>
      <c r="O192" s="96" t="s">
        <v>69</v>
      </c>
      <c r="P192" s="96" t="s">
        <v>69</v>
      </c>
      <c r="Q192" s="96" t="s">
        <v>69</v>
      </c>
      <c r="R192" s="96" t="s">
        <v>69</v>
      </c>
      <c r="S192" s="96" t="s">
        <v>69</v>
      </c>
      <c r="T192" s="96" t="s">
        <v>69</v>
      </c>
      <c r="U192" s="96" t="s">
        <v>69</v>
      </c>
      <c r="V192" s="96" t="s">
        <v>69</v>
      </c>
      <c r="W192" s="96" t="s">
        <v>69</v>
      </c>
      <c r="X192" s="96" t="s">
        <v>69</v>
      </c>
      <c r="Y192" s="95">
        <v>-1.5849354819952703</v>
      </c>
      <c r="Z192" s="95">
        <v>-0.4656725122455251</v>
      </c>
      <c r="AA192" s="95">
        <v>-1.6509057853955413</v>
      </c>
      <c r="AB192" s="95">
        <v>0.0</v>
      </c>
      <c r="AC192" s="34" t="str">
        <f t="shared" ref="AC192:AP192" si="192">LET(
  skater, IFERROR(INDEX(AllProj, MATCH($E192, AllProjNames, 0), MATCH(AC$2, AllProjCats, 0) + 1), ""),
  goalie, IFERROR(INDEX(AllGProj, MATCH($E192, AllGProjNames, 0), MATCH(AC$2, AllGProjCats, 0) + 1), ""),
  val, IF(skater &lt;&gt; "", skater, goalie),
  IF(OR($E192="", AC$2="", val=""), "", val * AC$1)
)</f>
        <v/>
      </c>
      <c r="AD192" s="34" t="str">
        <f t="shared" si="192"/>
        <v/>
      </c>
      <c r="AE192" s="34" t="str">
        <f t="shared" si="192"/>
        <v/>
      </c>
      <c r="AF192" s="34" t="str">
        <f t="shared" si="192"/>
        <v/>
      </c>
      <c r="AG192" s="34" t="str">
        <f t="shared" si="192"/>
        <v/>
      </c>
      <c r="AH192" s="34" t="str">
        <f t="shared" si="192"/>
        <v/>
      </c>
      <c r="AI192" s="34" t="str">
        <f t="shared" si="192"/>
        <v/>
      </c>
      <c r="AJ192" s="34" t="str">
        <f t="shared" si="192"/>
        <v/>
      </c>
      <c r="AK192" s="34" t="str">
        <f t="shared" si="192"/>
        <v/>
      </c>
      <c r="AL192" s="34" t="str">
        <f t="shared" si="192"/>
        <v/>
      </c>
      <c r="AM192" s="34" t="str">
        <f t="shared" si="192"/>
        <v/>
      </c>
      <c r="AN192" s="34" t="str">
        <f t="shared" si="192"/>
        <v/>
      </c>
      <c r="AO192" s="34" t="str">
        <f t="shared" si="192"/>
        <v/>
      </c>
      <c r="AP192" s="34" t="str">
        <f t="shared" si="192"/>
        <v/>
      </c>
      <c r="AQ192" s="76" t="s">
        <v>226</v>
      </c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  <c r="BF192" s="77"/>
      <c r="BG192" s="77"/>
      <c r="BH192" s="77"/>
      <c r="BI192" s="77"/>
      <c r="BJ192" s="77"/>
      <c r="BK192" s="77"/>
      <c r="BL192" s="77"/>
      <c r="BM192" s="78"/>
    </row>
    <row r="193">
      <c r="A193" s="41">
        <v>2.4285714285714284</v>
      </c>
      <c r="B193" s="41" t="b">
        <v>0</v>
      </c>
      <c r="C193" s="41" t="b">
        <f t="shared" si="3"/>
        <v>0</v>
      </c>
      <c r="D193" s="42" t="s">
        <v>1565</v>
      </c>
      <c r="E193" s="43" t="s">
        <v>866</v>
      </c>
      <c r="F193" s="44" t="s">
        <v>1548</v>
      </c>
      <c r="G193" s="29" t="s">
        <v>835</v>
      </c>
      <c r="H193" s="32">
        <v>-3.728987634169325</v>
      </c>
      <c r="I193" s="32">
        <v>1.6588924907434137</v>
      </c>
      <c r="J193" s="45" t="s">
        <v>1781</v>
      </c>
      <c r="K193" s="29">
        <v>29.8</v>
      </c>
      <c r="L193" s="41">
        <v>77.58333333333333</v>
      </c>
      <c r="M193" s="46">
        <v>34.0</v>
      </c>
      <c r="N193" s="46">
        <v>7.0</v>
      </c>
      <c r="O193" s="47">
        <v>-1.2107916897956845</v>
      </c>
      <c r="P193" s="47">
        <v>-1.5773410578697453</v>
      </c>
      <c r="Q193" s="47">
        <v>-0.20870115143569115</v>
      </c>
      <c r="R193" s="47">
        <v>3.5942748515295766</v>
      </c>
      <c r="S193" s="47">
        <v>-1.6779382471877518</v>
      </c>
      <c r="T193" s="47">
        <v>-0.7871777123417198</v>
      </c>
      <c r="U193" s="47">
        <v>-1.5999961120812856</v>
      </c>
      <c r="V193" s="47">
        <v>0.0</v>
      </c>
      <c r="W193" s="47">
        <v>1.4459247462335036</v>
      </c>
      <c r="X193" s="47">
        <v>-1.707241261220527</v>
      </c>
      <c r="Y193" s="50" t="s">
        <v>69</v>
      </c>
      <c r="Z193" s="50" t="s">
        <v>69</v>
      </c>
      <c r="AA193" s="50" t="s">
        <v>69</v>
      </c>
      <c r="AB193" s="50" t="s">
        <v>69</v>
      </c>
      <c r="AC193" s="34" t="str">
        <f t="shared" ref="AC193:AP193" si="193">LET(
  skater, IFERROR(INDEX(AllProj, MATCH($E193, AllProjNames, 0), MATCH(AC$2, AllProjCats, 0) + 1), ""),
  goalie, IFERROR(INDEX(AllGProj, MATCH($E193, AllGProjNames, 0), MATCH(AC$2, AllGProjCats, 0) + 1), ""),
  val, IF(skater &lt;&gt; "", skater, goalie),
  IF(OR($E193="", AC$2="", val=""), "", val * AC$1)
)</f>
        <v/>
      </c>
      <c r="AD193" s="34" t="str">
        <f t="shared" si="193"/>
        <v/>
      </c>
      <c r="AE193" s="34" t="str">
        <f t="shared" si="193"/>
        <v/>
      </c>
      <c r="AF193" s="34" t="str">
        <f t="shared" si="193"/>
        <v/>
      </c>
      <c r="AG193" s="34" t="str">
        <f t="shared" si="193"/>
        <v/>
      </c>
      <c r="AH193" s="34" t="str">
        <f t="shared" si="193"/>
        <v/>
      </c>
      <c r="AI193" s="34" t="str">
        <f t="shared" si="193"/>
        <v/>
      </c>
      <c r="AJ193" s="34" t="str">
        <f t="shared" si="193"/>
        <v/>
      </c>
      <c r="AK193" s="34" t="str">
        <f t="shared" si="193"/>
        <v/>
      </c>
      <c r="AL193" s="34" t="str">
        <f t="shared" si="193"/>
        <v/>
      </c>
      <c r="AM193" s="34" t="str">
        <f t="shared" si="193"/>
        <v/>
      </c>
      <c r="AN193" s="34" t="str">
        <f t="shared" si="193"/>
        <v/>
      </c>
      <c r="AO193" s="34" t="str">
        <f t="shared" si="193"/>
        <v/>
      </c>
      <c r="AP193" s="34" t="str">
        <f t="shared" si="193"/>
        <v/>
      </c>
      <c r="AQ193" s="76" t="s">
        <v>227</v>
      </c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 s="77"/>
      <c r="BH193" s="77"/>
      <c r="BI193" s="77"/>
      <c r="BJ193" s="77"/>
      <c r="BK193" s="77"/>
      <c r="BL193" s="77"/>
      <c r="BM193" s="78"/>
    </row>
    <row r="194">
      <c r="A194" s="79" t="s">
        <v>69</v>
      </c>
      <c r="B194" s="79" t="b">
        <v>0</v>
      </c>
      <c r="C194" s="79" t="b">
        <f t="shared" si="3"/>
        <v>1</v>
      </c>
      <c r="D194" s="80" t="s">
        <v>773</v>
      </c>
      <c r="E194" s="81" t="s">
        <v>1782</v>
      </c>
      <c r="F194" s="82" t="s">
        <v>279</v>
      </c>
      <c r="G194" s="35" t="s">
        <v>836</v>
      </c>
      <c r="H194" s="37">
        <v>-3.740919964256607</v>
      </c>
      <c r="I194" s="37">
        <v>1.7012176444712503</v>
      </c>
      <c r="J194" s="83" t="s">
        <v>1783</v>
      </c>
      <c r="K194" s="35">
        <v>31.2</v>
      </c>
      <c r="L194" s="79">
        <v>75.77867647058824</v>
      </c>
      <c r="M194" s="84">
        <v>34.0</v>
      </c>
      <c r="N194" s="84">
        <v>7.0</v>
      </c>
      <c r="O194" s="85">
        <v>0.3695303698123119</v>
      </c>
      <c r="P194" s="85">
        <v>-0.6102259876757739</v>
      </c>
      <c r="Q194" s="85">
        <v>2.6463414690257463</v>
      </c>
      <c r="R194" s="85">
        <v>-1.4086292470150081</v>
      </c>
      <c r="S194" s="85">
        <v>-1.0106362755404157</v>
      </c>
      <c r="T194" s="85">
        <v>-0.35395614694598165</v>
      </c>
      <c r="U194" s="85">
        <v>-0.20871543657857378</v>
      </c>
      <c r="V194" s="85">
        <v>0.0</v>
      </c>
      <c r="W194" s="85">
        <v>-1.63889004235546</v>
      </c>
      <c r="X194" s="85">
        <v>-1.525738666983452</v>
      </c>
      <c r="Y194" s="50" t="s">
        <v>69</v>
      </c>
      <c r="Z194" s="50" t="s">
        <v>69</v>
      </c>
      <c r="AA194" s="50" t="s">
        <v>69</v>
      </c>
      <c r="AB194" s="50" t="s">
        <v>69</v>
      </c>
      <c r="AC194" s="34" t="str">
        <f t="shared" ref="AC194:AP194" si="194">LET(
  skater, IFERROR(INDEX(AllProj, MATCH($E194, AllProjNames, 0), MATCH(AC$2, AllProjCats, 0) + 1), ""),
  goalie, IFERROR(INDEX(AllGProj, MATCH($E194, AllGProjNames, 0), MATCH(AC$2, AllGProjCats, 0) + 1), ""),
  val, IF(skater &lt;&gt; "", skater, goalie),
  IF(OR($E194="", AC$2="", val=""), "", val * AC$1)
)</f>
        <v/>
      </c>
      <c r="AD194" s="34" t="str">
        <f t="shared" si="194"/>
        <v/>
      </c>
      <c r="AE194" s="34" t="str">
        <f t="shared" si="194"/>
        <v/>
      </c>
      <c r="AF194" s="34" t="str">
        <f t="shared" si="194"/>
        <v/>
      </c>
      <c r="AG194" s="34" t="str">
        <f t="shared" si="194"/>
        <v/>
      </c>
      <c r="AH194" s="34" t="str">
        <f t="shared" si="194"/>
        <v/>
      </c>
      <c r="AI194" s="34" t="str">
        <f t="shared" si="194"/>
        <v/>
      </c>
      <c r="AJ194" s="34" t="str">
        <f t="shared" si="194"/>
        <v/>
      </c>
      <c r="AK194" s="34" t="str">
        <f t="shared" si="194"/>
        <v/>
      </c>
      <c r="AL194" s="34" t="str">
        <f t="shared" si="194"/>
        <v/>
      </c>
      <c r="AM194" s="34" t="str">
        <f t="shared" si="194"/>
        <v/>
      </c>
      <c r="AN194" s="34" t="str">
        <f t="shared" si="194"/>
        <v/>
      </c>
      <c r="AO194" s="34" t="str">
        <f t="shared" si="194"/>
        <v/>
      </c>
      <c r="AP194" s="34" t="str">
        <f t="shared" si="194"/>
        <v/>
      </c>
      <c r="AQ194" s="76" t="s">
        <v>228</v>
      </c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  <c r="BF194" s="77"/>
      <c r="BG194" s="77"/>
      <c r="BH194" s="77"/>
      <c r="BI194" s="77"/>
      <c r="BJ194" s="77"/>
      <c r="BK194" s="77"/>
      <c r="BL194" s="77"/>
      <c r="BM194" s="78"/>
    </row>
    <row r="195">
      <c r="A195" s="41" t="s">
        <v>69</v>
      </c>
      <c r="B195" s="41" t="b">
        <v>0</v>
      </c>
      <c r="C195" s="41" t="b">
        <f t="shared" si="3"/>
        <v>1</v>
      </c>
      <c r="D195" s="42" t="s">
        <v>824</v>
      </c>
      <c r="E195" s="43" t="s">
        <v>1784</v>
      </c>
      <c r="F195" s="44" t="s">
        <v>1512</v>
      </c>
      <c r="G195" s="29" t="s">
        <v>832</v>
      </c>
      <c r="H195" s="32">
        <v>-3.7686083420295278</v>
      </c>
      <c r="I195" s="32">
        <v>1.6735292666983295</v>
      </c>
      <c r="J195" s="45" t="s">
        <v>1785</v>
      </c>
      <c r="K195" s="29">
        <v>22.3</v>
      </c>
      <c r="L195" s="41">
        <v>78.83235294117648</v>
      </c>
      <c r="M195" s="46">
        <v>21.0</v>
      </c>
      <c r="N195" s="46">
        <v>7.0</v>
      </c>
      <c r="O195" s="47">
        <v>0.6819925429836324</v>
      </c>
      <c r="P195" s="47">
        <v>0.2092154235042792</v>
      </c>
      <c r="Q195" s="47">
        <v>-0.7685028914523712</v>
      </c>
      <c r="R195" s="47">
        <v>-1.4784874870865707</v>
      </c>
      <c r="S195" s="47">
        <v>-0.10521963126781257</v>
      </c>
      <c r="T195" s="47">
        <v>-0.7860172748923674</v>
      </c>
      <c r="U195" s="47">
        <v>0.8581067463063138</v>
      </c>
      <c r="V195" s="47">
        <v>0.0</v>
      </c>
      <c r="W195" s="47">
        <v>-1.0499244477956526</v>
      </c>
      <c r="X195" s="47">
        <v>-1.3297713223289784</v>
      </c>
      <c r="Y195" s="50" t="s">
        <v>69</v>
      </c>
      <c r="Z195" s="50" t="s">
        <v>69</v>
      </c>
      <c r="AA195" s="50" t="s">
        <v>69</v>
      </c>
      <c r="AB195" s="50" t="s">
        <v>69</v>
      </c>
      <c r="AC195" s="34" t="str">
        <f t="shared" ref="AC195:AP195" si="195">LET(
  skater, IFERROR(INDEX(AllProj, MATCH($E195, AllProjNames, 0), MATCH(AC$2, AllProjCats, 0) + 1), ""),
  goalie, IFERROR(INDEX(AllGProj, MATCH($E195, AllGProjNames, 0), MATCH(AC$2, AllGProjCats, 0) + 1), ""),
  val, IF(skater &lt;&gt; "", skater, goalie),
  IF(OR($E195="", AC$2="", val=""), "", val * AC$1)
)</f>
        <v/>
      </c>
      <c r="AD195" s="34" t="str">
        <f t="shared" si="195"/>
        <v/>
      </c>
      <c r="AE195" s="34" t="str">
        <f t="shared" si="195"/>
        <v/>
      </c>
      <c r="AF195" s="34" t="str">
        <f t="shared" si="195"/>
        <v/>
      </c>
      <c r="AG195" s="34" t="str">
        <f t="shared" si="195"/>
        <v/>
      </c>
      <c r="AH195" s="34" t="str">
        <f t="shared" si="195"/>
        <v/>
      </c>
      <c r="AI195" s="34" t="str">
        <f t="shared" si="195"/>
        <v/>
      </c>
      <c r="AJ195" s="34" t="str">
        <f t="shared" si="195"/>
        <v/>
      </c>
      <c r="AK195" s="34" t="str">
        <f t="shared" si="195"/>
        <v/>
      </c>
      <c r="AL195" s="34" t="str">
        <f t="shared" si="195"/>
        <v/>
      </c>
      <c r="AM195" s="34" t="str">
        <f t="shared" si="195"/>
        <v/>
      </c>
      <c r="AN195" s="34" t="str">
        <f t="shared" si="195"/>
        <v/>
      </c>
      <c r="AO195" s="34" t="str">
        <f t="shared" si="195"/>
        <v/>
      </c>
      <c r="AP195" s="34" t="str">
        <f t="shared" si="195"/>
        <v/>
      </c>
      <c r="AQ195" s="76" t="s">
        <v>229</v>
      </c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  <c r="BI195" s="77"/>
      <c r="BJ195" s="77"/>
      <c r="BK195" s="77"/>
      <c r="BL195" s="77"/>
      <c r="BM195" s="78"/>
    </row>
    <row r="196">
      <c r="A196" s="79" t="s">
        <v>69</v>
      </c>
      <c r="B196" s="79" t="b">
        <v>0</v>
      </c>
      <c r="C196" s="79" t="b">
        <f t="shared" si="3"/>
        <v>1</v>
      </c>
      <c r="D196" s="80" t="s">
        <v>824</v>
      </c>
      <c r="E196" s="81" t="s">
        <v>1786</v>
      </c>
      <c r="F196" s="82" t="s">
        <v>1416</v>
      </c>
      <c r="G196" s="35" t="s">
        <v>6</v>
      </c>
      <c r="H196" s="37">
        <v>-3.802457896457921</v>
      </c>
      <c r="I196" s="37">
        <v>0.5357650820121926</v>
      </c>
      <c r="J196" s="83" t="s">
        <v>1787</v>
      </c>
      <c r="K196" s="35">
        <v>21.8</v>
      </c>
      <c r="L196" s="79">
        <v>26.75</v>
      </c>
      <c r="M196" s="84">
        <v>29.0</v>
      </c>
      <c r="N196" s="84">
        <v>7.0</v>
      </c>
      <c r="O196" s="96" t="s">
        <v>69</v>
      </c>
      <c r="P196" s="96" t="s">
        <v>69</v>
      </c>
      <c r="Q196" s="96" t="s">
        <v>69</v>
      </c>
      <c r="R196" s="96" t="s">
        <v>69</v>
      </c>
      <c r="S196" s="96" t="s">
        <v>69</v>
      </c>
      <c r="T196" s="96" t="s">
        <v>69</v>
      </c>
      <c r="U196" s="96" t="s">
        <v>69</v>
      </c>
      <c r="V196" s="96" t="s">
        <v>69</v>
      </c>
      <c r="W196" s="96" t="s">
        <v>69</v>
      </c>
      <c r="X196" s="96" t="s">
        <v>69</v>
      </c>
      <c r="Y196" s="95">
        <v>-2.2219331822163912</v>
      </c>
      <c r="Z196" s="95">
        <v>-1.0946180313009415</v>
      </c>
      <c r="AA196" s="95">
        <v>-0.4859066829405885</v>
      </c>
      <c r="AB196" s="95">
        <v>0.0</v>
      </c>
      <c r="AC196" s="34" t="str">
        <f t="shared" ref="AC196:AP196" si="196">LET(
  skater, IFERROR(INDEX(AllProj, MATCH($E196, AllProjNames, 0), MATCH(AC$2, AllProjCats, 0) + 1), ""),
  goalie, IFERROR(INDEX(AllGProj, MATCH($E196, AllGProjNames, 0), MATCH(AC$2, AllGProjCats, 0) + 1), ""),
  val, IF(skater &lt;&gt; "", skater, goalie),
  IF(OR($E196="", AC$2="", val=""), "", val * AC$1)
)</f>
        <v/>
      </c>
      <c r="AD196" s="34" t="str">
        <f t="shared" si="196"/>
        <v/>
      </c>
      <c r="AE196" s="34" t="str">
        <f t="shared" si="196"/>
        <v/>
      </c>
      <c r="AF196" s="34" t="str">
        <f t="shared" si="196"/>
        <v/>
      </c>
      <c r="AG196" s="34" t="str">
        <f t="shared" si="196"/>
        <v/>
      </c>
      <c r="AH196" s="34" t="str">
        <f t="shared" si="196"/>
        <v/>
      </c>
      <c r="AI196" s="34" t="str">
        <f t="shared" si="196"/>
        <v/>
      </c>
      <c r="AJ196" s="34" t="str">
        <f t="shared" si="196"/>
        <v/>
      </c>
      <c r="AK196" s="34" t="str">
        <f t="shared" si="196"/>
        <v/>
      </c>
      <c r="AL196" s="34" t="str">
        <f t="shared" si="196"/>
        <v/>
      </c>
      <c r="AM196" s="34" t="str">
        <f t="shared" si="196"/>
        <v/>
      </c>
      <c r="AN196" s="34" t="str">
        <f t="shared" si="196"/>
        <v/>
      </c>
      <c r="AO196" s="34" t="str">
        <f t="shared" si="196"/>
        <v/>
      </c>
      <c r="AP196" s="34" t="str">
        <f t="shared" si="196"/>
        <v/>
      </c>
      <c r="AQ196" s="76" t="s">
        <v>230</v>
      </c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  <c r="BI196" s="77"/>
      <c r="BJ196" s="77"/>
      <c r="BK196" s="77"/>
      <c r="BL196" s="77"/>
      <c r="BM196" s="78"/>
    </row>
    <row r="197">
      <c r="A197" s="41" t="s">
        <v>69</v>
      </c>
      <c r="B197" s="41" t="b">
        <v>0</v>
      </c>
      <c r="C197" s="41" t="b">
        <f t="shared" si="3"/>
        <v>1</v>
      </c>
      <c r="D197" s="42" t="s">
        <v>826</v>
      </c>
      <c r="E197" s="43" t="s">
        <v>1788</v>
      </c>
      <c r="F197" s="44" t="s">
        <v>854</v>
      </c>
      <c r="G197" s="29" t="s">
        <v>837</v>
      </c>
      <c r="H197" s="32">
        <v>-3.813149375204083</v>
      </c>
      <c r="I197" s="32">
        <v>1.7167093967248181</v>
      </c>
      <c r="J197" s="45" t="s">
        <v>1789</v>
      </c>
      <c r="K197" s="29">
        <v>26.3</v>
      </c>
      <c r="L197" s="41">
        <v>80.13779411764706</v>
      </c>
      <c r="M197" s="46">
        <v>16.0</v>
      </c>
      <c r="N197" s="46">
        <v>6.0</v>
      </c>
      <c r="O197" s="47">
        <v>-1.9178599865681492</v>
      </c>
      <c r="P197" s="47">
        <v>-0.9008378350680969</v>
      </c>
      <c r="Q197" s="47">
        <v>2.508327759496702</v>
      </c>
      <c r="R197" s="47">
        <v>0.14211726951186546</v>
      </c>
      <c r="S197" s="47">
        <v>-1.6390513011820358</v>
      </c>
      <c r="T197" s="47">
        <v>0.4197910999628751</v>
      </c>
      <c r="U197" s="47">
        <v>-1.4421125333924183</v>
      </c>
      <c r="V197" s="47">
        <v>0.0</v>
      </c>
      <c r="W197" s="47">
        <v>-1.3226057185916942</v>
      </c>
      <c r="X197" s="47">
        <v>0.33908187062686856</v>
      </c>
      <c r="Y197" s="50" t="s">
        <v>69</v>
      </c>
      <c r="Z197" s="50" t="s">
        <v>69</v>
      </c>
      <c r="AA197" s="50" t="s">
        <v>69</v>
      </c>
      <c r="AB197" s="50" t="s">
        <v>69</v>
      </c>
      <c r="AC197" s="34" t="str">
        <f t="shared" ref="AC197:AP197" si="197">LET(
  skater, IFERROR(INDEX(AllProj, MATCH($E197, AllProjNames, 0), MATCH(AC$2, AllProjCats, 0) + 1), ""),
  goalie, IFERROR(INDEX(AllGProj, MATCH($E197, AllGProjNames, 0), MATCH(AC$2, AllGProjCats, 0) + 1), ""),
  val, IF(skater &lt;&gt; "", skater, goalie),
  IF(OR($E197="", AC$2="", val=""), "", val * AC$1)
)</f>
        <v/>
      </c>
      <c r="AD197" s="34" t="str">
        <f t="shared" si="197"/>
        <v/>
      </c>
      <c r="AE197" s="34" t="str">
        <f t="shared" si="197"/>
        <v/>
      </c>
      <c r="AF197" s="34" t="str">
        <f t="shared" si="197"/>
        <v/>
      </c>
      <c r="AG197" s="34" t="str">
        <f t="shared" si="197"/>
        <v/>
      </c>
      <c r="AH197" s="34" t="str">
        <f t="shared" si="197"/>
        <v/>
      </c>
      <c r="AI197" s="34" t="str">
        <f t="shared" si="197"/>
        <v/>
      </c>
      <c r="AJ197" s="34" t="str">
        <f t="shared" si="197"/>
        <v/>
      </c>
      <c r="AK197" s="34" t="str">
        <f t="shared" si="197"/>
        <v/>
      </c>
      <c r="AL197" s="34" t="str">
        <f t="shared" si="197"/>
        <v/>
      </c>
      <c r="AM197" s="34" t="str">
        <f t="shared" si="197"/>
        <v/>
      </c>
      <c r="AN197" s="34" t="str">
        <f t="shared" si="197"/>
        <v/>
      </c>
      <c r="AO197" s="34" t="str">
        <f t="shared" si="197"/>
        <v/>
      </c>
      <c r="AP197" s="34" t="str">
        <f t="shared" si="197"/>
        <v/>
      </c>
      <c r="AQ197" s="76" t="s">
        <v>231</v>
      </c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  <c r="BI197" s="77"/>
      <c r="BJ197" s="77"/>
      <c r="BK197" s="77"/>
      <c r="BL197" s="77"/>
      <c r="BM197" s="78"/>
    </row>
    <row r="198">
      <c r="A198" s="79" t="s">
        <v>69</v>
      </c>
      <c r="B198" s="79" t="b">
        <v>0</v>
      </c>
      <c r="C198" s="79" t="b">
        <f t="shared" si="3"/>
        <v>1</v>
      </c>
      <c r="D198" s="80" t="s">
        <v>827</v>
      </c>
      <c r="E198" s="81" t="s">
        <v>1790</v>
      </c>
      <c r="F198" s="82" t="s">
        <v>1401</v>
      </c>
      <c r="G198" s="35" t="s">
        <v>6</v>
      </c>
      <c r="H198" s="37">
        <v>-3.820615612693216</v>
      </c>
      <c r="I198" s="37">
        <v>0.517607365776898</v>
      </c>
      <c r="J198" s="83" t="s">
        <v>1791</v>
      </c>
      <c r="K198" s="35">
        <v>38.0</v>
      </c>
      <c r="L198" s="79">
        <v>50.6</v>
      </c>
      <c r="M198" s="84">
        <v>25.0</v>
      </c>
      <c r="N198" s="84">
        <v>7.0</v>
      </c>
      <c r="O198" s="96" t="s">
        <v>69</v>
      </c>
      <c r="P198" s="96" t="s">
        <v>69</v>
      </c>
      <c r="Q198" s="96" t="s">
        <v>69</v>
      </c>
      <c r="R198" s="96" t="s">
        <v>69</v>
      </c>
      <c r="S198" s="96" t="s">
        <v>69</v>
      </c>
      <c r="T198" s="96" t="s">
        <v>69</v>
      </c>
      <c r="U198" s="96" t="s">
        <v>69</v>
      </c>
      <c r="V198" s="96" t="s">
        <v>69</v>
      </c>
      <c r="W198" s="96" t="s">
        <v>69</v>
      </c>
      <c r="X198" s="96" t="s">
        <v>69</v>
      </c>
      <c r="Y198" s="95">
        <v>0.4237937245377892</v>
      </c>
      <c r="Z198" s="95">
        <v>-1.5284739680567618</v>
      </c>
      <c r="AA198" s="95">
        <v>-3.277768437344577</v>
      </c>
      <c r="AB198" s="95">
        <v>0.561833068170334</v>
      </c>
      <c r="AC198" s="34" t="str">
        <f t="shared" ref="AC198:AP198" si="198">LET(
  skater, IFERROR(INDEX(AllProj, MATCH($E198, AllProjNames, 0), MATCH(AC$2, AllProjCats, 0) + 1), ""),
  goalie, IFERROR(INDEX(AllGProj, MATCH($E198, AllGProjNames, 0), MATCH(AC$2, AllGProjCats, 0) + 1), ""),
  val, IF(skater &lt;&gt; "", skater, goalie),
  IF(OR($E198="", AC$2="", val=""), "", val * AC$1)
)</f>
        <v/>
      </c>
      <c r="AD198" s="34" t="str">
        <f t="shared" si="198"/>
        <v/>
      </c>
      <c r="AE198" s="34" t="str">
        <f t="shared" si="198"/>
        <v/>
      </c>
      <c r="AF198" s="34" t="str">
        <f t="shared" si="198"/>
        <v/>
      </c>
      <c r="AG198" s="34" t="str">
        <f t="shared" si="198"/>
        <v/>
      </c>
      <c r="AH198" s="34" t="str">
        <f t="shared" si="198"/>
        <v/>
      </c>
      <c r="AI198" s="34" t="str">
        <f t="shared" si="198"/>
        <v/>
      </c>
      <c r="AJ198" s="34" t="str">
        <f t="shared" si="198"/>
        <v/>
      </c>
      <c r="AK198" s="34" t="str">
        <f t="shared" si="198"/>
        <v/>
      </c>
      <c r="AL198" s="34" t="str">
        <f t="shared" si="198"/>
        <v/>
      </c>
      <c r="AM198" s="34" t="str">
        <f t="shared" si="198"/>
        <v/>
      </c>
      <c r="AN198" s="34" t="str">
        <f t="shared" si="198"/>
        <v/>
      </c>
      <c r="AO198" s="34" t="str">
        <f t="shared" si="198"/>
        <v/>
      </c>
      <c r="AP198" s="34" t="str">
        <f t="shared" si="198"/>
        <v/>
      </c>
      <c r="AQ198" s="76" t="s">
        <v>232</v>
      </c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  <c r="BF198" s="77"/>
      <c r="BG198" s="77"/>
      <c r="BH198" s="77"/>
      <c r="BI198" s="77"/>
      <c r="BJ198" s="77"/>
      <c r="BK198" s="77"/>
      <c r="BL198" s="77"/>
      <c r="BM198" s="78"/>
    </row>
    <row r="199">
      <c r="A199" s="41">
        <v>2.4285714285714284</v>
      </c>
      <c r="B199" s="41" t="b">
        <v>0</v>
      </c>
      <c r="C199" s="41" t="b">
        <f t="shared" si="3"/>
        <v>0</v>
      </c>
      <c r="D199" s="42" t="s">
        <v>1565</v>
      </c>
      <c r="E199" s="43" t="s">
        <v>869</v>
      </c>
      <c r="F199" s="44" t="s">
        <v>1461</v>
      </c>
      <c r="G199" s="29" t="s">
        <v>829</v>
      </c>
      <c r="H199" s="32">
        <v>-3.9239966535690813</v>
      </c>
      <c r="I199" s="32">
        <v>1.518140955158776</v>
      </c>
      <c r="J199" s="45" t="s">
        <v>1792</v>
      </c>
      <c r="K199" s="29">
        <v>34.5</v>
      </c>
      <c r="L199" s="41">
        <v>83.38250000000001</v>
      </c>
      <c r="M199" s="46">
        <v>23.0</v>
      </c>
      <c r="N199" s="46">
        <v>6.0</v>
      </c>
      <c r="O199" s="47">
        <v>-0.22121889770422493</v>
      </c>
      <c r="P199" s="47">
        <v>-0.07739579897506518</v>
      </c>
      <c r="Q199" s="47">
        <v>-0.9886684485876793</v>
      </c>
      <c r="R199" s="47">
        <v>-1.5298014886369657</v>
      </c>
      <c r="S199" s="47">
        <v>-0.5375586656437799</v>
      </c>
      <c r="T199" s="47">
        <v>0.09611770147930372</v>
      </c>
      <c r="U199" s="47">
        <v>-0.7509229894853541</v>
      </c>
      <c r="V199" s="47">
        <v>1.5229671317022546</v>
      </c>
      <c r="W199" s="47">
        <v>-0.43765561498882993</v>
      </c>
      <c r="X199" s="47">
        <v>-0.9998595827287405</v>
      </c>
      <c r="Y199" s="50" t="s">
        <v>69</v>
      </c>
      <c r="Z199" s="50" t="s">
        <v>69</v>
      </c>
      <c r="AA199" s="50" t="s">
        <v>69</v>
      </c>
      <c r="AB199" s="50" t="s">
        <v>69</v>
      </c>
      <c r="AC199" s="34" t="str">
        <f t="shared" ref="AC199:AP199" si="199">LET(
  skater, IFERROR(INDEX(AllProj, MATCH($E199, AllProjNames, 0), MATCH(AC$2, AllProjCats, 0) + 1), ""),
  goalie, IFERROR(INDEX(AllGProj, MATCH($E199, AllGProjNames, 0), MATCH(AC$2, AllGProjCats, 0) + 1), ""),
  val, IF(skater &lt;&gt; "", skater, goalie),
  IF(OR($E199="", AC$2="", val=""), "", val * AC$1)
)</f>
        <v/>
      </c>
      <c r="AD199" s="34" t="str">
        <f t="shared" si="199"/>
        <v/>
      </c>
      <c r="AE199" s="34" t="str">
        <f t="shared" si="199"/>
        <v/>
      </c>
      <c r="AF199" s="34" t="str">
        <f t="shared" si="199"/>
        <v/>
      </c>
      <c r="AG199" s="34" t="str">
        <f t="shared" si="199"/>
        <v/>
      </c>
      <c r="AH199" s="34" t="str">
        <f t="shared" si="199"/>
        <v/>
      </c>
      <c r="AI199" s="34" t="str">
        <f t="shared" si="199"/>
        <v/>
      </c>
      <c r="AJ199" s="34" t="str">
        <f t="shared" si="199"/>
        <v/>
      </c>
      <c r="AK199" s="34" t="str">
        <f t="shared" si="199"/>
        <v/>
      </c>
      <c r="AL199" s="34" t="str">
        <f t="shared" si="199"/>
        <v/>
      </c>
      <c r="AM199" s="34" t="str">
        <f t="shared" si="199"/>
        <v/>
      </c>
      <c r="AN199" s="34" t="str">
        <f t="shared" si="199"/>
        <v/>
      </c>
      <c r="AO199" s="34" t="str">
        <f t="shared" si="199"/>
        <v/>
      </c>
      <c r="AP199" s="34" t="str">
        <f t="shared" si="199"/>
        <v/>
      </c>
      <c r="AQ199" s="76" t="s">
        <v>233</v>
      </c>
      <c r="AR199" s="77"/>
      <c r="AS199" s="77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  <c r="BF199" s="77"/>
      <c r="BG199" s="77"/>
      <c r="BH199" s="77"/>
      <c r="BI199" s="77"/>
      <c r="BJ199" s="77"/>
      <c r="BK199" s="77"/>
      <c r="BL199" s="77"/>
      <c r="BM199" s="78"/>
    </row>
    <row r="200">
      <c r="A200" s="79">
        <v>3.0</v>
      </c>
      <c r="B200" s="79" t="b">
        <v>0</v>
      </c>
      <c r="C200" s="79" t="b">
        <f t="shared" si="3"/>
        <v>0</v>
      </c>
      <c r="D200" s="80" t="s">
        <v>1565</v>
      </c>
      <c r="E200" s="81" t="s">
        <v>1386</v>
      </c>
      <c r="F200" s="82" t="s">
        <v>1710</v>
      </c>
      <c r="G200" s="35" t="s">
        <v>6</v>
      </c>
      <c r="H200" s="37">
        <v>-4.014029748297212</v>
      </c>
      <c r="I200" s="37">
        <v>0.32419323017290225</v>
      </c>
      <c r="J200" s="83" t="s">
        <v>1793</v>
      </c>
      <c r="K200" s="35">
        <v>29.3</v>
      </c>
      <c r="L200" s="79">
        <v>28.25</v>
      </c>
      <c r="M200" s="84">
        <v>23.0</v>
      </c>
      <c r="N200" s="84">
        <v>6.0</v>
      </c>
      <c r="O200" s="96" t="s">
        <v>69</v>
      </c>
      <c r="P200" s="96" t="s">
        <v>69</v>
      </c>
      <c r="Q200" s="96" t="s">
        <v>69</v>
      </c>
      <c r="R200" s="96" t="s">
        <v>69</v>
      </c>
      <c r="S200" s="96" t="s">
        <v>69</v>
      </c>
      <c r="T200" s="96" t="s">
        <v>69</v>
      </c>
      <c r="U200" s="96" t="s">
        <v>69</v>
      </c>
      <c r="V200" s="96" t="s">
        <v>69</v>
      </c>
      <c r="W200" s="96" t="s">
        <v>69</v>
      </c>
      <c r="X200" s="96" t="s">
        <v>69</v>
      </c>
      <c r="Y200" s="95">
        <v>-2.654394543849593</v>
      </c>
      <c r="Z200" s="95">
        <v>-1.1150005249740316</v>
      </c>
      <c r="AA200" s="95">
        <v>-0.24463467947358694</v>
      </c>
      <c r="AB200" s="95">
        <v>0.0</v>
      </c>
      <c r="AC200" s="34" t="str">
        <f t="shared" ref="AC200:AP200" si="200">LET(
  skater, IFERROR(INDEX(AllProj, MATCH($E200, AllProjNames, 0), MATCH(AC$2, AllProjCats, 0) + 1), ""),
  goalie, IFERROR(INDEX(AllGProj, MATCH($E200, AllGProjNames, 0), MATCH(AC$2, AllGProjCats, 0) + 1), ""),
  val, IF(skater &lt;&gt; "", skater, goalie),
  IF(OR($E200="", AC$2="", val=""), "", val * AC$1)
)</f>
        <v/>
      </c>
      <c r="AD200" s="34" t="str">
        <f t="shared" si="200"/>
        <v/>
      </c>
      <c r="AE200" s="34" t="str">
        <f t="shared" si="200"/>
        <v/>
      </c>
      <c r="AF200" s="34" t="str">
        <f t="shared" si="200"/>
        <v/>
      </c>
      <c r="AG200" s="34" t="str">
        <f t="shared" si="200"/>
        <v/>
      </c>
      <c r="AH200" s="34" t="str">
        <f t="shared" si="200"/>
        <v/>
      </c>
      <c r="AI200" s="34" t="str">
        <f t="shared" si="200"/>
        <v/>
      </c>
      <c r="AJ200" s="34" t="str">
        <f t="shared" si="200"/>
        <v/>
      </c>
      <c r="AK200" s="34" t="str">
        <f t="shared" si="200"/>
        <v/>
      </c>
      <c r="AL200" s="34" t="str">
        <f t="shared" si="200"/>
        <v/>
      </c>
      <c r="AM200" s="34" t="str">
        <f t="shared" si="200"/>
        <v/>
      </c>
      <c r="AN200" s="34" t="str">
        <f t="shared" si="200"/>
        <v/>
      </c>
      <c r="AO200" s="34" t="str">
        <f t="shared" si="200"/>
        <v/>
      </c>
      <c r="AP200" s="34" t="str">
        <f t="shared" si="200"/>
        <v/>
      </c>
      <c r="AQ200" s="76" t="s">
        <v>234</v>
      </c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  <c r="BF200" s="77"/>
      <c r="BG200" s="77"/>
      <c r="BH200" s="77"/>
      <c r="BI200" s="77"/>
      <c r="BJ200" s="77"/>
      <c r="BK200" s="77"/>
      <c r="BL200" s="77"/>
      <c r="BM200" s="78"/>
    </row>
    <row r="201">
      <c r="A201" s="41" t="s">
        <v>69</v>
      </c>
      <c r="B201" s="41" t="b">
        <v>0</v>
      </c>
      <c r="C201" s="41" t="b">
        <f t="shared" si="3"/>
        <v>1</v>
      </c>
      <c r="D201" s="42" t="s">
        <v>826</v>
      </c>
      <c r="E201" s="43" t="s">
        <v>1794</v>
      </c>
      <c r="F201" s="44" t="s">
        <v>1043</v>
      </c>
      <c r="G201" s="29" t="s">
        <v>835</v>
      </c>
      <c r="H201" s="32">
        <v>-4.033157072018456</v>
      </c>
      <c r="I201" s="32">
        <v>1.3547230528942826</v>
      </c>
      <c r="J201" s="45" t="s">
        <v>1795</v>
      </c>
      <c r="K201" s="29">
        <v>30.8</v>
      </c>
      <c r="L201" s="41">
        <v>81.36117647058823</v>
      </c>
      <c r="M201" s="46">
        <v>28.0</v>
      </c>
      <c r="N201" s="46">
        <v>6.0</v>
      </c>
      <c r="O201" s="47">
        <v>0.13609183887827703</v>
      </c>
      <c r="P201" s="47">
        <v>-0.01949462809243357</v>
      </c>
      <c r="Q201" s="47">
        <v>1.9340374198902326</v>
      </c>
      <c r="R201" s="47">
        <v>-1.6869015170787773</v>
      </c>
      <c r="S201" s="47">
        <v>-1.2188332394186665</v>
      </c>
      <c r="T201" s="47">
        <v>-0.7858941684964815</v>
      </c>
      <c r="U201" s="47">
        <v>-0.9171885523202076</v>
      </c>
      <c r="V201" s="47">
        <v>0.0</v>
      </c>
      <c r="W201" s="47">
        <v>0.09590768286105411</v>
      </c>
      <c r="X201" s="47">
        <v>-1.5708819082414531</v>
      </c>
      <c r="Y201" s="50" t="s">
        <v>69</v>
      </c>
      <c r="Z201" s="50" t="s">
        <v>69</v>
      </c>
      <c r="AA201" s="50" t="s">
        <v>69</v>
      </c>
      <c r="AB201" s="50" t="s">
        <v>69</v>
      </c>
      <c r="AC201" s="34" t="str">
        <f t="shared" ref="AC201:AP201" si="201">LET(
  skater, IFERROR(INDEX(AllProj, MATCH($E201, AllProjNames, 0), MATCH(AC$2, AllProjCats, 0) + 1), ""),
  goalie, IFERROR(INDEX(AllGProj, MATCH($E201, AllGProjNames, 0), MATCH(AC$2, AllGProjCats, 0) + 1), ""),
  val, IF(skater &lt;&gt; "", skater, goalie),
  IF(OR($E201="", AC$2="", val=""), "", val * AC$1)
)</f>
        <v/>
      </c>
      <c r="AD201" s="34" t="str">
        <f t="shared" si="201"/>
        <v/>
      </c>
      <c r="AE201" s="34" t="str">
        <f t="shared" si="201"/>
        <v/>
      </c>
      <c r="AF201" s="34" t="str">
        <f t="shared" si="201"/>
        <v/>
      </c>
      <c r="AG201" s="34" t="str">
        <f t="shared" si="201"/>
        <v/>
      </c>
      <c r="AH201" s="34" t="str">
        <f t="shared" si="201"/>
        <v/>
      </c>
      <c r="AI201" s="34" t="str">
        <f t="shared" si="201"/>
        <v/>
      </c>
      <c r="AJ201" s="34" t="str">
        <f t="shared" si="201"/>
        <v/>
      </c>
      <c r="AK201" s="34" t="str">
        <f t="shared" si="201"/>
        <v/>
      </c>
      <c r="AL201" s="34" t="str">
        <f t="shared" si="201"/>
        <v/>
      </c>
      <c r="AM201" s="34" t="str">
        <f t="shared" si="201"/>
        <v/>
      </c>
      <c r="AN201" s="34" t="str">
        <f t="shared" si="201"/>
        <v/>
      </c>
      <c r="AO201" s="34" t="str">
        <f t="shared" si="201"/>
        <v/>
      </c>
      <c r="AP201" s="34" t="str">
        <f t="shared" si="201"/>
        <v/>
      </c>
      <c r="AQ201" s="76" t="s">
        <v>235</v>
      </c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  <c r="BF201" s="77"/>
      <c r="BG201" s="77"/>
      <c r="BH201" s="77"/>
      <c r="BI201" s="77"/>
      <c r="BJ201" s="77"/>
      <c r="BK201" s="77"/>
      <c r="BL201" s="77"/>
      <c r="BM201" s="78"/>
    </row>
    <row r="202">
      <c r="A202" s="79" t="s">
        <v>69</v>
      </c>
      <c r="B202" s="79" t="b">
        <v>0</v>
      </c>
      <c r="C202" s="79" t="b">
        <f t="shared" si="3"/>
        <v>1</v>
      </c>
      <c r="D202" s="80" t="s">
        <v>826</v>
      </c>
      <c r="E202" s="81" t="s">
        <v>1796</v>
      </c>
      <c r="F202" s="82" t="s">
        <v>1411</v>
      </c>
      <c r="G202" s="35" t="s">
        <v>832</v>
      </c>
      <c r="H202" s="37">
        <v>-4.06332390139656</v>
      </c>
      <c r="I202" s="37">
        <v>1.3788137073312976</v>
      </c>
      <c r="J202" s="83" t="s">
        <v>1797</v>
      </c>
      <c r="K202" s="35">
        <v>28.4</v>
      </c>
      <c r="L202" s="79">
        <v>81.04499999999999</v>
      </c>
      <c r="M202" s="84">
        <v>33.0</v>
      </c>
      <c r="N202" s="84">
        <v>8.0</v>
      </c>
      <c r="O202" s="85">
        <v>0.683880485853656</v>
      </c>
      <c r="P202" s="85">
        <v>0.03724773786803388</v>
      </c>
      <c r="Q202" s="85">
        <v>0.590034974544703</v>
      </c>
      <c r="R202" s="85">
        <v>-1.8549494939016962</v>
      </c>
      <c r="S202" s="85">
        <v>0.24482193946130745</v>
      </c>
      <c r="T202" s="85">
        <v>-0.7842127181629118</v>
      </c>
      <c r="U202" s="85">
        <v>0.928802087478005</v>
      </c>
      <c r="V202" s="85">
        <v>0.0</v>
      </c>
      <c r="W202" s="85">
        <v>-2.134436524727261</v>
      </c>
      <c r="X202" s="85">
        <v>-1.7745123898103963</v>
      </c>
      <c r="Y202" s="50" t="s">
        <v>69</v>
      </c>
      <c r="Z202" s="50" t="s">
        <v>69</v>
      </c>
      <c r="AA202" s="50" t="s">
        <v>69</v>
      </c>
      <c r="AB202" s="50" t="s">
        <v>69</v>
      </c>
      <c r="AC202" s="34" t="str">
        <f t="shared" ref="AC202:AP202" si="202">LET(
  skater, IFERROR(INDEX(AllProj, MATCH($E202, AllProjNames, 0), MATCH(AC$2, AllProjCats, 0) + 1), ""),
  goalie, IFERROR(INDEX(AllGProj, MATCH($E202, AllGProjNames, 0), MATCH(AC$2, AllGProjCats, 0) + 1), ""),
  val, IF(skater &lt;&gt; "", skater, goalie),
  IF(OR($E202="", AC$2="", val=""), "", val * AC$1)
)</f>
        <v/>
      </c>
      <c r="AD202" s="34" t="str">
        <f t="shared" si="202"/>
        <v/>
      </c>
      <c r="AE202" s="34" t="str">
        <f t="shared" si="202"/>
        <v/>
      </c>
      <c r="AF202" s="34" t="str">
        <f t="shared" si="202"/>
        <v/>
      </c>
      <c r="AG202" s="34" t="str">
        <f t="shared" si="202"/>
        <v/>
      </c>
      <c r="AH202" s="34" t="str">
        <f t="shared" si="202"/>
        <v/>
      </c>
      <c r="AI202" s="34" t="str">
        <f t="shared" si="202"/>
        <v/>
      </c>
      <c r="AJ202" s="34" t="str">
        <f t="shared" si="202"/>
        <v/>
      </c>
      <c r="AK202" s="34" t="str">
        <f t="shared" si="202"/>
        <v/>
      </c>
      <c r="AL202" s="34" t="str">
        <f t="shared" si="202"/>
        <v/>
      </c>
      <c r="AM202" s="34" t="str">
        <f t="shared" si="202"/>
        <v/>
      </c>
      <c r="AN202" s="34" t="str">
        <f t="shared" si="202"/>
        <v/>
      </c>
      <c r="AO202" s="34" t="str">
        <f t="shared" si="202"/>
        <v/>
      </c>
      <c r="AP202" s="34" t="str">
        <f t="shared" si="202"/>
        <v/>
      </c>
      <c r="AQ202" s="76" t="s">
        <v>236</v>
      </c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  <c r="BF202" s="77"/>
      <c r="BG202" s="77"/>
      <c r="BH202" s="77"/>
      <c r="BI202" s="77"/>
      <c r="BJ202" s="77"/>
      <c r="BK202" s="77"/>
      <c r="BL202" s="77"/>
      <c r="BM202" s="78"/>
    </row>
    <row r="203">
      <c r="A203" s="41" t="s">
        <v>69</v>
      </c>
      <c r="B203" s="41" t="b">
        <v>0</v>
      </c>
      <c r="C203" s="41" t="b">
        <f t="shared" si="3"/>
        <v>1</v>
      </c>
      <c r="D203" s="42" t="s">
        <v>825</v>
      </c>
      <c r="E203" s="43" t="s">
        <v>1798</v>
      </c>
      <c r="F203" s="44" t="s">
        <v>1498</v>
      </c>
      <c r="G203" s="29" t="s">
        <v>837</v>
      </c>
      <c r="H203" s="32">
        <v>-4.067472597105308</v>
      </c>
      <c r="I203" s="32">
        <v>1.4623861748235933</v>
      </c>
      <c r="J203" s="45" t="s">
        <v>1799</v>
      </c>
      <c r="K203" s="29">
        <v>36.3</v>
      </c>
      <c r="L203" s="41">
        <v>81.72720588235293</v>
      </c>
      <c r="M203" s="46">
        <v>28.0</v>
      </c>
      <c r="N203" s="46">
        <v>7.0</v>
      </c>
      <c r="O203" s="47">
        <v>-1.0793411802908068</v>
      </c>
      <c r="P203" s="47">
        <v>1.2449694140850633</v>
      </c>
      <c r="Q203" s="47">
        <v>-1.4037148058823028</v>
      </c>
      <c r="R203" s="47">
        <v>-1.1907463277573977</v>
      </c>
      <c r="S203" s="47">
        <v>0.9604379123741477</v>
      </c>
      <c r="T203" s="47">
        <v>-0.7377157411373093</v>
      </c>
      <c r="U203" s="47">
        <v>0.45577799967311317</v>
      </c>
      <c r="V203" s="47">
        <v>0.0</v>
      </c>
      <c r="W203" s="47">
        <v>-2.0850474240937182</v>
      </c>
      <c r="X203" s="47">
        <v>-0.23209244407609686</v>
      </c>
      <c r="Y203" s="50" t="s">
        <v>69</v>
      </c>
      <c r="Z203" s="50" t="s">
        <v>69</v>
      </c>
      <c r="AA203" s="50" t="s">
        <v>69</v>
      </c>
      <c r="AB203" s="50" t="s">
        <v>69</v>
      </c>
      <c r="AC203" s="34" t="str">
        <f t="shared" ref="AC203:AP203" si="203">LET(
  skater, IFERROR(INDEX(AllProj, MATCH($E203, AllProjNames, 0), MATCH(AC$2, AllProjCats, 0) + 1), ""),
  goalie, IFERROR(INDEX(AllGProj, MATCH($E203, AllGProjNames, 0), MATCH(AC$2, AllGProjCats, 0) + 1), ""),
  val, IF(skater &lt;&gt; "", skater, goalie),
  IF(OR($E203="", AC$2="", val=""), "", val * AC$1)
)</f>
        <v/>
      </c>
      <c r="AD203" s="34" t="str">
        <f t="shared" si="203"/>
        <v/>
      </c>
      <c r="AE203" s="34" t="str">
        <f t="shared" si="203"/>
        <v/>
      </c>
      <c r="AF203" s="34" t="str">
        <f t="shared" si="203"/>
        <v/>
      </c>
      <c r="AG203" s="34" t="str">
        <f t="shared" si="203"/>
        <v/>
      </c>
      <c r="AH203" s="34" t="str">
        <f t="shared" si="203"/>
        <v/>
      </c>
      <c r="AI203" s="34" t="str">
        <f t="shared" si="203"/>
        <v/>
      </c>
      <c r="AJ203" s="34" t="str">
        <f t="shared" si="203"/>
        <v/>
      </c>
      <c r="AK203" s="34" t="str">
        <f t="shared" si="203"/>
        <v/>
      </c>
      <c r="AL203" s="34" t="str">
        <f t="shared" si="203"/>
        <v/>
      </c>
      <c r="AM203" s="34" t="str">
        <f t="shared" si="203"/>
        <v/>
      </c>
      <c r="AN203" s="34" t="str">
        <f t="shared" si="203"/>
        <v/>
      </c>
      <c r="AO203" s="34" t="str">
        <f t="shared" si="203"/>
        <v/>
      </c>
      <c r="AP203" s="34" t="str">
        <f t="shared" si="203"/>
        <v/>
      </c>
      <c r="AQ203" s="76" t="s">
        <v>237</v>
      </c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  <c r="BF203" s="77"/>
      <c r="BG203" s="77"/>
      <c r="BH203" s="77"/>
      <c r="BI203" s="77"/>
      <c r="BJ203" s="77"/>
      <c r="BK203" s="77"/>
      <c r="BL203" s="77"/>
      <c r="BM203" s="78"/>
    </row>
    <row r="204">
      <c r="A204" s="79">
        <v>2.5714285714285716</v>
      </c>
      <c r="B204" s="79" t="b">
        <v>0</v>
      </c>
      <c r="C204" s="79" t="b">
        <f t="shared" si="3"/>
        <v>0</v>
      </c>
      <c r="D204" s="80" t="s">
        <v>1565</v>
      </c>
      <c r="E204" s="81" t="s">
        <v>1093</v>
      </c>
      <c r="F204" s="82" t="s">
        <v>930</v>
      </c>
      <c r="G204" s="35" t="s">
        <v>6</v>
      </c>
      <c r="H204" s="37">
        <v>-4.081267521359882</v>
      </c>
      <c r="I204" s="37">
        <v>0.25695545711023193</v>
      </c>
      <c r="J204" s="83" t="s">
        <v>1800</v>
      </c>
      <c r="K204" s="35">
        <v>26.3</v>
      </c>
      <c r="L204" s="79">
        <v>33.5</v>
      </c>
      <c r="M204" s="84">
        <v>29.0</v>
      </c>
      <c r="N204" s="84">
        <v>7.0</v>
      </c>
      <c r="O204" s="96" t="s">
        <v>69</v>
      </c>
      <c r="P204" s="96" t="s">
        <v>69</v>
      </c>
      <c r="Q204" s="96" t="s">
        <v>69</v>
      </c>
      <c r="R204" s="96" t="s">
        <v>69</v>
      </c>
      <c r="S204" s="96" t="s">
        <v>69</v>
      </c>
      <c r="T204" s="96" t="s">
        <v>69</v>
      </c>
      <c r="U204" s="96" t="s">
        <v>69</v>
      </c>
      <c r="V204" s="96" t="s">
        <v>69</v>
      </c>
      <c r="W204" s="96" t="s">
        <v>69</v>
      </c>
      <c r="X204" s="96" t="s">
        <v>69</v>
      </c>
      <c r="Y204" s="95">
        <v>-1.5204183219627094</v>
      </c>
      <c r="Z204" s="95">
        <v>-0.5239082084543606</v>
      </c>
      <c r="AA204" s="95">
        <v>-2.0369409909428113</v>
      </c>
      <c r="AB204" s="95">
        <v>0.0</v>
      </c>
      <c r="AC204" s="34" t="str">
        <f t="shared" ref="AC204:AP204" si="204">LET(
  skater, IFERROR(INDEX(AllProj, MATCH($E204, AllProjNames, 0), MATCH(AC$2, AllProjCats, 0) + 1), ""),
  goalie, IFERROR(INDEX(AllGProj, MATCH($E204, AllGProjNames, 0), MATCH(AC$2, AllGProjCats, 0) + 1), ""),
  val, IF(skater &lt;&gt; "", skater, goalie),
  IF(OR($E204="", AC$2="", val=""), "", val * AC$1)
)</f>
        <v/>
      </c>
      <c r="AD204" s="34" t="str">
        <f t="shared" si="204"/>
        <v/>
      </c>
      <c r="AE204" s="34" t="str">
        <f t="shared" si="204"/>
        <v/>
      </c>
      <c r="AF204" s="34" t="str">
        <f t="shared" si="204"/>
        <v/>
      </c>
      <c r="AG204" s="34" t="str">
        <f t="shared" si="204"/>
        <v/>
      </c>
      <c r="AH204" s="34" t="str">
        <f t="shared" si="204"/>
        <v/>
      </c>
      <c r="AI204" s="34" t="str">
        <f t="shared" si="204"/>
        <v/>
      </c>
      <c r="AJ204" s="34" t="str">
        <f t="shared" si="204"/>
        <v/>
      </c>
      <c r="AK204" s="34" t="str">
        <f t="shared" si="204"/>
        <v/>
      </c>
      <c r="AL204" s="34" t="str">
        <f t="shared" si="204"/>
        <v/>
      </c>
      <c r="AM204" s="34" t="str">
        <f t="shared" si="204"/>
        <v/>
      </c>
      <c r="AN204" s="34" t="str">
        <f t="shared" si="204"/>
        <v/>
      </c>
      <c r="AO204" s="34" t="str">
        <f t="shared" si="204"/>
        <v/>
      </c>
      <c r="AP204" s="34" t="str">
        <f t="shared" si="204"/>
        <v/>
      </c>
      <c r="AQ204" s="76" t="s">
        <v>238</v>
      </c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  <c r="BF204" s="77"/>
      <c r="BG204" s="77"/>
      <c r="BH204" s="77"/>
      <c r="BI204" s="77"/>
      <c r="BJ204" s="77"/>
      <c r="BK204" s="77"/>
      <c r="BL204" s="77"/>
      <c r="BM204" s="78"/>
    </row>
    <row r="205">
      <c r="A205" s="41">
        <v>2.5</v>
      </c>
      <c r="B205" s="41" t="b">
        <v>0</v>
      </c>
      <c r="C205" s="41" t="b">
        <f t="shared" si="3"/>
        <v>0</v>
      </c>
      <c r="D205" s="42" t="s">
        <v>1565</v>
      </c>
      <c r="E205" s="43" t="s">
        <v>878</v>
      </c>
      <c r="F205" s="44" t="s">
        <v>1563</v>
      </c>
      <c r="G205" s="29" t="s">
        <v>836</v>
      </c>
      <c r="H205" s="32">
        <v>-4.105072110791675</v>
      </c>
      <c r="I205" s="32">
        <v>1.337065497936182</v>
      </c>
      <c r="J205" s="45" t="s">
        <v>1801</v>
      </c>
      <c r="K205" s="29">
        <v>24.7</v>
      </c>
      <c r="L205" s="41">
        <v>79.17382352941176</v>
      </c>
      <c r="M205" s="46">
        <v>29.0</v>
      </c>
      <c r="N205" s="46">
        <v>6.0</v>
      </c>
      <c r="O205" s="47">
        <v>0.6782518098883921</v>
      </c>
      <c r="P205" s="47">
        <v>-1.1382006910245814</v>
      </c>
      <c r="Q205" s="47">
        <v>-0.5674945068717975</v>
      </c>
      <c r="R205" s="47">
        <v>-0.315246293054562</v>
      </c>
      <c r="S205" s="47">
        <v>-0.5225665733361635</v>
      </c>
      <c r="T205" s="47">
        <v>-0.27134653452467195</v>
      </c>
      <c r="U205" s="47">
        <v>-0.04796033910098967</v>
      </c>
      <c r="V205" s="47">
        <v>0.0</v>
      </c>
      <c r="W205" s="47">
        <v>-1.0036347944818367</v>
      </c>
      <c r="X205" s="47">
        <v>-0.9168741882854644</v>
      </c>
      <c r="Y205" s="50" t="s">
        <v>69</v>
      </c>
      <c r="Z205" s="50" t="s">
        <v>69</v>
      </c>
      <c r="AA205" s="50" t="s">
        <v>69</v>
      </c>
      <c r="AB205" s="50" t="s">
        <v>69</v>
      </c>
      <c r="AC205" s="34" t="str">
        <f t="shared" ref="AC205:AP205" si="205">LET(
  skater, IFERROR(INDEX(AllProj, MATCH($E205, AllProjNames, 0), MATCH(AC$2, AllProjCats, 0) + 1), ""),
  goalie, IFERROR(INDEX(AllGProj, MATCH($E205, AllGProjNames, 0), MATCH(AC$2, AllGProjCats, 0) + 1), ""),
  val, IF(skater &lt;&gt; "", skater, goalie),
  IF(OR($E205="", AC$2="", val=""), "", val * AC$1)
)</f>
        <v/>
      </c>
      <c r="AD205" s="34" t="str">
        <f t="shared" si="205"/>
        <v/>
      </c>
      <c r="AE205" s="34" t="str">
        <f t="shared" si="205"/>
        <v/>
      </c>
      <c r="AF205" s="34" t="str">
        <f t="shared" si="205"/>
        <v/>
      </c>
      <c r="AG205" s="34" t="str">
        <f t="shared" si="205"/>
        <v/>
      </c>
      <c r="AH205" s="34" t="str">
        <f t="shared" si="205"/>
        <v/>
      </c>
      <c r="AI205" s="34" t="str">
        <f t="shared" si="205"/>
        <v/>
      </c>
      <c r="AJ205" s="34" t="str">
        <f t="shared" si="205"/>
        <v/>
      </c>
      <c r="AK205" s="34" t="str">
        <f t="shared" si="205"/>
        <v/>
      </c>
      <c r="AL205" s="34" t="str">
        <f t="shared" si="205"/>
        <v/>
      </c>
      <c r="AM205" s="34" t="str">
        <f t="shared" si="205"/>
        <v/>
      </c>
      <c r="AN205" s="34" t="str">
        <f t="shared" si="205"/>
        <v/>
      </c>
      <c r="AO205" s="34" t="str">
        <f t="shared" si="205"/>
        <v/>
      </c>
      <c r="AP205" s="34" t="str">
        <f t="shared" si="205"/>
        <v/>
      </c>
      <c r="AQ205" s="76" t="s">
        <v>239</v>
      </c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  <c r="BF205" s="77"/>
      <c r="BG205" s="77"/>
      <c r="BH205" s="77"/>
      <c r="BI205" s="77"/>
      <c r="BJ205" s="77"/>
      <c r="BK205" s="77"/>
      <c r="BL205" s="77"/>
      <c r="BM205" s="78"/>
    </row>
    <row r="206">
      <c r="A206" s="79">
        <v>2.642857142857143</v>
      </c>
      <c r="B206" s="79" t="b">
        <v>0</v>
      </c>
      <c r="C206" s="79" t="b">
        <f t="shared" si="3"/>
        <v>0</v>
      </c>
      <c r="D206" s="80" t="s">
        <v>1565</v>
      </c>
      <c r="E206" s="81" t="s">
        <v>1229</v>
      </c>
      <c r="F206" s="82" t="s">
        <v>1548</v>
      </c>
      <c r="G206" s="35" t="s">
        <v>6</v>
      </c>
      <c r="H206" s="37">
        <v>-4.202460493779567</v>
      </c>
      <c r="I206" s="37">
        <v>0.13576248469054697</v>
      </c>
      <c r="J206" s="83" t="s">
        <v>1802</v>
      </c>
      <c r="K206" s="35">
        <v>26.2</v>
      </c>
      <c r="L206" s="79">
        <v>57.3</v>
      </c>
      <c r="M206" s="84">
        <v>34.0</v>
      </c>
      <c r="N206" s="84">
        <v>7.0</v>
      </c>
      <c r="O206" s="96" t="s">
        <v>69</v>
      </c>
      <c r="P206" s="96" t="s">
        <v>69</v>
      </c>
      <c r="Q206" s="96" t="s">
        <v>69</v>
      </c>
      <c r="R206" s="96" t="s">
        <v>69</v>
      </c>
      <c r="S206" s="96" t="s">
        <v>69</v>
      </c>
      <c r="T206" s="96" t="s">
        <v>69</v>
      </c>
      <c r="U206" s="96" t="s">
        <v>69</v>
      </c>
      <c r="V206" s="96" t="s">
        <v>69</v>
      </c>
      <c r="W206" s="96" t="s">
        <v>69</v>
      </c>
      <c r="X206" s="96" t="s">
        <v>69</v>
      </c>
      <c r="Y206" s="95">
        <v>0.793480612431333</v>
      </c>
      <c r="Z206" s="95">
        <v>-2.7659825124945003</v>
      </c>
      <c r="AA206" s="95">
        <v>-2.2299585937164</v>
      </c>
      <c r="AB206" s="95">
        <v>0.0</v>
      </c>
      <c r="AC206" s="34" t="str">
        <f t="shared" ref="AC206:AP206" si="206">LET(
  skater, IFERROR(INDEX(AllProj, MATCH($E206, AllProjNames, 0), MATCH(AC$2, AllProjCats, 0) + 1), ""),
  goalie, IFERROR(INDEX(AllGProj, MATCH($E206, AllGProjNames, 0), MATCH(AC$2, AllGProjCats, 0) + 1), ""),
  val, IF(skater &lt;&gt; "", skater, goalie),
  IF(OR($E206="", AC$2="", val=""), "", val * AC$1)
)</f>
        <v/>
      </c>
      <c r="AD206" s="34" t="str">
        <f t="shared" si="206"/>
        <v/>
      </c>
      <c r="AE206" s="34" t="str">
        <f t="shared" si="206"/>
        <v/>
      </c>
      <c r="AF206" s="34" t="str">
        <f t="shared" si="206"/>
        <v/>
      </c>
      <c r="AG206" s="34" t="str">
        <f t="shared" si="206"/>
        <v/>
      </c>
      <c r="AH206" s="34" t="str">
        <f t="shared" si="206"/>
        <v/>
      </c>
      <c r="AI206" s="34" t="str">
        <f t="shared" si="206"/>
        <v/>
      </c>
      <c r="AJ206" s="34" t="str">
        <f t="shared" si="206"/>
        <v/>
      </c>
      <c r="AK206" s="34" t="str">
        <f t="shared" si="206"/>
        <v/>
      </c>
      <c r="AL206" s="34" t="str">
        <f t="shared" si="206"/>
        <v/>
      </c>
      <c r="AM206" s="34" t="str">
        <f t="shared" si="206"/>
        <v/>
      </c>
      <c r="AN206" s="34" t="str">
        <f t="shared" si="206"/>
        <v/>
      </c>
      <c r="AO206" s="34" t="str">
        <f t="shared" si="206"/>
        <v/>
      </c>
      <c r="AP206" s="34" t="str">
        <f t="shared" si="206"/>
        <v/>
      </c>
      <c r="AQ206" s="76" t="s">
        <v>240</v>
      </c>
      <c r="AR206" s="77"/>
      <c r="AS206" s="77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  <c r="BF206" s="77"/>
      <c r="BG206" s="77"/>
      <c r="BH206" s="77"/>
      <c r="BI206" s="77"/>
      <c r="BJ206" s="77"/>
      <c r="BK206" s="77"/>
      <c r="BL206" s="77"/>
      <c r="BM206" s="78"/>
    </row>
    <row r="207">
      <c r="A207" s="41" t="s">
        <v>69</v>
      </c>
      <c r="B207" s="41" t="b">
        <v>0</v>
      </c>
      <c r="C207" s="41" t="b">
        <f t="shared" si="3"/>
        <v>1</v>
      </c>
      <c r="D207" s="42" t="s">
        <v>825</v>
      </c>
      <c r="E207" s="43" t="s">
        <v>1803</v>
      </c>
      <c r="F207" s="44" t="s">
        <v>1419</v>
      </c>
      <c r="G207" s="29" t="s">
        <v>832</v>
      </c>
      <c r="H207" s="32">
        <v>-4.208661916442449</v>
      </c>
      <c r="I207" s="32">
        <v>1.233475692285408</v>
      </c>
      <c r="J207" s="45" t="s">
        <v>1804</v>
      </c>
      <c r="K207" s="29">
        <v>23.1</v>
      </c>
      <c r="L207" s="41">
        <v>81.99014705882352</v>
      </c>
      <c r="M207" s="46">
        <v>23.0</v>
      </c>
      <c r="N207" s="46">
        <v>7.0</v>
      </c>
      <c r="O207" s="47">
        <v>0.3226500174695915</v>
      </c>
      <c r="P207" s="47">
        <v>-0.13004889009639253</v>
      </c>
      <c r="Q207" s="47">
        <v>0.8842837581561758</v>
      </c>
      <c r="R207" s="47">
        <v>-0.6192376288219841</v>
      </c>
      <c r="S207" s="47">
        <v>-0.2492057708397147</v>
      </c>
      <c r="T207" s="47">
        <v>-0.7778340596418449</v>
      </c>
      <c r="U207" s="47">
        <v>0.2522782049342907</v>
      </c>
      <c r="V207" s="47">
        <v>0.0</v>
      </c>
      <c r="W207" s="47">
        <v>-2.2811933946898657</v>
      </c>
      <c r="X207" s="47">
        <v>-1.6103541529127052</v>
      </c>
      <c r="Y207" s="50" t="s">
        <v>69</v>
      </c>
      <c r="Z207" s="50" t="s">
        <v>69</v>
      </c>
      <c r="AA207" s="50" t="s">
        <v>69</v>
      </c>
      <c r="AB207" s="50" t="s">
        <v>69</v>
      </c>
      <c r="AC207" s="34" t="str">
        <f t="shared" ref="AC207:AP207" si="207">LET(
  skater, IFERROR(INDEX(AllProj, MATCH($E207, AllProjNames, 0), MATCH(AC$2, AllProjCats, 0) + 1), ""),
  goalie, IFERROR(INDEX(AllGProj, MATCH($E207, AllGProjNames, 0), MATCH(AC$2, AllGProjCats, 0) + 1), ""),
  val, IF(skater &lt;&gt; "", skater, goalie),
  IF(OR($E207="", AC$2="", val=""), "", val * AC$1)
)</f>
        <v/>
      </c>
      <c r="AD207" s="34" t="str">
        <f t="shared" si="207"/>
        <v/>
      </c>
      <c r="AE207" s="34" t="str">
        <f t="shared" si="207"/>
        <v/>
      </c>
      <c r="AF207" s="34" t="str">
        <f t="shared" si="207"/>
        <v/>
      </c>
      <c r="AG207" s="34" t="str">
        <f t="shared" si="207"/>
        <v/>
      </c>
      <c r="AH207" s="34" t="str">
        <f t="shared" si="207"/>
        <v/>
      </c>
      <c r="AI207" s="34" t="str">
        <f t="shared" si="207"/>
        <v/>
      </c>
      <c r="AJ207" s="34" t="str">
        <f t="shared" si="207"/>
        <v/>
      </c>
      <c r="AK207" s="34" t="str">
        <f t="shared" si="207"/>
        <v/>
      </c>
      <c r="AL207" s="34" t="str">
        <f t="shared" si="207"/>
        <v/>
      </c>
      <c r="AM207" s="34" t="str">
        <f t="shared" si="207"/>
        <v/>
      </c>
      <c r="AN207" s="34" t="str">
        <f t="shared" si="207"/>
        <v/>
      </c>
      <c r="AO207" s="34" t="str">
        <f t="shared" si="207"/>
        <v/>
      </c>
      <c r="AP207" s="34" t="str">
        <f t="shared" si="207"/>
        <v/>
      </c>
      <c r="AQ207" s="76" t="s">
        <v>241</v>
      </c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  <c r="BF207" s="77"/>
      <c r="BG207" s="77"/>
      <c r="BH207" s="77"/>
      <c r="BI207" s="77"/>
      <c r="BJ207" s="77"/>
      <c r="BK207" s="77"/>
      <c r="BL207" s="77"/>
      <c r="BM207" s="78"/>
    </row>
    <row r="208">
      <c r="A208" s="79" t="s">
        <v>69</v>
      </c>
      <c r="B208" s="79" t="b">
        <v>0</v>
      </c>
      <c r="C208" s="79" t="b">
        <f t="shared" si="3"/>
        <v>1</v>
      </c>
      <c r="D208" s="80" t="s">
        <v>826</v>
      </c>
      <c r="E208" s="81" t="s">
        <v>1805</v>
      </c>
      <c r="F208" s="82" t="s">
        <v>1416</v>
      </c>
      <c r="G208" s="35" t="s">
        <v>832</v>
      </c>
      <c r="H208" s="37">
        <v>-4.21150140260198</v>
      </c>
      <c r="I208" s="37">
        <v>1.2306362061258769</v>
      </c>
      <c r="J208" s="83" t="s">
        <v>1806</v>
      </c>
      <c r="K208" s="35">
        <v>20.8</v>
      </c>
      <c r="L208" s="79">
        <v>82.82735294117647</v>
      </c>
      <c r="M208" s="84">
        <v>29.0</v>
      </c>
      <c r="N208" s="84">
        <v>7.0</v>
      </c>
      <c r="O208" s="85">
        <v>0.23630991657308925</v>
      </c>
      <c r="P208" s="85">
        <v>1.0467739279623693</v>
      </c>
      <c r="Q208" s="85">
        <v>-0.7047624538169457</v>
      </c>
      <c r="R208" s="85">
        <v>-0.7588797682806414</v>
      </c>
      <c r="S208" s="85">
        <v>0.8801996798691508</v>
      </c>
      <c r="T208" s="85">
        <v>-0.7848207425926299</v>
      </c>
      <c r="U208" s="85">
        <v>-0.34739395849251004</v>
      </c>
      <c r="V208" s="85">
        <v>0.0</v>
      </c>
      <c r="W208" s="85">
        <v>-1.9033890896967665</v>
      </c>
      <c r="X208" s="85">
        <v>-1.875538914127096</v>
      </c>
      <c r="Y208" s="50" t="s">
        <v>69</v>
      </c>
      <c r="Z208" s="50" t="s">
        <v>69</v>
      </c>
      <c r="AA208" s="50" t="s">
        <v>69</v>
      </c>
      <c r="AB208" s="50" t="s">
        <v>69</v>
      </c>
      <c r="AC208" s="34" t="str">
        <f t="shared" ref="AC208:AP208" si="208">LET(
  skater, IFERROR(INDEX(AllProj, MATCH($E208, AllProjNames, 0), MATCH(AC$2, AllProjCats, 0) + 1), ""),
  goalie, IFERROR(INDEX(AllGProj, MATCH($E208, AllGProjNames, 0), MATCH(AC$2, AllGProjCats, 0) + 1), ""),
  val, IF(skater &lt;&gt; "", skater, goalie),
  IF(OR($E208="", AC$2="", val=""), "", val * AC$1)
)</f>
        <v/>
      </c>
      <c r="AD208" s="34" t="str">
        <f t="shared" si="208"/>
        <v/>
      </c>
      <c r="AE208" s="34" t="str">
        <f t="shared" si="208"/>
        <v/>
      </c>
      <c r="AF208" s="34" t="str">
        <f t="shared" si="208"/>
        <v/>
      </c>
      <c r="AG208" s="34" t="str">
        <f t="shared" si="208"/>
        <v/>
      </c>
      <c r="AH208" s="34" t="str">
        <f t="shared" si="208"/>
        <v/>
      </c>
      <c r="AI208" s="34" t="str">
        <f t="shared" si="208"/>
        <v/>
      </c>
      <c r="AJ208" s="34" t="str">
        <f t="shared" si="208"/>
        <v/>
      </c>
      <c r="AK208" s="34" t="str">
        <f t="shared" si="208"/>
        <v/>
      </c>
      <c r="AL208" s="34" t="str">
        <f t="shared" si="208"/>
        <v/>
      </c>
      <c r="AM208" s="34" t="str">
        <f t="shared" si="208"/>
        <v/>
      </c>
      <c r="AN208" s="34" t="str">
        <f t="shared" si="208"/>
        <v/>
      </c>
      <c r="AO208" s="34" t="str">
        <f t="shared" si="208"/>
        <v/>
      </c>
      <c r="AP208" s="34" t="str">
        <f t="shared" si="208"/>
        <v/>
      </c>
      <c r="AQ208" s="76" t="s">
        <v>242</v>
      </c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  <c r="BF208" s="77"/>
      <c r="BG208" s="77"/>
      <c r="BH208" s="77"/>
      <c r="BI208" s="77"/>
      <c r="BJ208" s="77"/>
      <c r="BK208" s="77"/>
      <c r="BL208" s="77"/>
      <c r="BM208" s="78"/>
    </row>
    <row r="209">
      <c r="A209" s="41" t="s">
        <v>69</v>
      </c>
      <c r="B209" s="41" t="b">
        <v>0</v>
      </c>
      <c r="C209" s="41" t="b">
        <f t="shared" si="3"/>
        <v>1</v>
      </c>
      <c r="D209" s="42" t="s">
        <v>22</v>
      </c>
      <c r="E209" s="43" t="s">
        <v>1807</v>
      </c>
      <c r="F209" s="44" t="s">
        <v>1706</v>
      </c>
      <c r="G209" s="29" t="s">
        <v>837</v>
      </c>
      <c r="H209" s="32">
        <v>-4.265765600718955</v>
      </c>
      <c r="I209" s="32">
        <v>1.2640931712099466</v>
      </c>
      <c r="J209" s="45" t="s">
        <v>1808</v>
      </c>
      <c r="K209" s="29">
        <v>25.3</v>
      </c>
      <c r="L209" s="41">
        <v>82.90529411764705</v>
      </c>
      <c r="M209" s="46">
        <v>31.0</v>
      </c>
      <c r="N209" s="46">
        <v>7.0</v>
      </c>
      <c r="O209" s="47">
        <v>-1.1293843386124784</v>
      </c>
      <c r="P209" s="47">
        <v>0.36721322801752165</v>
      </c>
      <c r="Q209" s="47">
        <v>-1.5447215937897918</v>
      </c>
      <c r="R209" s="47">
        <v>0.12536394939385329</v>
      </c>
      <c r="S209" s="47">
        <v>-0.15282775287418313</v>
      </c>
      <c r="T209" s="47">
        <v>-0.2151887876927237</v>
      </c>
      <c r="U209" s="47">
        <v>-0.9800495432487144</v>
      </c>
      <c r="V209" s="47">
        <v>0.0</v>
      </c>
      <c r="W209" s="47">
        <v>-1.3061552862185861</v>
      </c>
      <c r="X209" s="47">
        <v>0.5699845243061487</v>
      </c>
      <c r="Y209" s="50" t="s">
        <v>69</v>
      </c>
      <c r="Z209" s="50" t="s">
        <v>69</v>
      </c>
      <c r="AA209" s="50" t="s">
        <v>69</v>
      </c>
      <c r="AB209" s="50" t="s">
        <v>69</v>
      </c>
      <c r="AC209" s="34" t="str">
        <f t="shared" ref="AC209:AP209" si="209">LET(
  skater, IFERROR(INDEX(AllProj, MATCH($E209, AllProjNames, 0), MATCH(AC$2, AllProjCats, 0) + 1), ""),
  goalie, IFERROR(INDEX(AllGProj, MATCH($E209, AllGProjNames, 0), MATCH(AC$2, AllGProjCats, 0) + 1), ""),
  val, IF(skater &lt;&gt; "", skater, goalie),
  IF(OR($E209="", AC$2="", val=""), "", val * AC$1)
)</f>
        <v/>
      </c>
      <c r="AD209" s="34" t="str">
        <f t="shared" si="209"/>
        <v/>
      </c>
      <c r="AE209" s="34" t="str">
        <f t="shared" si="209"/>
        <v/>
      </c>
      <c r="AF209" s="34" t="str">
        <f t="shared" si="209"/>
        <v/>
      </c>
      <c r="AG209" s="34" t="str">
        <f t="shared" si="209"/>
        <v/>
      </c>
      <c r="AH209" s="34" t="str">
        <f t="shared" si="209"/>
        <v/>
      </c>
      <c r="AI209" s="34" t="str">
        <f t="shared" si="209"/>
        <v/>
      </c>
      <c r="AJ209" s="34" t="str">
        <f t="shared" si="209"/>
        <v/>
      </c>
      <c r="AK209" s="34" t="str">
        <f t="shared" si="209"/>
        <v/>
      </c>
      <c r="AL209" s="34" t="str">
        <f t="shared" si="209"/>
        <v/>
      </c>
      <c r="AM209" s="34" t="str">
        <f t="shared" si="209"/>
        <v/>
      </c>
      <c r="AN209" s="34" t="str">
        <f t="shared" si="209"/>
        <v/>
      </c>
      <c r="AO209" s="34" t="str">
        <f t="shared" si="209"/>
        <v/>
      </c>
      <c r="AP209" s="34" t="str">
        <f t="shared" si="209"/>
        <v/>
      </c>
      <c r="AQ209" s="76" t="s">
        <v>243</v>
      </c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  <c r="BM209" s="78"/>
    </row>
    <row r="210">
      <c r="A210" s="79">
        <v>2.5714285714285716</v>
      </c>
      <c r="B210" s="79" t="b">
        <v>0</v>
      </c>
      <c r="C210" s="79" t="b">
        <f t="shared" si="3"/>
        <v>0</v>
      </c>
      <c r="D210" s="80" t="s">
        <v>1565</v>
      </c>
      <c r="E210" s="81" t="s">
        <v>1095</v>
      </c>
      <c r="F210" s="82" t="s">
        <v>1464</v>
      </c>
      <c r="G210" s="35" t="s">
        <v>6</v>
      </c>
      <c r="H210" s="37">
        <v>-4.269031346100174</v>
      </c>
      <c r="I210" s="37">
        <v>0.06919163236993953</v>
      </c>
      <c r="J210" s="83" t="s">
        <v>1809</v>
      </c>
      <c r="K210" s="35">
        <v>34.1</v>
      </c>
      <c r="L210" s="79">
        <v>32.4</v>
      </c>
      <c r="M210" s="84">
        <v>24.0</v>
      </c>
      <c r="N210" s="84">
        <v>7.0</v>
      </c>
      <c r="O210" s="96" t="s">
        <v>69</v>
      </c>
      <c r="P210" s="96" t="s">
        <v>69</v>
      </c>
      <c r="Q210" s="96" t="s">
        <v>69</v>
      </c>
      <c r="R210" s="96" t="s">
        <v>69</v>
      </c>
      <c r="S210" s="96" t="s">
        <v>69</v>
      </c>
      <c r="T210" s="96" t="s">
        <v>69</v>
      </c>
      <c r="U210" s="96" t="s">
        <v>69</v>
      </c>
      <c r="V210" s="96" t="s">
        <v>69</v>
      </c>
      <c r="W210" s="96" t="s">
        <v>69</v>
      </c>
      <c r="X210" s="96" t="s">
        <v>69</v>
      </c>
      <c r="Y210" s="95">
        <v>-1.7237569009313598</v>
      </c>
      <c r="Z210" s="95">
        <v>-0.6462031704929136</v>
      </c>
      <c r="AA210" s="95">
        <v>-1.8990712746759006</v>
      </c>
      <c r="AB210" s="95">
        <v>0.0</v>
      </c>
      <c r="AC210" s="34" t="str">
        <f t="shared" ref="AC210:AP210" si="210">LET(
  skater, IFERROR(INDEX(AllProj, MATCH($E210, AllProjNames, 0), MATCH(AC$2, AllProjCats, 0) + 1), ""),
  goalie, IFERROR(INDEX(AllGProj, MATCH($E210, AllGProjNames, 0), MATCH(AC$2, AllGProjCats, 0) + 1), ""),
  val, IF(skater &lt;&gt; "", skater, goalie),
  IF(OR($E210="", AC$2="", val=""), "", val * AC$1)
)</f>
        <v/>
      </c>
      <c r="AD210" s="34" t="str">
        <f t="shared" si="210"/>
        <v/>
      </c>
      <c r="AE210" s="34" t="str">
        <f t="shared" si="210"/>
        <v/>
      </c>
      <c r="AF210" s="34" t="str">
        <f t="shared" si="210"/>
        <v/>
      </c>
      <c r="AG210" s="34" t="str">
        <f t="shared" si="210"/>
        <v/>
      </c>
      <c r="AH210" s="34" t="str">
        <f t="shared" si="210"/>
        <v/>
      </c>
      <c r="AI210" s="34" t="str">
        <f t="shared" si="210"/>
        <v/>
      </c>
      <c r="AJ210" s="34" t="str">
        <f t="shared" si="210"/>
        <v/>
      </c>
      <c r="AK210" s="34" t="str">
        <f t="shared" si="210"/>
        <v/>
      </c>
      <c r="AL210" s="34" t="str">
        <f t="shared" si="210"/>
        <v/>
      </c>
      <c r="AM210" s="34" t="str">
        <f t="shared" si="210"/>
        <v/>
      </c>
      <c r="AN210" s="34" t="str">
        <f t="shared" si="210"/>
        <v/>
      </c>
      <c r="AO210" s="34" t="str">
        <f t="shared" si="210"/>
        <v/>
      </c>
      <c r="AP210" s="34" t="str">
        <f t="shared" si="210"/>
        <v/>
      </c>
      <c r="AQ210" s="76" t="s">
        <v>244</v>
      </c>
      <c r="AR210" s="77"/>
      <c r="AS210" s="77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  <c r="BF210" s="77"/>
      <c r="BG210" s="77"/>
      <c r="BH210" s="77"/>
      <c r="BI210" s="77"/>
      <c r="BJ210" s="77"/>
      <c r="BK210" s="77"/>
      <c r="BL210" s="77"/>
      <c r="BM210" s="78"/>
    </row>
    <row r="211">
      <c r="A211" s="41" t="s">
        <v>69</v>
      </c>
      <c r="B211" s="41" t="b">
        <v>0</v>
      </c>
      <c r="C211" s="41" t="b">
        <f t="shared" si="3"/>
        <v>1</v>
      </c>
      <c r="D211" s="42" t="s">
        <v>773</v>
      </c>
      <c r="E211" s="43" t="s">
        <v>1810</v>
      </c>
      <c r="F211" s="44" t="s">
        <v>1563</v>
      </c>
      <c r="G211" s="29" t="s">
        <v>284</v>
      </c>
      <c r="H211" s="32">
        <v>-4.270140518788777</v>
      </c>
      <c r="I211" s="32">
        <v>0.7679255013943083</v>
      </c>
      <c r="J211" s="45" t="s">
        <v>1811</v>
      </c>
      <c r="K211" s="29">
        <v>25.5</v>
      </c>
      <c r="L211" s="41">
        <v>77.82029411764705</v>
      </c>
      <c r="M211" s="46">
        <v>29.0</v>
      </c>
      <c r="N211" s="46">
        <v>6.0</v>
      </c>
      <c r="O211" s="47">
        <v>0.27125338602959687</v>
      </c>
      <c r="P211" s="47">
        <v>0.5492093601367818</v>
      </c>
      <c r="Q211" s="47">
        <v>-1.4747154092062653</v>
      </c>
      <c r="R211" s="47">
        <v>0.21872055385761238</v>
      </c>
      <c r="S211" s="47">
        <v>0.386490579209381</v>
      </c>
      <c r="T211" s="47">
        <v>-0.7792632118816654</v>
      </c>
      <c r="U211" s="47">
        <v>-0.007948155621698488</v>
      </c>
      <c r="V211" s="47">
        <v>0.0</v>
      </c>
      <c r="W211" s="47">
        <v>-1.6477521520672747</v>
      </c>
      <c r="X211" s="47">
        <v>-1.786135469245245</v>
      </c>
      <c r="Y211" s="50" t="s">
        <v>69</v>
      </c>
      <c r="Z211" s="50" t="s">
        <v>69</v>
      </c>
      <c r="AA211" s="50" t="s">
        <v>69</v>
      </c>
      <c r="AB211" s="50" t="s">
        <v>69</v>
      </c>
      <c r="AC211" s="34" t="str">
        <f t="shared" ref="AC211:AP211" si="211">LET(
  skater, IFERROR(INDEX(AllProj, MATCH($E211, AllProjNames, 0), MATCH(AC$2, AllProjCats, 0) + 1), ""),
  goalie, IFERROR(INDEX(AllGProj, MATCH($E211, AllGProjNames, 0), MATCH(AC$2, AllGProjCats, 0) + 1), ""),
  val, IF(skater &lt;&gt; "", skater, goalie),
  IF(OR($E211="", AC$2="", val=""), "", val * AC$1)
)</f>
        <v/>
      </c>
      <c r="AD211" s="34" t="str">
        <f t="shared" si="211"/>
        <v/>
      </c>
      <c r="AE211" s="34" t="str">
        <f t="shared" si="211"/>
        <v/>
      </c>
      <c r="AF211" s="34" t="str">
        <f t="shared" si="211"/>
        <v/>
      </c>
      <c r="AG211" s="34" t="str">
        <f t="shared" si="211"/>
        <v/>
      </c>
      <c r="AH211" s="34" t="str">
        <f t="shared" si="211"/>
        <v/>
      </c>
      <c r="AI211" s="34" t="str">
        <f t="shared" si="211"/>
        <v/>
      </c>
      <c r="AJ211" s="34" t="str">
        <f t="shared" si="211"/>
        <v/>
      </c>
      <c r="AK211" s="34" t="str">
        <f t="shared" si="211"/>
        <v/>
      </c>
      <c r="AL211" s="34" t="str">
        <f t="shared" si="211"/>
        <v/>
      </c>
      <c r="AM211" s="34" t="str">
        <f t="shared" si="211"/>
        <v/>
      </c>
      <c r="AN211" s="34" t="str">
        <f t="shared" si="211"/>
        <v/>
      </c>
      <c r="AO211" s="34" t="str">
        <f t="shared" si="211"/>
        <v/>
      </c>
      <c r="AP211" s="34" t="str">
        <f t="shared" si="211"/>
        <v/>
      </c>
      <c r="AQ211" s="76" t="s">
        <v>245</v>
      </c>
      <c r="AR211" s="77"/>
      <c r="AS211" s="77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  <c r="BF211" s="77"/>
      <c r="BG211" s="77"/>
      <c r="BH211" s="77"/>
      <c r="BI211" s="77"/>
      <c r="BJ211" s="77"/>
      <c r="BK211" s="77"/>
      <c r="BL211" s="77"/>
      <c r="BM211" s="78"/>
    </row>
    <row r="212">
      <c r="A212" s="79">
        <v>3.0714285714285716</v>
      </c>
      <c r="B212" s="79" t="b">
        <v>0</v>
      </c>
      <c r="C212" s="79" t="b">
        <f t="shared" si="3"/>
        <v>0</v>
      </c>
      <c r="D212" s="80" t="s">
        <v>1565</v>
      </c>
      <c r="E212" s="81" t="s">
        <v>1389</v>
      </c>
      <c r="F212" s="82" t="s">
        <v>1517</v>
      </c>
      <c r="G212" s="35" t="s">
        <v>6</v>
      </c>
      <c r="H212" s="37">
        <v>-4.277075655111934</v>
      </c>
      <c r="I212" s="37">
        <v>0.061147323358179406</v>
      </c>
      <c r="J212" s="83" t="s">
        <v>1812</v>
      </c>
      <c r="K212" s="35">
        <v>26.5</v>
      </c>
      <c r="L212" s="79">
        <v>24.9</v>
      </c>
      <c r="M212" s="84">
        <v>18.0</v>
      </c>
      <c r="N212" s="84">
        <v>6.0</v>
      </c>
      <c r="O212" s="96" t="s">
        <v>69</v>
      </c>
      <c r="P212" s="96" t="s">
        <v>69</v>
      </c>
      <c r="Q212" s="96" t="s">
        <v>69</v>
      </c>
      <c r="R212" s="96" t="s">
        <v>69</v>
      </c>
      <c r="S212" s="96" t="s">
        <v>69</v>
      </c>
      <c r="T212" s="96" t="s">
        <v>69</v>
      </c>
      <c r="U212" s="96" t="s">
        <v>69</v>
      </c>
      <c r="V212" s="96" t="s">
        <v>69</v>
      </c>
      <c r="W212" s="96" t="s">
        <v>69</v>
      </c>
      <c r="X212" s="96" t="s">
        <v>69</v>
      </c>
      <c r="Y212" s="95">
        <v>-2.7483809067670704</v>
      </c>
      <c r="Z212" s="95">
        <v>-1.3392079553780478</v>
      </c>
      <c r="AA212" s="95">
        <v>-0.18948679296681664</v>
      </c>
      <c r="AB212" s="95">
        <v>0.0</v>
      </c>
      <c r="AC212" s="34" t="str">
        <f t="shared" ref="AC212:AP212" si="212">LET(
  skater, IFERROR(INDEX(AllProj, MATCH($E212, AllProjNames, 0), MATCH(AC$2, AllProjCats, 0) + 1), ""),
  goalie, IFERROR(INDEX(AllGProj, MATCH($E212, AllGProjNames, 0), MATCH(AC$2, AllGProjCats, 0) + 1), ""),
  val, IF(skater &lt;&gt; "", skater, goalie),
  IF(OR($E212="", AC$2="", val=""), "", val * AC$1)
)</f>
        <v/>
      </c>
      <c r="AD212" s="34" t="str">
        <f t="shared" si="212"/>
        <v/>
      </c>
      <c r="AE212" s="34" t="str">
        <f t="shared" si="212"/>
        <v/>
      </c>
      <c r="AF212" s="34" t="str">
        <f t="shared" si="212"/>
        <v/>
      </c>
      <c r="AG212" s="34" t="str">
        <f t="shared" si="212"/>
        <v/>
      </c>
      <c r="AH212" s="34" t="str">
        <f t="shared" si="212"/>
        <v/>
      </c>
      <c r="AI212" s="34" t="str">
        <f t="shared" si="212"/>
        <v/>
      </c>
      <c r="AJ212" s="34" t="str">
        <f t="shared" si="212"/>
        <v/>
      </c>
      <c r="AK212" s="34" t="str">
        <f t="shared" si="212"/>
        <v/>
      </c>
      <c r="AL212" s="34" t="str">
        <f t="shared" si="212"/>
        <v/>
      </c>
      <c r="AM212" s="34" t="str">
        <f t="shared" si="212"/>
        <v/>
      </c>
      <c r="AN212" s="34" t="str">
        <f t="shared" si="212"/>
        <v/>
      </c>
      <c r="AO212" s="34" t="str">
        <f t="shared" si="212"/>
        <v/>
      </c>
      <c r="AP212" s="34" t="str">
        <f t="shared" si="212"/>
        <v/>
      </c>
      <c r="AQ212" s="76" t="s">
        <v>246</v>
      </c>
      <c r="AR212" s="77"/>
      <c r="AS212" s="77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  <c r="BF212" s="77"/>
      <c r="BG212" s="77"/>
      <c r="BH212" s="77"/>
      <c r="BI212" s="77"/>
      <c r="BJ212" s="77"/>
      <c r="BK212" s="77"/>
      <c r="BL212" s="77"/>
      <c r="BM212" s="78"/>
    </row>
    <row r="213">
      <c r="A213" s="41" t="s">
        <v>69</v>
      </c>
      <c r="B213" s="41" t="b">
        <v>0</v>
      </c>
      <c r="C213" s="41" t="b">
        <f t="shared" si="3"/>
        <v>1</v>
      </c>
      <c r="D213" s="42" t="s">
        <v>824</v>
      </c>
      <c r="E213" s="43" t="s">
        <v>1813</v>
      </c>
      <c r="F213" s="44" t="s">
        <v>1706</v>
      </c>
      <c r="G213" s="29" t="s">
        <v>829</v>
      </c>
      <c r="H213" s="32">
        <v>-4.278973876000832</v>
      </c>
      <c r="I213" s="32">
        <v>1.1631637327270257</v>
      </c>
      <c r="J213" s="45" t="s">
        <v>1814</v>
      </c>
      <c r="K213" s="29">
        <v>21.2</v>
      </c>
      <c r="L213" s="41">
        <v>67.47058823529412</v>
      </c>
      <c r="M213" s="46">
        <v>31.0</v>
      </c>
      <c r="N213" s="46">
        <v>7.0</v>
      </c>
      <c r="O213" s="47">
        <v>0.8961421577593828</v>
      </c>
      <c r="P213" s="47">
        <v>1.000853038725475</v>
      </c>
      <c r="Q213" s="47">
        <v>-4.109693848978301</v>
      </c>
      <c r="R213" s="47">
        <v>-0.007824889209512192</v>
      </c>
      <c r="S213" s="47">
        <v>1.0478624356162984</v>
      </c>
      <c r="T213" s="47">
        <v>-0.7794276000185447</v>
      </c>
      <c r="U213" s="47">
        <v>1.1444136930484619</v>
      </c>
      <c r="V213" s="47">
        <v>0.27244686597389484</v>
      </c>
      <c r="W213" s="47">
        <v>-1.9209346241026157</v>
      </c>
      <c r="X213" s="47">
        <v>-1.8228111048153703</v>
      </c>
      <c r="Y213" s="50" t="s">
        <v>69</v>
      </c>
      <c r="Z213" s="50" t="s">
        <v>69</v>
      </c>
      <c r="AA213" s="50" t="s">
        <v>69</v>
      </c>
      <c r="AB213" s="50" t="s">
        <v>69</v>
      </c>
      <c r="AC213" s="34" t="str">
        <f t="shared" ref="AC213:AP213" si="213">LET(
  skater, IFERROR(INDEX(AllProj, MATCH($E213, AllProjNames, 0), MATCH(AC$2, AllProjCats, 0) + 1), ""),
  goalie, IFERROR(INDEX(AllGProj, MATCH($E213, AllGProjNames, 0), MATCH(AC$2, AllGProjCats, 0) + 1), ""),
  val, IF(skater &lt;&gt; "", skater, goalie),
  IF(OR($E213="", AC$2="", val=""), "", val * AC$1)
)</f>
        <v/>
      </c>
      <c r="AD213" s="34" t="str">
        <f t="shared" si="213"/>
        <v/>
      </c>
      <c r="AE213" s="34" t="str">
        <f t="shared" si="213"/>
        <v/>
      </c>
      <c r="AF213" s="34" t="str">
        <f t="shared" si="213"/>
        <v/>
      </c>
      <c r="AG213" s="34" t="str">
        <f t="shared" si="213"/>
        <v/>
      </c>
      <c r="AH213" s="34" t="str">
        <f t="shared" si="213"/>
        <v/>
      </c>
      <c r="AI213" s="34" t="str">
        <f t="shared" si="213"/>
        <v/>
      </c>
      <c r="AJ213" s="34" t="str">
        <f t="shared" si="213"/>
        <v/>
      </c>
      <c r="AK213" s="34" t="str">
        <f t="shared" si="213"/>
        <v/>
      </c>
      <c r="AL213" s="34" t="str">
        <f t="shared" si="213"/>
        <v/>
      </c>
      <c r="AM213" s="34" t="str">
        <f t="shared" si="213"/>
        <v/>
      </c>
      <c r="AN213" s="34" t="str">
        <f t="shared" si="213"/>
        <v/>
      </c>
      <c r="AO213" s="34" t="str">
        <f t="shared" si="213"/>
        <v/>
      </c>
      <c r="AP213" s="34" t="str">
        <f t="shared" si="213"/>
        <v/>
      </c>
      <c r="AQ213" s="76" t="s">
        <v>247</v>
      </c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  <c r="BF213" s="77"/>
      <c r="BG213" s="77"/>
      <c r="BH213" s="77"/>
      <c r="BI213" s="77"/>
      <c r="BJ213" s="77"/>
      <c r="BK213" s="77"/>
      <c r="BL213" s="77"/>
      <c r="BM213" s="78"/>
    </row>
    <row r="214">
      <c r="A214" s="79">
        <v>2.4285714285714284</v>
      </c>
      <c r="B214" s="79" t="b">
        <v>0</v>
      </c>
      <c r="C214" s="79" t="b">
        <f t="shared" si="3"/>
        <v>0</v>
      </c>
      <c r="D214" s="80" t="s">
        <v>1565</v>
      </c>
      <c r="E214" s="81" t="s">
        <v>872</v>
      </c>
      <c r="F214" s="82" t="s">
        <v>1512</v>
      </c>
      <c r="G214" s="35" t="s">
        <v>284</v>
      </c>
      <c r="H214" s="37">
        <v>-4.326907694282648</v>
      </c>
      <c r="I214" s="37">
        <v>0.7111583259004375</v>
      </c>
      <c r="J214" s="83" t="s">
        <v>1815</v>
      </c>
      <c r="K214" s="35">
        <v>23.6</v>
      </c>
      <c r="L214" s="79">
        <v>79.44044117647059</v>
      </c>
      <c r="M214" s="84">
        <v>21.0</v>
      </c>
      <c r="N214" s="84">
        <v>7.0</v>
      </c>
      <c r="O214" s="85">
        <v>0.12256330867626833</v>
      </c>
      <c r="P214" s="85">
        <v>-0.22983458119371888</v>
      </c>
      <c r="Q214" s="85">
        <v>-2.1623712145580902</v>
      </c>
      <c r="R214" s="85">
        <v>0.2042692321760564</v>
      </c>
      <c r="S214" s="85">
        <v>-0.19622564754200467</v>
      </c>
      <c r="T214" s="85">
        <v>-0.7534193564873214</v>
      </c>
      <c r="U214" s="85">
        <v>0.04758153249763023</v>
      </c>
      <c r="V214" s="85">
        <v>1.0077023878557847</v>
      </c>
      <c r="W214" s="85">
        <v>-0.7680451595056387</v>
      </c>
      <c r="X214" s="85">
        <v>-1.599128196201613</v>
      </c>
      <c r="Y214" s="50" t="s">
        <v>69</v>
      </c>
      <c r="Z214" s="50" t="s">
        <v>69</v>
      </c>
      <c r="AA214" s="50" t="s">
        <v>69</v>
      </c>
      <c r="AB214" s="50" t="s">
        <v>69</v>
      </c>
      <c r="AC214" s="34" t="str">
        <f t="shared" ref="AC214:AP214" si="214">LET(
  skater, IFERROR(INDEX(AllProj, MATCH($E214, AllProjNames, 0), MATCH(AC$2, AllProjCats, 0) + 1), ""),
  goalie, IFERROR(INDEX(AllGProj, MATCH($E214, AllGProjNames, 0), MATCH(AC$2, AllGProjCats, 0) + 1), ""),
  val, IF(skater &lt;&gt; "", skater, goalie),
  IF(OR($E214="", AC$2="", val=""), "", val * AC$1)
)</f>
        <v/>
      </c>
      <c r="AD214" s="34" t="str">
        <f t="shared" si="214"/>
        <v/>
      </c>
      <c r="AE214" s="34" t="str">
        <f t="shared" si="214"/>
        <v/>
      </c>
      <c r="AF214" s="34" t="str">
        <f t="shared" si="214"/>
        <v/>
      </c>
      <c r="AG214" s="34" t="str">
        <f t="shared" si="214"/>
        <v/>
      </c>
      <c r="AH214" s="34" t="str">
        <f t="shared" si="214"/>
        <v/>
      </c>
      <c r="AI214" s="34" t="str">
        <f t="shared" si="214"/>
        <v/>
      </c>
      <c r="AJ214" s="34" t="str">
        <f t="shared" si="214"/>
        <v/>
      </c>
      <c r="AK214" s="34" t="str">
        <f t="shared" si="214"/>
        <v/>
      </c>
      <c r="AL214" s="34" t="str">
        <f t="shared" si="214"/>
        <v/>
      </c>
      <c r="AM214" s="34" t="str">
        <f t="shared" si="214"/>
        <v/>
      </c>
      <c r="AN214" s="34" t="str">
        <f t="shared" si="214"/>
        <v/>
      </c>
      <c r="AO214" s="34" t="str">
        <f t="shared" si="214"/>
        <v/>
      </c>
      <c r="AP214" s="34" t="str">
        <f t="shared" si="214"/>
        <v/>
      </c>
      <c r="AQ214" s="76" t="s">
        <v>248</v>
      </c>
      <c r="AR214" s="77"/>
      <c r="AS214" s="77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  <c r="BF214" s="77"/>
      <c r="BG214" s="77"/>
      <c r="BH214" s="77"/>
      <c r="BI214" s="77"/>
      <c r="BJ214" s="77"/>
      <c r="BK214" s="77"/>
      <c r="BL214" s="77"/>
      <c r="BM214" s="78"/>
    </row>
    <row r="215">
      <c r="A215" s="41" t="s">
        <v>69</v>
      </c>
      <c r="B215" s="41" t="b">
        <v>0</v>
      </c>
      <c r="C215" s="41" t="b">
        <f t="shared" si="3"/>
        <v>1</v>
      </c>
      <c r="D215" s="42" t="s">
        <v>827</v>
      </c>
      <c r="E215" s="43" t="s">
        <v>1816</v>
      </c>
      <c r="F215" s="44" t="s">
        <v>930</v>
      </c>
      <c r="G215" s="29" t="s">
        <v>6</v>
      </c>
      <c r="H215" s="32">
        <v>-4.338222978470114</v>
      </c>
      <c r="I215" s="32">
        <v>0.0</v>
      </c>
      <c r="J215" s="45" t="s">
        <v>1817</v>
      </c>
      <c r="K215" s="29">
        <v>36.6</v>
      </c>
      <c r="L215" s="41">
        <v>50.4</v>
      </c>
      <c r="M215" s="46">
        <v>29.0</v>
      </c>
      <c r="N215" s="46">
        <v>7.0</v>
      </c>
      <c r="O215" s="94" t="s">
        <v>69</v>
      </c>
      <c r="P215" s="94" t="s">
        <v>69</v>
      </c>
      <c r="Q215" s="94" t="s">
        <v>69</v>
      </c>
      <c r="R215" s="94" t="s">
        <v>69</v>
      </c>
      <c r="S215" s="94" t="s">
        <v>69</v>
      </c>
      <c r="T215" s="94" t="s">
        <v>69</v>
      </c>
      <c r="U215" s="94" t="s">
        <v>69</v>
      </c>
      <c r="V215" s="94" t="s">
        <v>69</v>
      </c>
      <c r="W215" s="94" t="s">
        <v>69</v>
      </c>
      <c r="X215" s="94" t="s">
        <v>69</v>
      </c>
      <c r="Y215" s="95">
        <v>0.5284628083838895</v>
      </c>
      <c r="Z215" s="95">
        <v>-1.3683258034824677</v>
      </c>
      <c r="AA215" s="95">
        <v>-3.498359983371536</v>
      </c>
      <c r="AB215" s="95">
        <v>0.0</v>
      </c>
      <c r="AC215" s="34" t="str">
        <f t="shared" ref="AC215:AP215" si="215">LET(
  skater, IFERROR(INDEX(AllProj, MATCH($E215, AllProjNames, 0), MATCH(AC$2, AllProjCats, 0) + 1), ""),
  goalie, IFERROR(INDEX(AllGProj, MATCH($E215, AllGProjNames, 0), MATCH(AC$2, AllGProjCats, 0) + 1), ""),
  val, IF(skater &lt;&gt; "", skater, goalie),
  IF(OR($E215="", AC$2="", val=""), "", val * AC$1)
)</f>
        <v/>
      </c>
      <c r="AD215" s="34" t="str">
        <f t="shared" si="215"/>
        <v/>
      </c>
      <c r="AE215" s="34" t="str">
        <f t="shared" si="215"/>
        <v/>
      </c>
      <c r="AF215" s="34" t="str">
        <f t="shared" si="215"/>
        <v/>
      </c>
      <c r="AG215" s="34" t="str">
        <f t="shared" si="215"/>
        <v/>
      </c>
      <c r="AH215" s="34" t="str">
        <f t="shared" si="215"/>
        <v/>
      </c>
      <c r="AI215" s="34" t="str">
        <f t="shared" si="215"/>
        <v/>
      </c>
      <c r="AJ215" s="34" t="str">
        <f t="shared" si="215"/>
        <v/>
      </c>
      <c r="AK215" s="34" t="str">
        <f t="shared" si="215"/>
        <v/>
      </c>
      <c r="AL215" s="34" t="str">
        <f t="shared" si="215"/>
        <v/>
      </c>
      <c r="AM215" s="34" t="str">
        <f t="shared" si="215"/>
        <v/>
      </c>
      <c r="AN215" s="34" t="str">
        <f t="shared" si="215"/>
        <v/>
      </c>
      <c r="AO215" s="34" t="str">
        <f t="shared" si="215"/>
        <v/>
      </c>
      <c r="AP215" s="34" t="str">
        <f t="shared" si="215"/>
        <v/>
      </c>
      <c r="AQ215" s="76" t="s">
        <v>249</v>
      </c>
      <c r="AR215" s="77"/>
      <c r="AS215" s="77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  <c r="BF215" s="77"/>
      <c r="BG215" s="77"/>
      <c r="BH215" s="77"/>
      <c r="BI215" s="77"/>
      <c r="BJ215" s="77"/>
      <c r="BK215" s="77"/>
      <c r="BL215" s="77"/>
      <c r="BM215" s="78"/>
    </row>
    <row r="216">
      <c r="A216" s="79" t="s">
        <v>69</v>
      </c>
      <c r="B216" s="79" t="b">
        <v>0</v>
      </c>
      <c r="C216" s="79" t="b">
        <f t="shared" si="3"/>
        <v>1</v>
      </c>
      <c r="D216" s="80" t="s">
        <v>502</v>
      </c>
      <c r="E216" s="81" t="s">
        <v>1818</v>
      </c>
      <c r="F216" s="82" t="s">
        <v>1461</v>
      </c>
      <c r="G216" s="35" t="s">
        <v>836</v>
      </c>
      <c r="H216" s="37">
        <v>-4.347341002224061</v>
      </c>
      <c r="I216" s="37">
        <v>1.0947966065037962</v>
      </c>
      <c r="J216" s="83" t="s">
        <v>1819</v>
      </c>
      <c r="K216" s="35">
        <v>31.5</v>
      </c>
      <c r="L216" s="79">
        <v>73.19279411764705</v>
      </c>
      <c r="M216" s="84">
        <v>23.0</v>
      </c>
      <c r="N216" s="84">
        <v>6.0</v>
      </c>
      <c r="O216" s="85">
        <v>0.44791451814352923</v>
      </c>
      <c r="P216" s="85">
        <v>-0.3293704374716709</v>
      </c>
      <c r="Q216" s="85">
        <v>0.2681022035838584</v>
      </c>
      <c r="R216" s="85">
        <v>-1.6143030119868775</v>
      </c>
      <c r="S216" s="85">
        <v>-0.4941807107462372</v>
      </c>
      <c r="T216" s="85">
        <v>0.09617116175035105</v>
      </c>
      <c r="U216" s="85">
        <v>0.2298237290795193</v>
      </c>
      <c r="V216" s="85">
        <v>0.0</v>
      </c>
      <c r="W216" s="85">
        <v>-1.2346336629305932</v>
      </c>
      <c r="X216" s="85">
        <v>-1.7168647916459399</v>
      </c>
      <c r="Y216" s="50" t="s">
        <v>69</v>
      </c>
      <c r="Z216" s="50" t="s">
        <v>69</v>
      </c>
      <c r="AA216" s="50" t="s">
        <v>69</v>
      </c>
      <c r="AB216" s="50" t="s">
        <v>69</v>
      </c>
      <c r="AC216" s="34" t="str">
        <f t="shared" ref="AC216:AP216" si="216">LET(
  skater, IFERROR(INDEX(AllProj, MATCH($E216, AllProjNames, 0), MATCH(AC$2, AllProjCats, 0) + 1), ""),
  goalie, IFERROR(INDEX(AllGProj, MATCH($E216, AllGProjNames, 0), MATCH(AC$2, AllGProjCats, 0) + 1), ""),
  val, IF(skater &lt;&gt; "", skater, goalie),
  IF(OR($E216="", AC$2="", val=""), "", val * AC$1)
)</f>
        <v/>
      </c>
      <c r="AD216" s="34" t="str">
        <f t="shared" si="216"/>
        <v/>
      </c>
      <c r="AE216" s="34" t="str">
        <f t="shared" si="216"/>
        <v/>
      </c>
      <c r="AF216" s="34" t="str">
        <f t="shared" si="216"/>
        <v/>
      </c>
      <c r="AG216" s="34" t="str">
        <f t="shared" si="216"/>
        <v/>
      </c>
      <c r="AH216" s="34" t="str">
        <f t="shared" si="216"/>
        <v/>
      </c>
      <c r="AI216" s="34" t="str">
        <f t="shared" si="216"/>
        <v/>
      </c>
      <c r="AJ216" s="34" t="str">
        <f t="shared" si="216"/>
        <v/>
      </c>
      <c r="AK216" s="34" t="str">
        <f t="shared" si="216"/>
        <v/>
      </c>
      <c r="AL216" s="34" t="str">
        <f t="shared" si="216"/>
        <v/>
      </c>
      <c r="AM216" s="34" t="str">
        <f t="shared" si="216"/>
        <v/>
      </c>
      <c r="AN216" s="34" t="str">
        <f t="shared" si="216"/>
        <v/>
      </c>
      <c r="AO216" s="34" t="str">
        <f t="shared" si="216"/>
        <v/>
      </c>
      <c r="AP216" s="34" t="str">
        <f t="shared" si="216"/>
        <v/>
      </c>
      <c r="AQ216" s="76" t="s">
        <v>250</v>
      </c>
      <c r="AR216" s="77"/>
      <c r="AS216" s="77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  <c r="BF216" s="77"/>
      <c r="BG216" s="77"/>
      <c r="BH216" s="77"/>
      <c r="BI216" s="77"/>
      <c r="BJ216" s="77"/>
      <c r="BK216" s="77"/>
      <c r="BL216" s="77"/>
      <c r="BM216" s="78"/>
    </row>
    <row r="217">
      <c r="A217" s="41" t="s">
        <v>69</v>
      </c>
      <c r="B217" s="41" t="b">
        <v>0</v>
      </c>
      <c r="C217" s="41" t="b">
        <f t="shared" si="3"/>
        <v>1</v>
      </c>
      <c r="D217" s="42" t="s">
        <v>824</v>
      </c>
      <c r="E217" s="43" t="s">
        <v>1820</v>
      </c>
      <c r="F217" s="44" t="s">
        <v>1563</v>
      </c>
      <c r="G217" s="29" t="s">
        <v>832</v>
      </c>
      <c r="H217" s="32">
        <v>-4.347664214541793</v>
      </c>
      <c r="I217" s="32">
        <v>1.094473394186064</v>
      </c>
      <c r="J217" s="45" t="s">
        <v>1821</v>
      </c>
      <c r="K217" s="29">
        <v>21.8</v>
      </c>
      <c r="L217" s="41">
        <v>82.16661764705883</v>
      </c>
      <c r="M217" s="46">
        <v>29.0</v>
      </c>
      <c r="N217" s="46">
        <v>6.0</v>
      </c>
      <c r="O217" s="47">
        <v>0.31680050243137353</v>
      </c>
      <c r="P217" s="47">
        <v>0.19868375138782335</v>
      </c>
      <c r="Q217" s="47">
        <v>-1.0675742809736604</v>
      </c>
      <c r="R217" s="47">
        <v>0.6076463690362508</v>
      </c>
      <c r="S217" s="47">
        <v>0.12431940477051434</v>
      </c>
      <c r="T217" s="47">
        <v>-0.7867335366307256</v>
      </c>
      <c r="U217" s="47">
        <v>0.27925452162952885</v>
      </c>
      <c r="V217" s="47">
        <v>0.0</v>
      </c>
      <c r="W217" s="47">
        <v>-1.9643050443590884</v>
      </c>
      <c r="X217" s="47">
        <v>-2.05575590183381</v>
      </c>
      <c r="Y217" s="50" t="s">
        <v>69</v>
      </c>
      <c r="Z217" s="50" t="s">
        <v>69</v>
      </c>
      <c r="AA217" s="50" t="s">
        <v>69</v>
      </c>
      <c r="AB217" s="50" t="s">
        <v>69</v>
      </c>
      <c r="AC217" s="34" t="str">
        <f t="shared" ref="AC217:AP217" si="217">LET(
  skater, IFERROR(INDEX(AllProj, MATCH($E217, AllProjNames, 0), MATCH(AC$2, AllProjCats, 0) + 1), ""),
  goalie, IFERROR(INDEX(AllGProj, MATCH($E217, AllGProjNames, 0), MATCH(AC$2, AllGProjCats, 0) + 1), ""),
  val, IF(skater &lt;&gt; "", skater, goalie),
  IF(OR($E217="", AC$2="", val=""), "", val * AC$1)
)</f>
        <v/>
      </c>
      <c r="AD217" s="34" t="str">
        <f t="shared" si="217"/>
        <v/>
      </c>
      <c r="AE217" s="34" t="str">
        <f t="shared" si="217"/>
        <v/>
      </c>
      <c r="AF217" s="34" t="str">
        <f t="shared" si="217"/>
        <v/>
      </c>
      <c r="AG217" s="34" t="str">
        <f t="shared" si="217"/>
        <v/>
      </c>
      <c r="AH217" s="34" t="str">
        <f t="shared" si="217"/>
        <v/>
      </c>
      <c r="AI217" s="34" t="str">
        <f t="shared" si="217"/>
        <v/>
      </c>
      <c r="AJ217" s="34" t="str">
        <f t="shared" si="217"/>
        <v/>
      </c>
      <c r="AK217" s="34" t="str">
        <f t="shared" si="217"/>
        <v/>
      </c>
      <c r="AL217" s="34" t="str">
        <f t="shared" si="217"/>
        <v/>
      </c>
      <c r="AM217" s="34" t="str">
        <f t="shared" si="217"/>
        <v/>
      </c>
      <c r="AN217" s="34" t="str">
        <f t="shared" si="217"/>
        <v/>
      </c>
      <c r="AO217" s="34" t="str">
        <f t="shared" si="217"/>
        <v/>
      </c>
      <c r="AP217" s="34" t="str">
        <f t="shared" si="217"/>
        <v/>
      </c>
      <c r="AQ217" s="76" t="s">
        <v>251</v>
      </c>
      <c r="AR217" s="77"/>
      <c r="AS217" s="77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  <c r="BF217" s="77"/>
      <c r="BG217" s="77"/>
      <c r="BH217" s="77"/>
      <c r="BI217" s="77"/>
      <c r="BJ217" s="77"/>
      <c r="BK217" s="77"/>
      <c r="BL217" s="77"/>
      <c r="BM217" s="78"/>
    </row>
    <row r="218">
      <c r="A218" s="79">
        <v>2.5714285714285716</v>
      </c>
      <c r="B218" s="79" t="b">
        <v>0</v>
      </c>
      <c r="C218" s="79" t="b">
        <f t="shared" si="3"/>
        <v>0</v>
      </c>
      <c r="D218" s="80" t="s">
        <v>1565</v>
      </c>
      <c r="E218" s="81" t="s">
        <v>1042</v>
      </c>
      <c r="F218" s="82" t="s">
        <v>279</v>
      </c>
      <c r="G218" s="35" t="s">
        <v>837</v>
      </c>
      <c r="H218" s="37">
        <v>-4.356859796201425</v>
      </c>
      <c r="I218" s="37">
        <v>1.1729989757274764</v>
      </c>
      <c r="J218" s="83" t="s">
        <v>1822</v>
      </c>
      <c r="K218" s="35">
        <v>41.5</v>
      </c>
      <c r="L218" s="79">
        <v>83.6</v>
      </c>
      <c r="M218" s="84">
        <v>34.0</v>
      </c>
      <c r="N218" s="84">
        <v>7.0</v>
      </c>
      <c r="O218" s="85">
        <v>-1.5427918431098728</v>
      </c>
      <c r="P218" s="85">
        <v>-0.823277541015469</v>
      </c>
      <c r="Q218" s="85">
        <v>2.8356890068969594</v>
      </c>
      <c r="R218" s="85">
        <v>-1.0416078048757156</v>
      </c>
      <c r="S218" s="85">
        <v>-1.2899735462689188</v>
      </c>
      <c r="T218" s="85">
        <v>-0.16952108464970286</v>
      </c>
      <c r="U218" s="85">
        <v>-0.08422639907459599</v>
      </c>
      <c r="V218" s="85">
        <v>0.0</v>
      </c>
      <c r="W218" s="85">
        <v>-2.1928635392814173</v>
      </c>
      <c r="X218" s="85">
        <v>-0.0482870448226913</v>
      </c>
      <c r="Y218" s="50" t="s">
        <v>69</v>
      </c>
      <c r="Z218" s="50" t="s">
        <v>69</v>
      </c>
      <c r="AA218" s="50" t="s">
        <v>69</v>
      </c>
      <c r="AB218" s="50" t="s">
        <v>69</v>
      </c>
      <c r="AC218" s="34" t="str">
        <f t="shared" ref="AC218:AP218" si="218">LET(
  skater, IFERROR(INDEX(AllProj, MATCH($E218, AllProjNames, 0), MATCH(AC$2, AllProjCats, 0) + 1), ""),
  goalie, IFERROR(INDEX(AllGProj, MATCH($E218, AllGProjNames, 0), MATCH(AC$2, AllGProjCats, 0) + 1), ""),
  val, IF(skater &lt;&gt; "", skater, goalie),
  IF(OR($E218="", AC$2="", val=""), "", val * AC$1)
)</f>
        <v/>
      </c>
      <c r="AD218" s="34" t="str">
        <f t="shared" si="218"/>
        <v/>
      </c>
      <c r="AE218" s="34" t="str">
        <f t="shared" si="218"/>
        <v/>
      </c>
      <c r="AF218" s="34" t="str">
        <f t="shared" si="218"/>
        <v/>
      </c>
      <c r="AG218" s="34" t="str">
        <f t="shared" si="218"/>
        <v/>
      </c>
      <c r="AH218" s="34" t="str">
        <f t="shared" si="218"/>
        <v/>
      </c>
      <c r="AI218" s="34" t="str">
        <f t="shared" si="218"/>
        <v/>
      </c>
      <c r="AJ218" s="34" t="str">
        <f t="shared" si="218"/>
        <v/>
      </c>
      <c r="AK218" s="34" t="str">
        <f t="shared" si="218"/>
        <v/>
      </c>
      <c r="AL218" s="34" t="str">
        <f t="shared" si="218"/>
        <v/>
      </c>
      <c r="AM218" s="34" t="str">
        <f t="shared" si="218"/>
        <v/>
      </c>
      <c r="AN218" s="34" t="str">
        <f t="shared" si="218"/>
        <v/>
      </c>
      <c r="AO218" s="34" t="str">
        <f t="shared" si="218"/>
        <v/>
      </c>
      <c r="AP218" s="34" t="str">
        <f t="shared" si="218"/>
        <v/>
      </c>
      <c r="AQ218" s="76" t="s">
        <v>252</v>
      </c>
      <c r="AR218" s="77"/>
      <c r="AS218" s="77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  <c r="BF218" s="77"/>
      <c r="BG218" s="77"/>
      <c r="BH218" s="77"/>
      <c r="BI218" s="77"/>
      <c r="BJ218" s="77"/>
      <c r="BK218" s="77"/>
      <c r="BL218" s="77"/>
      <c r="BM218" s="78"/>
    </row>
    <row r="219">
      <c r="A219" s="41">
        <v>2.7142857142857144</v>
      </c>
      <c r="B219" s="41" t="b">
        <v>0</v>
      </c>
      <c r="C219" s="41" t="b">
        <f t="shared" si="3"/>
        <v>0</v>
      </c>
      <c r="D219" s="42" t="s">
        <v>1565</v>
      </c>
      <c r="E219" s="43" t="s">
        <v>1366</v>
      </c>
      <c r="F219" s="44" t="s">
        <v>1563</v>
      </c>
      <c r="G219" s="29" t="s">
        <v>6</v>
      </c>
      <c r="H219" s="32">
        <v>-4.384858450681919</v>
      </c>
      <c r="I219" s="32">
        <v>-0.046635472211804974</v>
      </c>
      <c r="J219" s="45" t="s">
        <v>1823</v>
      </c>
      <c r="K219" s="29">
        <v>28.2</v>
      </c>
      <c r="L219" s="41">
        <v>34.6</v>
      </c>
      <c r="M219" s="46">
        <v>29.0</v>
      </c>
      <c r="N219" s="46">
        <v>6.0</v>
      </c>
      <c r="O219" s="94" t="s">
        <v>69</v>
      </c>
      <c r="P219" s="94" t="s">
        <v>69</v>
      </c>
      <c r="Q219" s="94" t="s">
        <v>69</v>
      </c>
      <c r="R219" s="94" t="s">
        <v>69</v>
      </c>
      <c r="S219" s="94" t="s">
        <v>69</v>
      </c>
      <c r="T219" s="94" t="s">
        <v>69</v>
      </c>
      <c r="U219" s="94" t="s">
        <v>69</v>
      </c>
      <c r="V219" s="94" t="s">
        <v>69</v>
      </c>
      <c r="W219" s="94" t="s">
        <v>69</v>
      </c>
      <c r="X219" s="94" t="s">
        <v>69</v>
      </c>
      <c r="Y219" s="95">
        <v>-1.5890898734675123</v>
      </c>
      <c r="Z219" s="95">
        <v>-1.8342113731531422</v>
      </c>
      <c r="AA219" s="95">
        <v>-0.9615572040612644</v>
      </c>
      <c r="AB219" s="95">
        <v>0.0</v>
      </c>
      <c r="AC219" s="34" t="str">
        <f t="shared" ref="AC219:AP219" si="219">LET(
  skater, IFERROR(INDEX(AllProj, MATCH($E219, AllProjNames, 0), MATCH(AC$2, AllProjCats, 0) + 1), ""),
  goalie, IFERROR(INDEX(AllGProj, MATCH($E219, AllGProjNames, 0), MATCH(AC$2, AllGProjCats, 0) + 1), ""),
  val, IF(skater &lt;&gt; "", skater, goalie),
  IF(OR($E219="", AC$2="", val=""), "", val * AC$1)
)</f>
        <v/>
      </c>
      <c r="AD219" s="34" t="str">
        <f t="shared" si="219"/>
        <v/>
      </c>
      <c r="AE219" s="34" t="str">
        <f t="shared" si="219"/>
        <v/>
      </c>
      <c r="AF219" s="34" t="str">
        <f t="shared" si="219"/>
        <v/>
      </c>
      <c r="AG219" s="34" t="str">
        <f t="shared" si="219"/>
        <v/>
      </c>
      <c r="AH219" s="34" t="str">
        <f t="shared" si="219"/>
        <v/>
      </c>
      <c r="AI219" s="34" t="str">
        <f t="shared" si="219"/>
        <v/>
      </c>
      <c r="AJ219" s="34" t="str">
        <f t="shared" si="219"/>
        <v/>
      </c>
      <c r="AK219" s="34" t="str">
        <f t="shared" si="219"/>
        <v/>
      </c>
      <c r="AL219" s="34" t="str">
        <f t="shared" si="219"/>
        <v/>
      </c>
      <c r="AM219" s="34" t="str">
        <f t="shared" si="219"/>
        <v/>
      </c>
      <c r="AN219" s="34" t="str">
        <f t="shared" si="219"/>
        <v/>
      </c>
      <c r="AO219" s="34" t="str">
        <f t="shared" si="219"/>
        <v/>
      </c>
      <c r="AP219" s="34" t="str">
        <f t="shared" si="219"/>
        <v/>
      </c>
      <c r="AQ219" s="76" t="s">
        <v>253</v>
      </c>
      <c r="AR219" s="77"/>
      <c r="AS219" s="77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  <c r="BF219" s="77"/>
      <c r="BG219" s="77"/>
      <c r="BH219" s="77"/>
      <c r="BI219" s="77"/>
      <c r="BJ219" s="77"/>
      <c r="BK219" s="77"/>
      <c r="BL219" s="77"/>
      <c r="BM219" s="78"/>
    </row>
    <row r="220">
      <c r="A220" s="79">
        <v>2.5714285714285716</v>
      </c>
      <c r="B220" s="79" t="b">
        <v>0</v>
      </c>
      <c r="C220" s="79" t="b">
        <f t="shared" si="3"/>
        <v>0</v>
      </c>
      <c r="D220" s="80" t="s">
        <v>1565</v>
      </c>
      <c r="E220" s="81" t="s">
        <v>929</v>
      </c>
      <c r="F220" s="82" t="s">
        <v>930</v>
      </c>
      <c r="G220" s="35" t="s">
        <v>837</v>
      </c>
      <c r="H220" s="37">
        <v>-4.394850185066916</v>
      </c>
      <c r="I220" s="37">
        <v>1.1350085868619848</v>
      </c>
      <c r="J220" s="83" t="s">
        <v>1824</v>
      </c>
      <c r="K220" s="35">
        <v>30.6</v>
      </c>
      <c r="L220" s="79">
        <v>74.16117647058823</v>
      </c>
      <c r="M220" s="84">
        <v>29.0</v>
      </c>
      <c r="N220" s="84">
        <v>7.0</v>
      </c>
      <c r="O220" s="85">
        <v>-2.017531666483551</v>
      </c>
      <c r="P220" s="85">
        <v>-0.5776727244788294</v>
      </c>
      <c r="Q220" s="85">
        <v>-0.10688422056994562</v>
      </c>
      <c r="R220" s="85">
        <v>0.9106229588794853</v>
      </c>
      <c r="S220" s="85">
        <v>-0.8672369445820921</v>
      </c>
      <c r="T220" s="85">
        <v>-0.1208735464253167</v>
      </c>
      <c r="U220" s="85">
        <v>-1.1906312535483512</v>
      </c>
      <c r="V220" s="85">
        <v>0.0</v>
      </c>
      <c r="W220" s="85">
        <v>-0.6881163584845423</v>
      </c>
      <c r="X220" s="85">
        <v>0.26347357062622656</v>
      </c>
      <c r="Y220" s="50" t="s">
        <v>69</v>
      </c>
      <c r="Z220" s="50" t="s">
        <v>69</v>
      </c>
      <c r="AA220" s="50" t="s">
        <v>69</v>
      </c>
      <c r="AB220" s="50" t="s">
        <v>69</v>
      </c>
      <c r="AC220" s="34" t="str">
        <f t="shared" ref="AC220:AP220" si="220">LET(
  skater, IFERROR(INDEX(AllProj, MATCH($E220, AllProjNames, 0), MATCH(AC$2, AllProjCats, 0) + 1), ""),
  goalie, IFERROR(INDEX(AllGProj, MATCH($E220, AllGProjNames, 0), MATCH(AC$2, AllGProjCats, 0) + 1), ""),
  val, IF(skater &lt;&gt; "", skater, goalie),
  IF(OR($E220="", AC$2="", val=""), "", val * AC$1)
)</f>
        <v/>
      </c>
      <c r="AD220" s="34" t="str">
        <f t="shared" si="220"/>
        <v/>
      </c>
      <c r="AE220" s="34" t="str">
        <f t="shared" si="220"/>
        <v/>
      </c>
      <c r="AF220" s="34" t="str">
        <f t="shared" si="220"/>
        <v/>
      </c>
      <c r="AG220" s="34" t="str">
        <f t="shared" si="220"/>
        <v/>
      </c>
      <c r="AH220" s="34" t="str">
        <f t="shared" si="220"/>
        <v/>
      </c>
      <c r="AI220" s="34" t="str">
        <f t="shared" si="220"/>
        <v/>
      </c>
      <c r="AJ220" s="34" t="str">
        <f t="shared" si="220"/>
        <v/>
      </c>
      <c r="AK220" s="34" t="str">
        <f t="shared" si="220"/>
        <v/>
      </c>
      <c r="AL220" s="34" t="str">
        <f t="shared" si="220"/>
        <v/>
      </c>
      <c r="AM220" s="34" t="str">
        <f t="shared" si="220"/>
        <v/>
      </c>
      <c r="AN220" s="34" t="str">
        <f t="shared" si="220"/>
        <v/>
      </c>
      <c r="AO220" s="34" t="str">
        <f t="shared" si="220"/>
        <v/>
      </c>
      <c r="AP220" s="34" t="str">
        <f t="shared" si="220"/>
        <v/>
      </c>
      <c r="AQ220" s="76" t="s">
        <v>255</v>
      </c>
      <c r="AR220" s="77"/>
      <c r="AS220" s="77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  <c r="BF220" s="77"/>
      <c r="BG220" s="77"/>
      <c r="BH220" s="77"/>
      <c r="BI220" s="77"/>
      <c r="BJ220" s="77"/>
      <c r="BK220" s="77"/>
      <c r="BL220" s="77"/>
      <c r="BM220" s="78"/>
    </row>
    <row r="221">
      <c r="A221" s="41" t="s">
        <v>69</v>
      </c>
      <c r="B221" s="41" t="b">
        <v>0</v>
      </c>
      <c r="C221" s="41" t="b">
        <f t="shared" si="3"/>
        <v>1</v>
      </c>
      <c r="D221" s="42" t="s">
        <v>825</v>
      </c>
      <c r="E221" s="43" t="s">
        <v>1825</v>
      </c>
      <c r="F221" s="44" t="s">
        <v>1426</v>
      </c>
      <c r="G221" s="29" t="s">
        <v>284</v>
      </c>
      <c r="H221" s="32">
        <v>-4.403611230352352</v>
      </c>
      <c r="I221" s="32">
        <v>0.6344547898307331</v>
      </c>
      <c r="J221" s="45" t="s">
        <v>1826</v>
      </c>
      <c r="K221" s="29">
        <v>31.8</v>
      </c>
      <c r="L221" s="41">
        <v>79.76867647058825</v>
      </c>
      <c r="M221" s="46">
        <v>23.0</v>
      </c>
      <c r="N221" s="46">
        <v>6.0</v>
      </c>
      <c r="O221" s="47">
        <v>-0.4310937101877726</v>
      </c>
      <c r="P221" s="47">
        <v>-0.22419622492400204</v>
      </c>
      <c r="Q221" s="47">
        <v>-2.0010954402964938</v>
      </c>
      <c r="R221" s="47">
        <v>-1.217012896889787</v>
      </c>
      <c r="S221" s="47">
        <v>0.11222465402914852</v>
      </c>
      <c r="T221" s="47">
        <v>-0.2780997032565814</v>
      </c>
      <c r="U221" s="47">
        <v>-0.641521080067046</v>
      </c>
      <c r="V221" s="47">
        <v>2.2132600515608267</v>
      </c>
      <c r="W221" s="47">
        <v>-1.2855501305980852</v>
      </c>
      <c r="X221" s="47">
        <v>-0.6505267497225593</v>
      </c>
      <c r="Y221" s="50" t="s">
        <v>69</v>
      </c>
      <c r="Z221" s="50" t="s">
        <v>69</v>
      </c>
      <c r="AA221" s="50" t="s">
        <v>69</v>
      </c>
      <c r="AB221" s="50" t="s">
        <v>69</v>
      </c>
      <c r="AC221" s="34" t="str">
        <f t="shared" ref="AC221:AP221" si="221">LET(
  skater, IFERROR(INDEX(AllProj, MATCH($E221, AllProjNames, 0), MATCH(AC$2, AllProjCats, 0) + 1), ""),
  goalie, IFERROR(INDEX(AllGProj, MATCH($E221, AllGProjNames, 0), MATCH(AC$2, AllGProjCats, 0) + 1), ""),
  val, IF(skater &lt;&gt; "", skater, goalie),
  IF(OR($E221="", AC$2="", val=""), "", val * AC$1)
)</f>
        <v/>
      </c>
      <c r="AD221" s="34" t="str">
        <f t="shared" si="221"/>
        <v/>
      </c>
      <c r="AE221" s="34" t="str">
        <f t="shared" si="221"/>
        <v/>
      </c>
      <c r="AF221" s="34" t="str">
        <f t="shared" si="221"/>
        <v/>
      </c>
      <c r="AG221" s="34" t="str">
        <f t="shared" si="221"/>
        <v/>
      </c>
      <c r="AH221" s="34" t="str">
        <f t="shared" si="221"/>
        <v/>
      </c>
      <c r="AI221" s="34" t="str">
        <f t="shared" si="221"/>
        <v/>
      </c>
      <c r="AJ221" s="34" t="str">
        <f t="shared" si="221"/>
        <v/>
      </c>
      <c r="AK221" s="34" t="str">
        <f t="shared" si="221"/>
        <v/>
      </c>
      <c r="AL221" s="34" t="str">
        <f t="shared" si="221"/>
        <v/>
      </c>
      <c r="AM221" s="34" t="str">
        <f t="shared" si="221"/>
        <v/>
      </c>
      <c r="AN221" s="34" t="str">
        <f t="shared" si="221"/>
        <v/>
      </c>
      <c r="AO221" s="34" t="str">
        <f t="shared" si="221"/>
        <v/>
      </c>
      <c r="AP221" s="34" t="str">
        <f t="shared" si="221"/>
        <v/>
      </c>
      <c r="AQ221" s="76" t="s">
        <v>256</v>
      </c>
      <c r="AR221" s="77"/>
      <c r="AS221" s="77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  <c r="BF221" s="77"/>
      <c r="BG221" s="77"/>
      <c r="BH221" s="77"/>
      <c r="BI221" s="77"/>
      <c r="BJ221" s="77"/>
      <c r="BK221" s="77"/>
      <c r="BL221" s="77"/>
      <c r="BM221" s="78"/>
    </row>
    <row r="222">
      <c r="A222" s="79" t="s">
        <v>69</v>
      </c>
      <c r="B222" s="79" t="b">
        <v>0</v>
      </c>
      <c r="C222" s="79" t="b">
        <f t="shared" si="3"/>
        <v>1</v>
      </c>
      <c r="D222" s="80" t="s">
        <v>773</v>
      </c>
      <c r="E222" s="81" t="s">
        <v>1827</v>
      </c>
      <c r="F222" s="82" t="s">
        <v>1439</v>
      </c>
      <c r="G222" s="35" t="s">
        <v>837</v>
      </c>
      <c r="H222" s="37">
        <v>-4.445779903488608</v>
      </c>
      <c r="I222" s="37">
        <v>1.0840788684402929</v>
      </c>
      <c r="J222" s="83" t="s">
        <v>1828</v>
      </c>
      <c r="K222" s="35">
        <v>32.3</v>
      </c>
      <c r="L222" s="79">
        <v>83.0155882352941</v>
      </c>
      <c r="M222" s="84">
        <v>25.0</v>
      </c>
      <c r="N222" s="84">
        <v>6.0</v>
      </c>
      <c r="O222" s="85">
        <v>-1.9931060034058008</v>
      </c>
      <c r="P222" s="85">
        <v>-0.7373125575991837</v>
      </c>
      <c r="Q222" s="85">
        <v>2.701593311753467</v>
      </c>
      <c r="R222" s="85">
        <v>-1.7489844877268594</v>
      </c>
      <c r="S222" s="85">
        <v>-1.5076338517433723</v>
      </c>
      <c r="T222" s="85">
        <v>-0.17257984302722057</v>
      </c>
      <c r="U222" s="85">
        <v>-1.719868797553972</v>
      </c>
      <c r="V222" s="85">
        <v>0.0</v>
      </c>
      <c r="W222" s="85">
        <v>-1.6774284250357698</v>
      </c>
      <c r="X222" s="85">
        <v>2.409540750850104</v>
      </c>
      <c r="Y222" s="50" t="s">
        <v>69</v>
      </c>
      <c r="Z222" s="50" t="s">
        <v>69</v>
      </c>
      <c r="AA222" s="50" t="s">
        <v>69</v>
      </c>
      <c r="AB222" s="50" t="s">
        <v>69</v>
      </c>
      <c r="AC222" s="34" t="str">
        <f t="shared" ref="AC222:AP222" si="222">LET(
  skater, IFERROR(INDEX(AllProj, MATCH($E222, AllProjNames, 0), MATCH(AC$2, AllProjCats, 0) + 1), ""),
  goalie, IFERROR(INDEX(AllGProj, MATCH($E222, AllGProjNames, 0), MATCH(AC$2, AllGProjCats, 0) + 1), ""),
  val, IF(skater &lt;&gt; "", skater, goalie),
  IF(OR($E222="", AC$2="", val=""), "", val * AC$1)
)</f>
        <v/>
      </c>
      <c r="AD222" s="34" t="str">
        <f t="shared" si="222"/>
        <v/>
      </c>
      <c r="AE222" s="34" t="str">
        <f t="shared" si="222"/>
        <v/>
      </c>
      <c r="AF222" s="34" t="str">
        <f t="shared" si="222"/>
        <v/>
      </c>
      <c r="AG222" s="34" t="str">
        <f t="shared" si="222"/>
        <v/>
      </c>
      <c r="AH222" s="34" t="str">
        <f t="shared" si="222"/>
        <v/>
      </c>
      <c r="AI222" s="34" t="str">
        <f t="shared" si="222"/>
        <v/>
      </c>
      <c r="AJ222" s="34" t="str">
        <f t="shared" si="222"/>
        <v/>
      </c>
      <c r="AK222" s="34" t="str">
        <f t="shared" si="222"/>
        <v/>
      </c>
      <c r="AL222" s="34" t="str">
        <f t="shared" si="222"/>
        <v/>
      </c>
      <c r="AM222" s="34" t="str">
        <f t="shared" si="222"/>
        <v/>
      </c>
      <c r="AN222" s="34" t="str">
        <f t="shared" si="222"/>
        <v/>
      </c>
      <c r="AO222" s="34" t="str">
        <f t="shared" si="222"/>
        <v/>
      </c>
      <c r="AP222" s="34" t="str">
        <f t="shared" si="222"/>
        <v/>
      </c>
      <c r="AQ222" s="76" t="s">
        <v>257</v>
      </c>
      <c r="AR222" s="77"/>
      <c r="AS222" s="77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8"/>
    </row>
    <row r="223">
      <c r="A223" s="41">
        <v>2.5714285714285716</v>
      </c>
      <c r="B223" s="41" t="b">
        <v>0</v>
      </c>
      <c r="C223" s="41" t="b">
        <f t="shared" si="3"/>
        <v>0</v>
      </c>
      <c r="D223" s="42" t="s">
        <v>1565</v>
      </c>
      <c r="E223" s="43" t="s">
        <v>1006</v>
      </c>
      <c r="F223" s="44" t="s">
        <v>1411</v>
      </c>
      <c r="G223" s="29" t="s">
        <v>830</v>
      </c>
      <c r="H223" s="32">
        <v>-4.478045806739944</v>
      </c>
      <c r="I223" s="32">
        <v>0.9098343181727948</v>
      </c>
      <c r="J223" s="45" t="s">
        <v>1829</v>
      </c>
      <c r="K223" s="29">
        <v>33.3</v>
      </c>
      <c r="L223" s="41">
        <v>74.10602941176471</v>
      </c>
      <c r="M223" s="46">
        <v>33.0</v>
      </c>
      <c r="N223" s="46">
        <v>8.0</v>
      </c>
      <c r="O223" s="47">
        <v>-0.5817777096642203</v>
      </c>
      <c r="P223" s="47">
        <v>-0.9617211701932613</v>
      </c>
      <c r="Q223" s="47">
        <v>-0.7049237881050281</v>
      </c>
      <c r="R223" s="47">
        <v>-0.6128094274555529</v>
      </c>
      <c r="S223" s="47">
        <v>-1.2210639554236615</v>
      </c>
      <c r="T223" s="47">
        <v>-0.11068040233232104</v>
      </c>
      <c r="U223" s="47">
        <v>-0.3357908459286917</v>
      </c>
      <c r="V223" s="47">
        <v>0.34953986148137145</v>
      </c>
      <c r="W223" s="47">
        <v>0.294326179909898</v>
      </c>
      <c r="X223" s="47">
        <v>-0.5931445490284759</v>
      </c>
      <c r="Y223" s="50" t="s">
        <v>69</v>
      </c>
      <c r="Z223" s="50" t="s">
        <v>69</v>
      </c>
      <c r="AA223" s="50" t="s">
        <v>69</v>
      </c>
      <c r="AB223" s="50" t="s">
        <v>69</v>
      </c>
      <c r="AC223" s="34" t="str">
        <f t="shared" ref="AC223:AP223" si="223">LET(
  skater, IFERROR(INDEX(AllProj, MATCH($E223, AllProjNames, 0), MATCH(AC$2, AllProjCats, 0) + 1), ""),
  goalie, IFERROR(INDEX(AllGProj, MATCH($E223, AllGProjNames, 0), MATCH(AC$2, AllGProjCats, 0) + 1), ""),
  val, IF(skater &lt;&gt; "", skater, goalie),
  IF(OR($E223="", AC$2="", val=""), "", val * AC$1)
)</f>
        <v/>
      </c>
      <c r="AD223" s="34" t="str">
        <f t="shared" si="223"/>
        <v/>
      </c>
      <c r="AE223" s="34" t="str">
        <f t="shared" si="223"/>
        <v/>
      </c>
      <c r="AF223" s="34" t="str">
        <f t="shared" si="223"/>
        <v/>
      </c>
      <c r="AG223" s="34" t="str">
        <f t="shared" si="223"/>
        <v/>
      </c>
      <c r="AH223" s="34" t="str">
        <f t="shared" si="223"/>
        <v/>
      </c>
      <c r="AI223" s="34" t="str">
        <f t="shared" si="223"/>
        <v/>
      </c>
      <c r="AJ223" s="34" t="str">
        <f t="shared" si="223"/>
        <v/>
      </c>
      <c r="AK223" s="34" t="str">
        <f t="shared" si="223"/>
        <v/>
      </c>
      <c r="AL223" s="34" t="str">
        <f t="shared" si="223"/>
        <v/>
      </c>
      <c r="AM223" s="34" t="str">
        <f t="shared" si="223"/>
        <v/>
      </c>
      <c r="AN223" s="34" t="str">
        <f t="shared" si="223"/>
        <v/>
      </c>
      <c r="AO223" s="34" t="str">
        <f t="shared" si="223"/>
        <v/>
      </c>
      <c r="AP223" s="34" t="str">
        <f t="shared" si="223"/>
        <v/>
      </c>
      <c r="AQ223" s="76" t="s">
        <v>258</v>
      </c>
      <c r="AR223" s="77"/>
      <c r="AS223" s="77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  <c r="BF223" s="77"/>
      <c r="BG223" s="77"/>
      <c r="BH223" s="77"/>
      <c r="BI223" s="77"/>
      <c r="BJ223" s="77"/>
      <c r="BK223" s="77"/>
      <c r="BL223" s="77"/>
      <c r="BM223" s="78"/>
    </row>
    <row r="224">
      <c r="A224" s="79">
        <v>3.0714285714285716</v>
      </c>
      <c r="B224" s="79" t="b">
        <v>0</v>
      </c>
      <c r="C224" s="79" t="b">
        <f t="shared" si="3"/>
        <v>0</v>
      </c>
      <c r="D224" s="80" t="s">
        <v>1565</v>
      </c>
      <c r="E224" s="81" t="s">
        <v>1393</v>
      </c>
      <c r="F224" s="82" t="s">
        <v>1473</v>
      </c>
      <c r="G224" s="35" t="s">
        <v>6</v>
      </c>
      <c r="H224" s="37">
        <v>-4.494840005664807</v>
      </c>
      <c r="I224" s="37">
        <v>-0.1566170271946934</v>
      </c>
      <c r="J224" s="83" t="s">
        <v>1830</v>
      </c>
      <c r="K224" s="35">
        <v>38.4</v>
      </c>
      <c r="L224" s="79">
        <v>15.6</v>
      </c>
      <c r="M224" s="84">
        <v>25.0</v>
      </c>
      <c r="N224" s="84">
        <v>6.0</v>
      </c>
      <c r="O224" s="96" t="s">
        <v>69</v>
      </c>
      <c r="P224" s="96" t="s">
        <v>69</v>
      </c>
      <c r="Q224" s="96" t="s">
        <v>69</v>
      </c>
      <c r="R224" s="96" t="s">
        <v>69</v>
      </c>
      <c r="S224" s="96" t="s">
        <v>69</v>
      </c>
      <c r="T224" s="96" t="s">
        <v>69</v>
      </c>
      <c r="U224" s="96" t="s">
        <v>69</v>
      </c>
      <c r="V224" s="96" t="s">
        <v>69</v>
      </c>
      <c r="W224" s="96" t="s">
        <v>69</v>
      </c>
      <c r="X224" s="96" t="s">
        <v>69</v>
      </c>
      <c r="Y224" s="95">
        <v>-3.5560053995981344</v>
      </c>
      <c r="Z224" s="95">
        <v>-1.1353830186471259</v>
      </c>
      <c r="AA224" s="95">
        <v>0.19654841258045316</v>
      </c>
      <c r="AB224" s="95">
        <v>0.0</v>
      </c>
      <c r="AC224" s="34" t="str">
        <f t="shared" ref="AC224:AP224" si="224">LET(
  skater, IFERROR(INDEX(AllProj, MATCH($E224, AllProjNames, 0), MATCH(AC$2, AllProjCats, 0) + 1), ""),
  goalie, IFERROR(INDEX(AllGProj, MATCH($E224, AllGProjNames, 0), MATCH(AC$2, AllGProjCats, 0) + 1), ""),
  val, IF(skater &lt;&gt; "", skater, goalie),
  IF(OR($E224="", AC$2="", val=""), "", val * AC$1)
)</f>
        <v/>
      </c>
      <c r="AD224" s="34" t="str">
        <f t="shared" si="224"/>
        <v/>
      </c>
      <c r="AE224" s="34" t="str">
        <f t="shared" si="224"/>
        <v/>
      </c>
      <c r="AF224" s="34" t="str">
        <f t="shared" si="224"/>
        <v/>
      </c>
      <c r="AG224" s="34" t="str">
        <f t="shared" si="224"/>
        <v/>
      </c>
      <c r="AH224" s="34" t="str">
        <f t="shared" si="224"/>
        <v/>
      </c>
      <c r="AI224" s="34" t="str">
        <f t="shared" si="224"/>
        <v/>
      </c>
      <c r="AJ224" s="34" t="str">
        <f t="shared" si="224"/>
        <v/>
      </c>
      <c r="AK224" s="34" t="str">
        <f t="shared" si="224"/>
        <v/>
      </c>
      <c r="AL224" s="34" t="str">
        <f t="shared" si="224"/>
        <v/>
      </c>
      <c r="AM224" s="34" t="str">
        <f t="shared" si="224"/>
        <v/>
      </c>
      <c r="AN224" s="34" t="str">
        <f t="shared" si="224"/>
        <v/>
      </c>
      <c r="AO224" s="34" t="str">
        <f t="shared" si="224"/>
        <v/>
      </c>
      <c r="AP224" s="34" t="str">
        <f t="shared" si="224"/>
        <v/>
      </c>
      <c r="AQ224" s="76" t="s">
        <v>259</v>
      </c>
      <c r="AR224" s="77"/>
      <c r="AS224" s="77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  <c r="BF224" s="77"/>
      <c r="BG224" s="77"/>
      <c r="BH224" s="77"/>
      <c r="BI224" s="77"/>
      <c r="BJ224" s="77"/>
      <c r="BK224" s="77"/>
      <c r="BL224" s="77"/>
      <c r="BM224" s="78"/>
    </row>
    <row r="225">
      <c r="A225" s="41">
        <v>2.5714285714285716</v>
      </c>
      <c r="B225" s="41" t="b">
        <v>0</v>
      </c>
      <c r="C225" s="41" t="b">
        <f t="shared" si="3"/>
        <v>0</v>
      </c>
      <c r="D225" s="42" t="s">
        <v>1565</v>
      </c>
      <c r="E225" s="43" t="s">
        <v>970</v>
      </c>
      <c r="F225" s="44" t="s">
        <v>1489</v>
      </c>
      <c r="G225" s="29" t="s">
        <v>284</v>
      </c>
      <c r="H225" s="32">
        <v>-4.517154503612515</v>
      </c>
      <c r="I225" s="32">
        <v>0.5209115165705702</v>
      </c>
      <c r="J225" s="45" t="s">
        <v>1831</v>
      </c>
      <c r="K225" s="29">
        <v>29.1</v>
      </c>
      <c r="L225" s="41">
        <v>80.0</v>
      </c>
      <c r="M225" s="46">
        <v>28.0</v>
      </c>
      <c r="N225" s="46">
        <v>7.0</v>
      </c>
      <c r="O225" s="47">
        <v>-1.90245867586691</v>
      </c>
      <c r="P225" s="47">
        <v>-2.18903651662447</v>
      </c>
      <c r="Q225" s="94" t="s">
        <v>69</v>
      </c>
      <c r="R225" s="47">
        <v>1.92394788636969</v>
      </c>
      <c r="S225" s="94" t="s">
        <v>69</v>
      </c>
      <c r="T225" s="94" t="s">
        <v>69</v>
      </c>
      <c r="U225" s="47">
        <v>-1.979149394028682</v>
      </c>
      <c r="V225" s="94" t="s">
        <v>69</v>
      </c>
      <c r="W225" s="47">
        <v>1.4370449880656686</v>
      </c>
      <c r="X225" s="47">
        <v>-1.807502791527811</v>
      </c>
      <c r="Y225" s="50" t="s">
        <v>69</v>
      </c>
      <c r="Z225" s="50" t="s">
        <v>69</v>
      </c>
      <c r="AA225" s="50" t="s">
        <v>69</v>
      </c>
      <c r="AB225" s="50" t="s">
        <v>69</v>
      </c>
      <c r="AC225" s="34" t="str">
        <f t="shared" ref="AC225:AP225" si="225">LET(
  skater, IFERROR(INDEX(AllProj, MATCH($E225, AllProjNames, 0), MATCH(AC$2, AllProjCats, 0) + 1), ""),
  goalie, IFERROR(INDEX(AllGProj, MATCH($E225, AllGProjNames, 0), MATCH(AC$2, AllGProjCats, 0) + 1), ""),
  val, IF(skater &lt;&gt; "", skater, goalie),
  IF(OR($E225="", AC$2="", val=""), "", val * AC$1)
)</f>
        <v/>
      </c>
      <c r="AD225" s="34" t="str">
        <f t="shared" si="225"/>
        <v/>
      </c>
      <c r="AE225" s="34" t="str">
        <f t="shared" si="225"/>
        <v/>
      </c>
      <c r="AF225" s="34" t="str">
        <f t="shared" si="225"/>
        <v/>
      </c>
      <c r="AG225" s="34" t="str">
        <f t="shared" si="225"/>
        <v/>
      </c>
      <c r="AH225" s="34" t="str">
        <f t="shared" si="225"/>
        <v/>
      </c>
      <c r="AI225" s="34" t="str">
        <f t="shared" si="225"/>
        <v/>
      </c>
      <c r="AJ225" s="34" t="str">
        <f t="shared" si="225"/>
        <v/>
      </c>
      <c r="AK225" s="34" t="str">
        <f t="shared" si="225"/>
        <v/>
      </c>
      <c r="AL225" s="34" t="str">
        <f t="shared" si="225"/>
        <v/>
      </c>
      <c r="AM225" s="34" t="str">
        <f t="shared" si="225"/>
        <v/>
      </c>
      <c r="AN225" s="34" t="str">
        <f t="shared" si="225"/>
        <v/>
      </c>
      <c r="AO225" s="34" t="str">
        <f t="shared" si="225"/>
        <v/>
      </c>
      <c r="AP225" s="34" t="str">
        <f t="shared" si="225"/>
        <v/>
      </c>
      <c r="AQ225" s="76" t="s">
        <v>260</v>
      </c>
      <c r="AR225" s="77"/>
      <c r="AS225" s="77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  <c r="BF225" s="77"/>
      <c r="BG225" s="77"/>
      <c r="BH225" s="77"/>
      <c r="BI225" s="77"/>
      <c r="BJ225" s="77"/>
      <c r="BK225" s="77"/>
      <c r="BL225" s="77"/>
      <c r="BM225" s="78"/>
    </row>
    <row r="226">
      <c r="A226" s="79">
        <v>2.7857142857142856</v>
      </c>
      <c r="B226" s="79" t="b">
        <v>0</v>
      </c>
      <c r="C226" s="79" t="b">
        <f t="shared" si="3"/>
        <v>0</v>
      </c>
      <c r="D226" s="80" t="s">
        <v>1565</v>
      </c>
      <c r="E226" s="81" t="s">
        <v>1375</v>
      </c>
      <c r="F226" s="82" t="s">
        <v>1464</v>
      </c>
      <c r="G226" s="35" t="s">
        <v>6</v>
      </c>
      <c r="H226" s="37">
        <v>-4.525603593296614</v>
      </c>
      <c r="I226" s="37">
        <v>-0.18738061482650004</v>
      </c>
      <c r="J226" s="83" t="s">
        <v>1832</v>
      </c>
      <c r="K226" s="35">
        <v>25.7</v>
      </c>
      <c r="L226" s="79">
        <v>29.875</v>
      </c>
      <c r="M226" s="84">
        <v>24.0</v>
      </c>
      <c r="N226" s="84">
        <v>7.0</v>
      </c>
      <c r="O226" s="96" t="s">
        <v>69</v>
      </c>
      <c r="P226" s="96" t="s">
        <v>69</v>
      </c>
      <c r="Q226" s="96" t="s">
        <v>69</v>
      </c>
      <c r="R226" s="96" t="s">
        <v>69</v>
      </c>
      <c r="S226" s="96" t="s">
        <v>69</v>
      </c>
      <c r="T226" s="96" t="s">
        <v>69</v>
      </c>
      <c r="U226" s="96" t="s">
        <v>69</v>
      </c>
      <c r="V226" s="96" t="s">
        <v>69</v>
      </c>
      <c r="W226" s="96" t="s">
        <v>69</v>
      </c>
      <c r="X226" s="96" t="s">
        <v>69</v>
      </c>
      <c r="Y226" s="95">
        <v>-2.0704597528875643</v>
      </c>
      <c r="Z226" s="95">
        <v>-1.6245628668013383</v>
      </c>
      <c r="AA226" s="95">
        <v>-0.8305809736077117</v>
      </c>
      <c r="AB226" s="95">
        <v>0.0</v>
      </c>
      <c r="AC226" s="34" t="str">
        <f t="shared" ref="AC226:AP226" si="226">LET(
  skater, IFERROR(INDEX(AllProj, MATCH($E226, AllProjNames, 0), MATCH(AC$2, AllProjCats, 0) + 1), ""),
  goalie, IFERROR(INDEX(AllGProj, MATCH($E226, AllGProjNames, 0), MATCH(AC$2, AllGProjCats, 0) + 1), ""),
  val, IF(skater &lt;&gt; "", skater, goalie),
  IF(OR($E226="", AC$2="", val=""), "", val * AC$1)
)</f>
        <v/>
      </c>
      <c r="AD226" s="34" t="str">
        <f t="shared" si="226"/>
        <v/>
      </c>
      <c r="AE226" s="34" t="str">
        <f t="shared" si="226"/>
        <v/>
      </c>
      <c r="AF226" s="34" t="str">
        <f t="shared" si="226"/>
        <v/>
      </c>
      <c r="AG226" s="34" t="str">
        <f t="shared" si="226"/>
        <v/>
      </c>
      <c r="AH226" s="34" t="str">
        <f t="shared" si="226"/>
        <v/>
      </c>
      <c r="AI226" s="34" t="str">
        <f t="shared" si="226"/>
        <v/>
      </c>
      <c r="AJ226" s="34" t="str">
        <f t="shared" si="226"/>
        <v/>
      </c>
      <c r="AK226" s="34" t="str">
        <f t="shared" si="226"/>
        <v/>
      </c>
      <c r="AL226" s="34" t="str">
        <f t="shared" si="226"/>
        <v/>
      </c>
      <c r="AM226" s="34" t="str">
        <f t="shared" si="226"/>
        <v/>
      </c>
      <c r="AN226" s="34" t="str">
        <f t="shared" si="226"/>
        <v/>
      </c>
      <c r="AO226" s="34" t="str">
        <f t="shared" si="226"/>
        <v/>
      </c>
      <c r="AP226" s="34" t="str">
        <f t="shared" si="226"/>
        <v/>
      </c>
      <c r="AQ226" s="76" t="s">
        <v>261</v>
      </c>
      <c r="AR226" s="77"/>
      <c r="AS226" s="77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  <c r="BF226" s="77"/>
      <c r="BG226" s="77"/>
      <c r="BH226" s="77"/>
      <c r="BI226" s="77"/>
      <c r="BJ226" s="77"/>
      <c r="BK226" s="77"/>
      <c r="BL226" s="77"/>
      <c r="BM226" s="78"/>
    </row>
    <row r="227">
      <c r="A227" s="41">
        <v>3.0</v>
      </c>
      <c r="B227" s="41" t="b">
        <v>0</v>
      </c>
      <c r="C227" s="41" t="b">
        <f t="shared" si="3"/>
        <v>0</v>
      </c>
      <c r="D227" s="42" t="s">
        <v>1565</v>
      </c>
      <c r="E227" s="43" t="s">
        <v>1385</v>
      </c>
      <c r="F227" s="44" t="s">
        <v>854</v>
      </c>
      <c r="G227" s="29" t="s">
        <v>6</v>
      </c>
      <c r="H227" s="32">
        <v>-4.578693508179361</v>
      </c>
      <c r="I227" s="32">
        <v>-0.24047052970924732</v>
      </c>
      <c r="J227" s="45" t="s">
        <v>1833</v>
      </c>
      <c r="K227" s="29">
        <v>25.1</v>
      </c>
      <c r="L227" s="41">
        <v>25.0</v>
      </c>
      <c r="M227" s="46">
        <v>16.0</v>
      </c>
      <c r="N227" s="46">
        <v>6.0</v>
      </c>
      <c r="O227" s="94" t="s">
        <v>69</v>
      </c>
      <c r="P227" s="94" t="s">
        <v>69</v>
      </c>
      <c r="Q227" s="94" t="s">
        <v>69</v>
      </c>
      <c r="R227" s="94" t="s">
        <v>69</v>
      </c>
      <c r="S227" s="94" t="s">
        <v>69</v>
      </c>
      <c r="T227" s="94" t="s">
        <v>69</v>
      </c>
      <c r="U227" s="94" t="s">
        <v>69</v>
      </c>
      <c r="V227" s="94" t="s">
        <v>69</v>
      </c>
      <c r="W227" s="94" t="s">
        <v>69</v>
      </c>
      <c r="X227" s="94" t="s">
        <v>69</v>
      </c>
      <c r="Y227" s="95">
        <v>-2.452987487149856</v>
      </c>
      <c r="Z227" s="95">
        <v>-1.0538530439547618</v>
      </c>
      <c r="AA227" s="95">
        <v>-1.0718529770747438</v>
      </c>
      <c r="AB227" s="95">
        <v>0.0</v>
      </c>
      <c r="AC227" s="34" t="str">
        <f t="shared" ref="AC227:AP227" si="227">LET(
  skater, IFERROR(INDEX(AllProj, MATCH($E227, AllProjNames, 0), MATCH(AC$2, AllProjCats, 0) + 1), ""),
  goalie, IFERROR(INDEX(AllGProj, MATCH($E227, AllGProjNames, 0), MATCH(AC$2, AllGProjCats, 0) + 1), ""),
  val, IF(skater &lt;&gt; "", skater, goalie),
  IF(OR($E227="", AC$2="", val=""), "", val * AC$1)
)</f>
        <v/>
      </c>
      <c r="AD227" s="34" t="str">
        <f t="shared" si="227"/>
        <v/>
      </c>
      <c r="AE227" s="34" t="str">
        <f t="shared" si="227"/>
        <v/>
      </c>
      <c r="AF227" s="34" t="str">
        <f t="shared" si="227"/>
        <v/>
      </c>
      <c r="AG227" s="34" t="str">
        <f t="shared" si="227"/>
        <v/>
      </c>
      <c r="AH227" s="34" t="str">
        <f t="shared" si="227"/>
        <v/>
      </c>
      <c r="AI227" s="34" t="str">
        <f t="shared" si="227"/>
        <v/>
      </c>
      <c r="AJ227" s="34" t="str">
        <f t="shared" si="227"/>
        <v/>
      </c>
      <c r="AK227" s="34" t="str">
        <f t="shared" si="227"/>
        <v/>
      </c>
      <c r="AL227" s="34" t="str">
        <f t="shared" si="227"/>
        <v/>
      </c>
      <c r="AM227" s="34" t="str">
        <f t="shared" si="227"/>
        <v/>
      </c>
      <c r="AN227" s="34" t="str">
        <f t="shared" si="227"/>
        <v/>
      </c>
      <c r="AO227" s="34" t="str">
        <f t="shared" si="227"/>
        <v/>
      </c>
      <c r="AP227" s="34" t="str">
        <f t="shared" si="227"/>
        <v/>
      </c>
      <c r="AQ227" s="76" t="s">
        <v>262</v>
      </c>
      <c r="AR227" s="77"/>
      <c r="AS227" s="77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  <c r="BF227" s="77"/>
      <c r="BG227" s="77"/>
      <c r="BH227" s="77"/>
      <c r="BI227" s="77"/>
      <c r="BJ227" s="77"/>
      <c r="BK227" s="77"/>
      <c r="BL227" s="77"/>
      <c r="BM227" s="78"/>
    </row>
    <row r="228">
      <c r="A228" s="79" t="s">
        <v>69</v>
      </c>
      <c r="B228" s="79" t="b">
        <v>0</v>
      </c>
      <c r="C228" s="79" t="b">
        <f t="shared" si="3"/>
        <v>1</v>
      </c>
      <c r="D228" s="80" t="s">
        <v>773</v>
      </c>
      <c r="E228" s="81" t="s">
        <v>1834</v>
      </c>
      <c r="F228" s="82" t="s">
        <v>1419</v>
      </c>
      <c r="G228" s="35" t="s">
        <v>829</v>
      </c>
      <c r="H228" s="37">
        <v>-4.580734917039775</v>
      </c>
      <c r="I228" s="37">
        <v>0.8614026916880819</v>
      </c>
      <c r="J228" s="83" t="s">
        <v>1835</v>
      </c>
      <c r="K228" s="35">
        <v>23.6</v>
      </c>
      <c r="L228" s="79">
        <v>81.1945588235294</v>
      </c>
      <c r="M228" s="84">
        <v>23.0</v>
      </c>
      <c r="N228" s="84">
        <v>7.0</v>
      </c>
      <c r="O228" s="85">
        <v>0.16313254885579778</v>
      </c>
      <c r="P228" s="85">
        <v>-0.4102114438978907</v>
      </c>
      <c r="Q228" s="85">
        <v>0.9318854788259875</v>
      </c>
      <c r="R228" s="85">
        <v>-1.571581912788261</v>
      </c>
      <c r="S228" s="85">
        <v>-0.4891347280146372</v>
      </c>
      <c r="T228" s="85">
        <v>-0.776791201270396</v>
      </c>
      <c r="U228" s="85">
        <v>0.43046336830787096</v>
      </c>
      <c r="V228" s="85">
        <v>0.51164339801707</v>
      </c>
      <c r="W228" s="85">
        <v>-1.5440781985673049</v>
      </c>
      <c r="X228" s="85">
        <v>-1.826062226508012</v>
      </c>
      <c r="Y228" s="50" t="s">
        <v>69</v>
      </c>
      <c r="Z228" s="50" t="s">
        <v>69</v>
      </c>
      <c r="AA228" s="50" t="s">
        <v>69</v>
      </c>
      <c r="AB228" s="50" t="s">
        <v>69</v>
      </c>
      <c r="AC228" s="34" t="str">
        <f t="shared" ref="AC228:AP228" si="228">LET(
  skater, IFERROR(INDEX(AllProj, MATCH($E228, AllProjNames, 0), MATCH(AC$2, AllProjCats, 0) + 1), ""),
  goalie, IFERROR(INDEX(AllGProj, MATCH($E228, AllGProjNames, 0), MATCH(AC$2, AllGProjCats, 0) + 1), ""),
  val, IF(skater &lt;&gt; "", skater, goalie),
  IF(OR($E228="", AC$2="", val=""), "", val * AC$1)
)</f>
        <v/>
      </c>
      <c r="AD228" s="34" t="str">
        <f t="shared" si="228"/>
        <v/>
      </c>
      <c r="AE228" s="34" t="str">
        <f t="shared" si="228"/>
        <v/>
      </c>
      <c r="AF228" s="34" t="str">
        <f t="shared" si="228"/>
        <v/>
      </c>
      <c r="AG228" s="34" t="str">
        <f t="shared" si="228"/>
        <v/>
      </c>
      <c r="AH228" s="34" t="str">
        <f t="shared" si="228"/>
        <v/>
      </c>
      <c r="AI228" s="34" t="str">
        <f t="shared" si="228"/>
        <v/>
      </c>
      <c r="AJ228" s="34" t="str">
        <f t="shared" si="228"/>
        <v/>
      </c>
      <c r="AK228" s="34" t="str">
        <f t="shared" si="228"/>
        <v/>
      </c>
      <c r="AL228" s="34" t="str">
        <f t="shared" si="228"/>
        <v/>
      </c>
      <c r="AM228" s="34" t="str">
        <f t="shared" si="228"/>
        <v/>
      </c>
      <c r="AN228" s="34" t="str">
        <f t="shared" si="228"/>
        <v/>
      </c>
      <c r="AO228" s="34" t="str">
        <f t="shared" si="228"/>
        <v/>
      </c>
      <c r="AP228" s="34" t="str">
        <f t="shared" si="228"/>
        <v/>
      </c>
      <c r="AQ228" s="76" t="s">
        <v>263</v>
      </c>
      <c r="AR228" s="77"/>
      <c r="AS228" s="77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  <c r="BF228" s="77"/>
      <c r="BG228" s="77"/>
      <c r="BH228" s="77"/>
      <c r="BI228" s="77"/>
      <c r="BJ228" s="77"/>
      <c r="BK228" s="77"/>
      <c r="BL228" s="77"/>
      <c r="BM228" s="78"/>
    </row>
    <row r="229">
      <c r="A229" s="41">
        <v>2.5</v>
      </c>
      <c r="B229" s="41" t="b">
        <v>0</v>
      </c>
      <c r="C229" s="41" t="b">
        <f t="shared" si="3"/>
        <v>0</v>
      </c>
      <c r="D229" s="42" t="s">
        <v>1565</v>
      </c>
      <c r="E229" s="43" t="s">
        <v>885</v>
      </c>
      <c r="F229" s="44" t="s">
        <v>1482</v>
      </c>
      <c r="G229" s="29" t="s">
        <v>837</v>
      </c>
      <c r="H229" s="32">
        <v>-4.581778879171698</v>
      </c>
      <c r="I229" s="32">
        <v>0.9480798927572032</v>
      </c>
      <c r="J229" s="45" t="s">
        <v>1836</v>
      </c>
      <c r="K229" s="29">
        <v>31.0</v>
      </c>
      <c r="L229" s="41">
        <v>78.11111111111111</v>
      </c>
      <c r="M229" s="46">
        <v>27.0</v>
      </c>
      <c r="N229" s="46">
        <v>6.0</v>
      </c>
      <c r="O229" s="47">
        <v>-2.0589570646345408</v>
      </c>
      <c r="P229" s="47">
        <v>-0.9584279535839909</v>
      </c>
      <c r="Q229" s="47">
        <v>1.961107849339774</v>
      </c>
      <c r="R229" s="47">
        <v>0.09750268542562969</v>
      </c>
      <c r="S229" s="47">
        <v>-1.7146094541489305</v>
      </c>
      <c r="T229" s="47">
        <v>-0.16952108464970286</v>
      </c>
      <c r="U229" s="47">
        <v>-1.8574932011018461</v>
      </c>
      <c r="V229" s="47">
        <v>0.0</v>
      </c>
      <c r="W229" s="47">
        <v>-1.0055715664097329</v>
      </c>
      <c r="X229" s="47">
        <v>1.1241909105916428</v>
      </c>
      <c r="Y229" s="50" t="s">
        <v>69</v>
      </c>
      <c r="Z229" s="50" t="s">
        <v>69</v>
      </c>
      <c r="AA229" s="50" t="s">
        <v>69</v>
      </c>
      <c r="AB229" s="50" t="s">
        <v>69</v>
      </c>
      <c r="AC229" s="34" t="str">
        <f t="shared" ref="AC229:AP229" si="229">LET(
  skater, IFERROR(INDEX(AllProj, MATCH($E229, AllProjNames, 0), MATCH(AC$2, AllProjCats, 0) + 1), ""),
  goalie, IFERROR(INDEX(AllGProj, MATCH($E229, AllGProjNames, 0), MATCH(AC$2, AllGProjCats, 0) + 1), ""),
  val, IF(skater &lt;&gt; "", skater, goalie),
  IF(OR($E229="", AC$2="", val=""), "", val * AC$1)
)</f>
        <v/>
      </c>
      <c r="AD229" s="34" t="str">
        <f t="shared" si="229"/>
        <v/>
      </c>
      <c r="AE229" s="34" t="str">
        <f t="shared" si="229"/>
        <v/>
      </c>
      <c r="AF229" s="34" t="str">
        <f t="shared" si="229"/>
        <v/>
      </c>
      <c r="AG229" s="34" t="str">
        <f t="shared" si="229"/>
        <v/>
      </c>
      <c r="AH229" s="34" t="str">
        <f t="shared" si="229"/>
        <v/>
      </c>
      <c r="AI229" s="34" t="str">
        <f t="shared" si="229"/>
        <v/>
      </c>
      <c r="AJ229" s="34" t="str">
        <f t="shared" si="229"/>
        <v/>
      </c>
      <c r="AK229" s="34" t="str">
        <f t="shared" si="229"/>
        <v/>
      </c>
      <c r="AL229" s="34" t="str">
        <f t="shared" si="229"/>
        <v/>
      </c>
      <c r="AM229" s="34" t="str">
        <f t="shared" si="229"/>
        <v/>
      </c>
      <c r="AN229" s="34" t="str">
        <f t="shared" si="229"/>
        <v/>
      </c>
      <c r="AO229" s="34" t="str">
        <f t="shared" si="229"/>
        <v/>
      </c>
      <c r="AP229" s="34" t="str">
        <f t="shared" si="229"/>
        <v/>
      </c>
      <c r="AQ229" s="76" t="s">
        <v>264</v>
      </c>
      <c r="AR229" s="77"/>
      <c r="AS229" s="77"/>
      <c r="AT229" s="77"/>
      <c r="AU229" s="77"/>
      <c r="AV229" s="77"/>
      <c r="AW229" s="77"/>
      <c r="AX229" s="77"/>
      <c r="AY229" s="77"/>
      <c r="AZ229" s="77"/>
      <c r="BA229" s="77"/>
      <c r="BB229" s="77"/>
      <c r="BC229" s="77"/>
      <c r="BD229" s="77"/>
      <c r="BE229" s="77"/>
      <c r="BF229" s="77"/>
      <c r="BG229" s="77"/>
      <c r="BH229" s="77"/>
      <c r="BI229" s="77"/>
      <c r="BJ229" s="77"/>
      <c r="BK229" s="77"/>
      <c r="BL229" s="77"/>
      <c r="BM229" s="78"/>
    </row>
    <row r="230">
      <c r="A230" s="79" t="s">
        <v>69</v>
      </c>
      <c r="B230" s="79" t="b">
        <v>0</v>
      </c>
      <c r="C230" s="79" t="b">
        <f t="shared" si="3"/>
        <v>1</v>
      </c>
      <c r="D230" s="80" t="s">
        <v>22</v>
      </c>
      <c r="E230" s="81" t="s">
        <v>1837</v>
      </c>
      <c r="F230" s="82" t="s">
        <v>930</v>
      </c>
      <c r="G230" s="35" t="s">
        <v>835</v>
      </c>
      <c r="H230" s="37">
        <v>-4.595056062918999</v>
      </c>
      <c r="I230" s="37">
        <v>0.7928240619937394</v>
      </c>
      <c r="J230" s="83" t="s">
        <v>1838</v>
      </c>
      <c r="K230" s="35">
        <v>31.1</v>
      </c>
      <c r="L230" s="79">
        <v>81.36558823529411</v>
      </c>
      <c r="M230" s="84">
        <v>29.0</v>
      </c>
      <c r="N230" s="84">
        <v>7.0</v>
      </c>
      <c r="O230" s="85">
        <v>0.4719337374396974</v>
      </c>
      <c r="P230" s="85">
        <v>-0.19068953191715302</v>
      </c>
      <c r="Q230" s="85">
        <v>-0.7887169887561813</v>
      </c>
      <c r="R230" s="85">
        <v>-0.7269406382120963</v>
      </c>
      <c r="S230" s="85">
        <v>-0.2776047346125086</v>
      </c>
      <c r="T230" s="85">
        <v>-0.7752937718441054</v>
      </c>
      <c r="U230" s="85">
        <v>0.8170732139905708</v>
      </c>
      <c r="V230" s="85">
        <v>0.0</v>
      </c>
      <c r="W230" s="85">
        <v>-1.1668885994709255</v>
      </c>
      <c r="X230" s="85">
        <v>-1.9579287495362976</v>
      </c>
      <c r="Y230" s="50" t="s">
        <v>69</v>
      </c>
      <c r="Z230" s="50" t="s">
        <v>69</v>
      </c>
      <c r="AA230" s="50" t="s">
        <v>69</v>
      </c>
      <c r="AB230" s="50" t="s">
        <v>69</v>
      </c>
      <c r="AC230" s="34" t="str">
        <f t="shared" ref="AC230:AP230" si="230">LET(
  skater, IFERROR(INDEX(AllProj, MATCH($E230, AllProjNames, 0), MATCH(AC$2, AllProjCats, 0) + 1), ""),
  goalie, IFERROR(INDEX(AllGProj, MATCH($E230, AllGProjNames, 0), MATCH(AC$2, AllGProjCats, 0) + 1), ""),
  val, IF(skater &lt;&gt; "", skater, goalie),
  IF(OR($E230="", AC$2="", val=""), "", val * AC$1)
)</f>
        <v/>
      </c>
      <c r="AD230" s="34" t="str">
        <f t="shared" si="230"/>
        <v/>
      </c>
      <c r="AE230" s="34" t="str">
        <f t="shared" si="230"/>
        <v/>
      </c>
      <c r="AF230" s="34" t="str">
        <f t="shared" si="230"/>
        <v/>
      </c>
      <c r="AG230" s="34" t="str">
        <f t="shared" si="230"/>
        <v/>
      </c>
      <c r="AH230" s="34" t="str">
        <f t="shared" si="230"/>
        <v/>
      </c>
      <c r="AI230" s="34" t="str">
        <f t="shared" si="230"/>
        <v/>
      </c>
      <c r="AJ230" s="34" t="str">
        <f t="shared" si="230"/>
        <v/>
      </c>
      <c r="AK230" s="34" t="str">
        <f t="shared" si="230"/>
        <v/>
      </c>
      <c r="AL230" s="34" t="str">
        <f t="shared" si="230"/>
        <v/>
      </c>
      <c r="AM230" s="34" t="str">
        <f t="shared" si="230"/>
        <v/>
      </c>
      <c r="AN230" s="34" t="str">
        <f t="shared" si="230"/>
        <v/>
      </c>
      <c r="AO230" s="34" t="str">
        <f t="shared" si="230"/>
        <v/>
      </c>
      <c r="AP230" s="34" t="str">
        <f t="shared" si="230"/>
        <v/>
      </c>
      <c r="AQ230" s="76" t="s">
        <v>265</v>
      </c>
      <c r="AR230" s="77"/>
      <c r="AS230" s="77"/>
      <c r="AT230" s="77"/>
      <c r="AU230" s="77"/>
      <c r="AV230" s="77"/>
      <c r="AW230" s="77"/>
      <c r="AX230" s="77"/>
      <c r="AY230" s="77"/>
      <c r="AZ230" s="77"/>
      <c r="BA230" s="77"/>
      <c r="BB230" s="77"/>
      <c r="BC230" s="77"/>
      <c r="BD230" s="77"/>
      <c r="BE230" s="77"/>
      <c r="BF230" s="77"/>
      <c r="BG230" s="77"/>
      <c r="BH230" s="77"/>
      <c r="BI230" s="77"/>
      <c r="BJ230" s="77"/>
      <c r="BK230" s="77"/>
      <c r="BL230" s="77"/>
      <c r="BM230" s="78"/>
    </row>
    <row r="231">
      <c r="A231" s="41">
        <v>2.5</v>
      </c>
      <c r="B231" s="41" t="b">
        <v>0</v>
      </c>
      <c r="C231" s="41" t="b">
        <f t="shared" si="3"/>
        <v>0</v>
      </c>
      <c r="D231" s="42" t="s">
        <v>1565</v>
      </c>
      <c r="E231" s="43" t="s">
        <v>900</v>
      </c>
      <c r="F231" s="44" t="s">
        <v>1454</v>
      </c>
      <c r="G231" s="29" t="s">
        <v>284</v>
      </c>
      <c r="H231" s="32">
        <v>-4.66282798033725</v>
      </c>
      <c r="I231" s="32">
        <v>0.3752380398458355</v>
      </c>
      <c r="J231" s="45" t="s">
        <v>1839</v>
      </c>
      <c r="K231" s="29">
        <v>27.4</v>
      </c>
      <c r="L231" s="41">
        <v>69.85470588235295</v>
      </c>
      <c r="M231" s="46">
        <v>25.0</v>
      </c>
      <c r="N231" s="46">
        <v>6.0</v>
      </c>
      <c r="O231" s="47">
        <v>0.04901207672243407</v>
      </c>
      <c r="P231" s="47">
        <v>-0.4377033760151258</v>
      </c>
      <c r="Q231" s="47">
        <v>-0.725445457208286</v>
      </c>
      <c r="R231" s="47">
        <v>-0.49722527489139645</v>
      </c>
      <c r="S231" s="47">
        <v>0.01270131041134643</v>
      </c>
      <c r="T231" s="47">
        <v>-0.459141730434596</v>
      </c>
      <c r="U231" s="47">
        <v>-0.967727055790793</v>
      </c>
      <c r="V231" s="47">
        <v>0.9966316710972913</v>
      </c>
      <c r="W231" s="47">
        <v>-1.2541736700515493</v>
      </c>
      <c r="X231" s="47">
        <v>-1.3797564741765753</v>
      </c>
      <c r="Y231" s="50" t="s">
        <v>69</v>
      </c>
      <c r="Z231" s="50" t="s">
        <v>69</v>
      </c>
      <c r="AA231" s="50" t="s">
        <v>69</v>
      </c>
      <c r="AB231" s="50" t="s">
        <v>69</v>
      </c>
      <c r="AC231" s="34" t="str">
        <f t="shared" ref="AC231:AP231" si="231">LET(
  skater, IFERROR(INDEX(AllProj, MATCH($E231, AllProjNames, 0), MATCH(AC$2, AllProjCats, 0) + 1), ""),
  goalie, IFERROR(INDEX(AllGProj, MATCH($E231, AllGProjNames, 0), MATCH(AC$2, AllGProjCats, 0) + 1), ""),
  val, IF(skater &lt;&gt; "", skater, goalie),
  IF(OR($E231="", AC$2="", val=""), "", val * AC$1)
)</f>
        <v/>
      </c>
      <c r="AD231" s="34" t="str">
        <f t="shared" si="231"/>
        <v/>
      </c>
      <c r="AE231" s="34" t="str">
        <f t="shared" si="231"/>
        <v/>
      </c>
      <c r="AF231" s="34" t="str">
        <f t="shared" si="231"/>
        <v/>
      </c>
      <c r="AG231" s="34" t="str">
        <f t="shared" si="231"/>
        <v/>
      </c>
      <c r="AH231" s="34" t="str">
        <f t="shared" si="231"/>
        <v/>
      </c>
      <c r="AI231" s="34" t="str">
        <f t="shared" si="231"/>
        <v/>
      </c>
      <c r="AJ231" s="34" t="str">
        <f t="shared" si="231"/>
        <v/>
      </c>
      <c r="AK231" s="34" t="str">
        <f t="shared" si="231"/>
        <v/>
      </c>
      <c r="AL231" s="34" t="str">
        <f t="shared" si="231"/>
        <v/>
      </c>
      <c r="AM231" s="34" t="str">
        <f t="shared" si="231"/>
        <v/>
      </c>
      <c r="AN231" s="34" t="str">
        <f t="shared" si="231"/>
        <v/>
      </c>
      <c r="AO231" s="34" t="str">
        <f t="shared" si="231"/>
        <v/>
      </c>
      <c r="AP231" s="34" t="str">
        <f t="shared" si="231"/>
        <v/>
      </c>
      <c r="AQ231" s="76" t="s">
        <v>266</v>
      </c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 s="77"/>
      <c r="BH231" s="77"/>
      <c r="BI231" s="77"/>
      <c r="BJ231" s="77"/>
      <c r="BK231" s="77"/>
      <c r="BL231" s="77"/>
      <c r="BM231" s="78"/>
    </row>
    <row r="232">
      <c r="A232" s="79">
        <v>2.9285714285714284</v>
      </c>
      <c r="B232" s="79" t="b">
        <v>0</v>
      </c>
      <c r="C232" s="79" t="b">
        <f t="shared" si="3"/>
        <v>0</v>
      </c>
      <c r="D232" s="80" t="s">
        <v>1565</v>
      </c>
      <c r="E232" s="81" t="s">
        <v>1383</v>
      </c>
      <c r="F232" s="82" t="s">
        <v>1594</v>
      </c>
      <c r="G232" s="35" t="s">
        <v>6</v>
      </c>
      <c r="H232" s="37">
        <v>-4.68894150203628</v>
      </c>
      <c r="I232" s="37">
        <v>-0.35071852356616606</v>
      </c>
      <c r="J232" s="83" t="s">
        <v>1840</v>
      </c>
      <c r="K232" s="35">
        <v>34.8</v>
      </c>
      <c r="L232" s="79">
        <v>33.0</v>
      </c>
      <c r="M232" s="84">
        <v>26.0</v>
      </c>
      <c r="N232" s="84">
        <v>6.0</v>
      </c>
      <c r="O232" s="96" t="s">
        <v>69</v>
      </c>
      <c r="P232" s="96" t="s">
        <v>69</v>
      </c>
      <c r="Q232" s="96" t="s">
        <v>69</v>
      </c>
      <c r="R232" s="96" t="s">
        <v>69</v>
      </c>
      <c r="S232" s="96" t="s">
        <v>69</v>
      </c>
      <c r="T232" s="96" t="s">
        <v>69</v>
      </c>
      <c r="U232" s="96" t="s">
        <v>69</v>
      </c>
      <c r="V232" s="96" t="s">
        <v>69</v>
      </c>
      <c r="W232" s="96" t="s">
        <v>69</v>
      </c>
      <c r="X232" s="96" t="s">
        <v>69</v>
      </c>
      <c r="Y232" s="95">
        <v>-2.271704950179292</v>
      </c>
      <c r="Z232" s="95">
        <v>-1.4556793477957233</v>
      </c>
      <c r="AA232" s="95">
        <v>-0.9615572040612644</v>
      </c>
      <c r="AB232" s="95">
        <v>0.0</v>
      </c>
      <c r="AC232" s="34" t="str">
        <f t="shared" ref="AC232:AP232" si="232">LET(
  skater, IFERROR(INDEX(AllProj, MATCH($E232, AllProjNames, 0), MATCH(AC$2, AllProjCats, 0) + 1), ""),
  goalie, IFERROR(INDEX(AllGProj, MATCH($E232, AllGProjNames, 0), MATCH(AC$2, AllGProjCats, 0) + 1), ""),
  val, IF(skater &lt;&gt; "", skater, goalie),
  IF(OR($E232="", AC$2="", val=""), "", val * AC$1)
)</f>
        <v/>
      </c>
      <c r="AD232" s="34" t="str">
        <f t="shared" si="232"/>
        <v/>
      </c>
      <c r="AE232" s="34" t="str">
        <f t="shared" si="232"/>
        <v/>
      </c>
      <c r="AF232" s="34" t="str">
        <f t="shared" si="232"/>
        <v/>
      </c>
      <c r="AG232" s="34" t="str">
        <f t="shared" si="232"/>
        <v/>
      </c>
      <c r="AH232" s="34" t="str">
        <f t="shared" si="232"/>
        <v/>
      </c>
      <c r="AI232" s="34" t="str">
        <f t="shared" si="232"/>
        <v/>
      </c>
      <c r="AJ232" s="34" t="str">
        <f t="shared" si="232"/>
        <v/>
      </c>
      <c r="AK232" s="34" t="str">
        <f t="shared" si="232"/>
        <v/>
      </c>
      <c r="AL232" s="34" t="str">
        <f t="shared" si="232"/>
        <v/>
      </c>
      <c r="AM232" s="34" t="str">
        <f t="shared" si="232"/>
        <v/>
      </c>
      <c r="AN232" s="34" t="str">
        <f t="shared" si="232"/>
        <v/>
      </c>
      <c r="AO232" s="34" t="str">
        <f t="shared" si="232"/>
        <v/>
      </c>
      <c r="AP232" s="34" t="str">
        <f t="shared" si="232"/>
        <v/>
      </c>
      <c r="AQ232" s="76" t="s">
        <v>267</v>
      </c>
      <c r="AR232" s="77"/>
      <c r="AS232" s="77"/>
      <c r="AT232" s="77"/>
      <c r="AU232" s="77"/>
      <c r="AV232" s="77"/>
      <c r="AW232" s="77"/>
      <c r="AX232" s="77"/>
      <c r="AY232" s="77"/>
      <c r="AZ232" s="77"/>
      <c r="BA232" s="77"/>
      <c r="BB232" s="77"/>
      <c r="BC232" s="77"/>
      <c r="BD232" s="77"/>
      <c r="BE232" s="77"/>
      <c r="BF232" s="77"/>
      <c r="BG232" s="77"/>
      <c r="BH232" s="77"/>
      <c r="BI232" s="77"/>
      <c r="BJ232" s="77"/>
      <c r="BK232" s="77"/>
      <c r="BL232" s="77"/>
      <c r="BM232" s="78"/>
    </row>
    <row r="233">
      <c r="A233" s="41">
        <v>2.5</v>
      </c>
      <c r="B233" s="41" t="b">
        <v>0</v>
      </c>
      <c r="C233" s="41" t="b">
        <f t="shared" si="3"/>
        <v>0</v>
      </c>
      <c r="D233" s="42" t="s">
        <v>1565</v>
      </c>
      <c r="E233" s="43" t="s">
        <v>882</v>
      </c>
      <c r="F233" s="44" t="s">
        <v>930</v>
      </c>
      <c r="G233" s="29" t="s">
        <v>837</v>
      </c>
      <c r="H233" s="32">
        <v>-4.696193525874772</v>
      </c>
      <c r="I233" s="32">
        <v>0.833665246054129</v>
      </c>
      <c r="J233" s="45" t="s">
        <v>1841</v>
      </c>
      <c r="K233" s="29">
        <v>30.3</v>
      </c>
      <c r="L233" s="41">
        <v>82.19411764705882</v>
      </c>
      <c r="M233" s="46">
        <v>29.0</v>
      </c>
      <c r="N233" s="46">
        <v>7.0</v>
      </c>
      <c r="O233" s="47">
        <v>-1.7776470488987692</v>
      </c>
      <c r="P233" s="47">
        <v>-0.6766006621233364</v>
      </c>
      <c r="Q233" s="47">
        <v>1.6746417684172588</v>
      </c>
      <c r="R233" s="47">
        <v>-0.5518923685943214</v>
      </c>
      <c r="S233" s="47">
        <v>-1.4897861154190657</v>
      </c>
      <c r="T233" s="47">
        <v>-0.37621740858935515</v>
      </c>
      <c r="U233" s="47">
        <v>-0.5065874325933895</v>
      </c>
      <c r="V233" s="47">
        <v>0.0</v>
      </c>
      <c r="W233" s="47">
        <v>-1.2689026845632905</v>
      </c>
      <c r="X233" s="47">
        <v>0.27679842648949726</v>
      </c>
      <c r="Y233" s="50" t="s">
        <v>69</v>
      </c>
      <c r="Z233" s="50" t="s">
        <v>69</v>
      </c>
      <c r="AA233" s="50" t="s">
        <v>69</v>
      </c>
      <c r="AB233" s="50" t="s">
        <v>69</v>
      </c>
      <c r="AC233" s="34" t="str">
        <f t="shared" ref="AC233:AP233" si="233">LET(
  skater, IFERROR(INDEX(AllProj, MATCH($E233, AllProjNames, 0), MATCH(AC$2, AllProjCats, 0) + 1), ""),
  goalie, IFERROR(INDEX(AllGProj, MATCH($E233, AllGProjNames, 0), MATCH(AC$2, AllGProjCats, 0) + 1), ""),
  val, IF(skater &lt;&gt; "", skater, goalie),
  IF(OR($E233="", AC$2="", val=""), "", val * AC$1)
)</f>
        <v/>
      </c>
      <c r="AD233" s="34" t="str">
        <f t="shared" si="233"/>
        <v/>
      </c>
      <c r="AE233" s="34" t="str">
        <f t="shared" si="233"/>
        <v/>
      </c>
      <c r="AF233" s="34" t="str">
        <f t="shared" si="233"/>
        <v/>
      </c>
      <c r="AG233" s="34" t="str">
        <f t="shared" si="233"/>
        <v/>
      </c>
      <c r="AH233" s="34" t="str">
        <f t="shared" si="233"/>
        <v/>
      </c>
      <c r="AI233" s="34" t="str">
        <f t="shared" si="233"/>
        <v/>
      </c>
      <c r="AJ233" s="34" t="str">
        <f t="shared" si="233"/>
        <v/>
      </c>
      <c r="AK233" s="34" t="str">
        <f t="shared" si="233"/>
        <v/>
      </c>
      <c r="AL233" s="34" t="str">
        <f t="shared" si="233"/>
        <v/>
      </c>
      <c r="AM233" s="34" t="str">
        <f t="shared" si="233"/>
        <v/>
      </c>
      <c r="AN233" s="34" t="str">
        <f t="shared" si="233"/>
        <v/>
      </c>
      <c r="AO233" s="34" t="str">
        <f t="shared" si="233"/>
        <v/>
      </c>
      <c r="AP233" s="34" t="str">
        <f t="shared" si="233"/>
        <v/>
      </c>
      <c r="AQ233" s="76" t="s">
        <v>268</v>
      </c>
      <c r="AR233" s="77"/>
      <c r="AS233" s="77"/>
      <c r="AT233" s="77"/>
      <c r="AU233" s="77"/>
      <c r="AV233" s="77"/>
      <c r="AW233" s="77"/>
      <c r="AX233" s="77"/>
      <c r="AY233" s="77"/>
      <c r="AZ233" s="77"/>
      <c r="BA233" s="77"/>
      <c r="BB233" s="77"/>
      <c r="BC233" s="77"/>
      <c r="BD233" s="77"/>
      <c r="BE233" s="77"/>
      <c r="BF233" s="77"/>
      <c r="BG233" s="77"/>
      <c r="BH233" s="77"/>
      <c r="BI233" s="77"/>
      <c r="BJ233" s="77"/>
      <c r="BK233" s="77"/>
      <c r="BL233" s="77"/>
      <c r="BM233" s="78"/>
    </row>
    <row r="234">
      <c r="A234" s="79">
        <v>2.5714285714285716</v>
      </c>
      <c r="B234" s="79" t="b">
        <v>0</v>
      </c>
      <c r="C234" s="79" t="b">
        <f t="shared" si="3"/>
        <v>0</v>
      </c>
      <c r="D234" s="80" t="s">
        <v>1565</v>
      </c>
      <c r="E234" s="81" t="s">
        <v>940</v>
      </c>
      <c r="F234" s="82" t="s">
        <v>1436</v>
      </c>
      <c r="G234" s="35" t="s">
        <v>837</v>
      </c>
      <c r="H234" s="37">
        <v>-4.702674842563918</v>
      </c>
      <c r="I234" s="37">
        <v>0.827183929364983</v>
      </c>
      <c r="J234" s="83" t="s">
        <v>1842</v>
      </c>
      <c r="K234" s="35">
        <v>31.1</v>
      </c>
      <c r="L234" s="79">
        <v>76.8364705882353</v>
      </c>
      <c r="M234" s="84">
        <v>26.0</v>
      </c>
      <c r="N234" s="84">
        <v>5.0</v>
      </c>
      <c r="O234" s="85">
        <v>-1.8716852649198445</v>
      </c>
      <c r="P234" s="85">
        <v>-0.7618675409419525</v>
      </c>
      <c r="Q234" s="85">
        <v>-1.3590864081597815</v>
      </c>
      <c r="R234" s="85">
        <v>0.17157515356832317</v>
      </c>
      <c r="S234" s="85">
        <v>-0.9215767617383986</v>
      </c>
      <c r="T234" s="85">
        <v>-0.3339217153190562</v>
      </c>
      <c r="U234" s="85">
        <v>-0.8054748666710165</v>
      </c>
      <c r="V234" s="85">
        <v>0.0</v>
      </c>
      <c r="W234" s="85">
        <v>0.5150538058822774</v>
      </c>
      <c r="X234" s="85">
        <v>0.6643087557355313</v>
      </c>
      <c r="Y234" s="50" t="s">
        <v>69</v>
      </c>
      <c r="Z234" s="50" t="s">
        <v>69</v>
      </c>
      <c r="AA234" s="50" t="s">
        <v>69</v>
      </c>
      <c r="AB234" s="50" t="s">
        <v>69</v>
      </c>
      <c r="AC234" s="34" t="str">
        <f t="shared" ref="AC234:AP234" si="234">LET(
  skater, IFERROR(INDEX(AllProj, MATCH($E234, AllProjNames, 0), MATCH(AC$2, AllProjCats, 0) + 1), ""),
  goalie, IFERROR(INDEX(AllGProj, MATCH($E234, AllGProjNames, 0), MATCH(AC$2, AllGProjCats, 0) + 1), ""),
  val, IF(skater &lt;&gt; "", skater, goalie),
  IF(OR($E234="", AC$2="", val=""), "", val * AC$1)
)</f>
        <v/>
      </c>
      <c r="AD234" s="34" t="str">
        <f t="shared" si="234"/>
        <v/>
      </c>
      <c r="AE234" s="34" t="str">
        <f t="shared" si="234"/>
        <v/>
      </c>
      <c r="AF234" s="34" t="str">
        <f t="shared" si="234"/>
        <v/>
      </c>
      <c r="AG234" s="34" t="str">
        <f t="shared" si="234"/>
        <v/>
      </c>
      <c r="AH234" s="34" t="str">
        <f t="shared" si="234"/>
        <v/>
      </c>
      <c r="AI234" s="34" t="str">
        <f t="shared" si="234"/>
        <v/>
      </c>
      <c r="AJ234" s="34" t="str">
        <f t="shared" si="234"/>
        <v/>
      </c>
      <c r="AK234" s="34" t="str">
        <f t="shared" si="234"/>
        <v/>
      </c>
      <c r="AL234" s="34" t="str">
        <f t="shared" si="234"/>
        <v/>
      </c>
      <c r="AM234" s="34" t="str">
        <f t="shared" si="234"/>
        <v/>
      </c>
      <c r="AN234" s="34" t="str">
        <f t="shared" si="234"/>
        <v/>
      </c>
      <c r="AO234" s="34" t="str">
        <f t="shared" si="234"/>
        <v/>
      </c>
      <c r="AP234" s="34" t="str">
        <f t="shared" si="234"/>
        <v/>
      </c>
      <c r="AQ234" s="76" t="s">
        <v>269</v>
      </c>
      <c r="AR234" s="77"/>
      <c r="AS234" s="77"/>
      <c r="AT234" s="77"/>
      <c r="AU234" s="77"/>
      <c r="AV234" s="77"/>
      <c r="AW234" s="77"/>
      <c r="AX234" s="77"/>
      <c r="AY234" s="77"/>
      <c r="AZ234" s="77"/>
      <c r="BA234" s="77"/>
      <c r="BB234" s="77"/>
      <c r="BC234" s="77"/>
      <c r="BD234" s="77"/>
      <c r="BE234" s="77"/>
      <c r="BF234" s="77"/>
      <c r="BG234" s="77"/>
      <c r="BH234" s="77"/>
      <c r="BI234" s="77"/>
      <c r="BJ234" s="77"/>
      <c r="BK234" s="77"/>
      <c r="BL234" s="77"/>
      <c r="BM234" s="78"/>
    </row>
    <row r="235">
      <c r="A235" s="41" t="s">
        <v>69</v>
      </c>
      <c r="B235" s="41" t="b">
        <v>0</v>
      </c>
      <c r="C235" s="41" t="b">
        <f t="shared" si="3"/>
        <v>1</v>
      </c>
      <c r="D235" s="42" t="s">
        <v>827</v>
      </c>
      <c r="E235" s="43" t="s">
        <v>1843</v>
      </c>
      <c r="F235" s="44" t="s">
        <v>1429</v>
      </c>
      <c r="G235" s="29" t="s">
        <v>284</v>
      </c>
      <c r="H235" s="32">
        <v>-4.706297180518659</v>
      </c>
      <c r="I235" s="32">
        <v>0.3317688396644263</v>
      </c>
      <c r="J235" s="45" t="s">
        <v>1844</v>
      </c>
      <c r="K235" s="29">
        <v>29.7</v>
      </c>
      <c r="L235" s="41">
        <v>81.42857142857143</v>
      </c>
      <c r="M235" s="46">
        <v>24.0</v>
      </c>
      <c r="N235" s="46">
        <v>7.0</v>
      </c>
      <c r="O235" s="47">
        <v>-1.6617226339616002</v>
      </c>
      <c r="P235" s="47">
        <v>-1.6090471435953377</v>
      </c>
      <c r="Q235" s="47">
        <v>-0.12451603880625725</v>
      </c>
      <c r="R235" s="47">
        <v>-0.3381875870061854</v>
      </c>
      <c r="S235" s="47">
        <v>-1.693495728928858</v>
      </c>
      <c r="T235" s="47">
        <v>-0.16952108464970286</v>
      </c>
      <c r="U235" s="47">
        <v>-1.6186717251311282</v>
      </c>
      <c r="V235" s="47">
        <v>0.0</v>
      </c>
      <c r="W235" s="47">
        <v>4.064965506944585</v>
      </c>
      <c r="X235" s="47">
        <v>-1.5561007453841738</v>
      </c>
      <c r="Y235" s="50" t="s">
        <v>69</v>
      </c>
      <c r="Z235" s="50" t="s">
        <v>69</v>
      </c>
      <c r="AA235" s="50" t="s">
        <v>69</v>
      </c>
      <c r="AB235" s="50" t="s">
        <v>69</v>
      </c>
      <c r="AC235" s="34" t="str">
        <f t="shared" ref="AC235:AP235" si="235">LET(
  skater, IFERROR(INDEX(AllProj, MATCH($E235, AllProjNames, 0), MATCH(AC$2, AllProjCats, 0) + 1), ""),
  goalie, IFERROR(INDEX(AllGProj, MATCH($E235, AllGProjNames, 0), MATCH(AC$2, AllGProjCats, 0) + 1), ""),
  val, IF(skater &lt;&gt; "", skater, goalie),
  IF(OR($E235="", AC$2="", val=""), "", val * AC$1)
)</f>
        <v/>
      </c>
      <c r="AD235" s="34" t="str">
        <f t="shared" si="235"/>
        <v/>
      </c>
      <c r="AE235" s="34" t="str">
        <f t="shared" si="235"/>
        <v/>
      </c>
      <c r="AF235" s="34" t="str">
        <f t="shared" si="235"/>
        <v/>
      </c>
      <c r="AG235" s="34" t="str">
        <f t="shared" si="235"/>
        <v/>
      </c>
      <c r="AH235" s="34" t="str">
        <f t="shared" si="235"/>
        <v/>
      </c>
      <c r="AI235" s="34" t="str">
        <f t="shared" si="235"/>
        <v/>
      </c>
      <c r="AJ235" s="34" t="str">
        <f t="shared" si="235"/>
        <v/>
      </c>
      <c r="AK235" s="34" t="str">
        <f t="shared" si="235"/>
        <v/>
      </c>
      <c r="AL235" s="34" t="str">
        <f t="shared" si="235"/>
        <v/>
      </c>
      <c r="AM235" s="34" t="str">
        <f t="shared" si="235"/>
        <v/>
      </c>
      <c r="AN235" s="34" t="str">
        <f t="shared" si="235"/>
        <v/>
      </c>
      <c r="AO235" s="34" t="str">
        <f t="shared" si="235"/>
        <v/>
      </c>
      <c r="AP235" s="34" t="str">
        <f t="shared" si="235"/>
        <v/>
      </c>
      <c r="AQ235" s="76" t="s">
        <v>270</v>
      </c>
      <c r="AR235" s="77"/>
      <c r="AS235" s="77"/>
      <c r="AT235" s="77"/>
      <c r="AU235" s="77"/>
      <c r="AV235" s="77"/>
      <c r="AW235" s="77"/>
      <c r="AX235" s="77"/>
      <c r="AY235" s="77"/>
      <c r="AZ235" s="77"/>
      <c r="BA235" s="77"/>
      <c r="BB235" s="77"/>
      <c r="BC235" s="77"/>
      <c r="BD235" s="77"/>
      <c r="BE235" s="77"/>
      <c r="BF235" s="77"/>
      <c r="BG235" s="77"/>
      <c r="BH235" s="77"/>
      <c r="BI235" s="77"/>
      <c r="BJ235" s="77"/>
      <c r="BK235" s="77"/>
      <c r="BL235" s="77"/>
      <c r="BM235" s="78"/>
    </row>
    <row r="236">
      <c r="A236" s="79" t="s">
        <v>69</v>
      </c>
      <c r="B236" s="79" t="b">
        <v>0</v>
      </c>
      <c r="C236" s="79" t="b">
        <f t="shared" si="3"/>
        <v>1</v>
      </c>
      <c r="D236" s="80" t="s">
        <v>773</v>
      </c>
      <c r="E236" s="81" t="s">
        <v>1845</v>
      </c>
      <c r="F236" s="82" t="s">
        <v>1444</v>
      </c>
      <c r="G236" s="35" t="s">
        <v>836</v>
      </c>
      <c r="H236" s="37">
        <v>-4.784613003318258</v>
      </c>
      <c r="I236" s="37">
        <v>0.6575246054095993</v>
      </c>
      <c r="J236" s="83" t="s">
        <v>1846</v>
      </c>
      <c r="K236" s="35">
        <v>24.9</v>
      </c>
      <c r="L236" s="79">
        <v>83.65235294117646</v>
      </c>
      <c r="M236" s="84">
        <v>33.0</v>
      </c>
      <c r="N236" s="84">
        <v>6.0</v>
      </c>
      <c r="O236" s="85">
        <v>0.5198635462723887</v>
      </c>
      <c r="P236" s="85">
        <v>0.19240057009970168</v>
      </c>
      <c r="Q236" s="85">
        <v>-1.669047550467924</v>
      </c>
      <c r="R236" s="85">
        <v>-1.0884808658468819</v>
      </c>
      <c r="S236" s="85">
        <v>0.06881192333600135</v>
      </c>
      <c r="T236" s="85">
        <v>-0.7819979139130161</v>
      </c>
      <c r="U236" s="85">
        <v>0.34466634695275766</v>
      </c>
      <c r="V236" s="85">
        <v>0.0</v>
      </c>
      <c r="W236" s="85">
        <v>-0.7995645771184924</v>
      </c>
      <c r="X236" s="85">
        <v>-1.5712644826327933</v>
      </c>
      <c r="Y236" s="50" t="s">
        <v>69</v>
      </c>
      <c r="Z236" s="50" t="s">
        <v>69</v>
      </c>
      <c r="AA236" s="50" t="s">
        <v>69</v>
      </c>
      <c r="AB236" s="50" t="s">
        <v>69</v>
      </c>
      <c r="AC236" s="34" t="str">
        <f t="shared" ref="AC236:AP236" si="236">LET(
  skater, IFERROR(INDEX(AllProj, MATCH($E236, AllProjNames, 0), MATCH(AC$2, AllProjCats, 0) + 1), ""),
  goalie, IFERROR(INDEX(AllGProj, MATCH($E236, AllGProjNames, 0), MATCH(AC$2, AllGProjCats, 0) + 1), ""),
  val, IF(skater &lt;&gt; "", skater, goalie),
  IF(OR($E236="", AC$2="", val=""), "", val * AC$1)
)</f>
        <v/>
      </c>
      <c r="AD236" s="34" t="str">
        <f t="shared" si="236"/>
        <v/>
      </c>
      <c r="AE236" s="34" t="str">
        <f t="shared" si="236"/>
        <v/>
      </c>
      <c r="AF236" s="34" t="str">
        <f t="shared" si="236"/>
        <v/>
      </c>
      <c r="AG236" s="34" t="str">
        <f t="shared" si="236"/>
        <v/>
      </c>
      <c r="AH236" s="34" t="str">
        <f t="shared" si="236"/>
        <v/>
      </c>
      <c r="AI236" s="34" t="str">
        <f t="shared" si="236"/>
        <v/>
      </c>
      <c r="AJ236" s="34" t="str">
        <f t="shared" si="236"/>
        <v/>
      </c>
      <c r="AK236" s="34" t="str">
        <f t="shared" si="236"/>
        <v/>
      </c>
      <c r="AL236" s="34" t="str">
        <f t="shared" si="236"/>
        <v/>
      </c>
      <c r="AM236" s="34" t="str">
        <f t="shared" si="236"/>
        <v/>
      </c>
      <c r="AN236" s="34" t="str">
        <f t="shared" si="236"/>
        <v/>
      </c>
      <c r="AO236" s="34" t="str">
        <f t="shared" si="236"/>
        <v/>
      </c>
      <c r="AP236" s="34" t="str">
        <f t="shared" si="236"/>
        <v/>
      </c>
      <c r="AQ236" s="76" t="s">
        <v>271</v>
      </c>
      <c r="AR236" s="77"/>
      <c r="AS236" s="77"/>
      <c r="AT236" s="77"/>
      <c r="AU236" s="77"/>
      <c r="AV236" s="77"/>
      <c r="AW236" s="77"/>
      <c r="AX236" s="77"/>
      <c r="AY236" s="77"/>
      <c r="AZ236" s="77"/>
      <c r="BA236" s="77"/>
      <c r="BB236" s="77"/>
      <c r="BC236" s="77"/>
      <c r="BD236" s="77"/>
      <c r="BE236" s="77"/>
      <c r="BF236" s="77"/>
      <c r="BG236" s="77"/>
      <c r="BH236" s="77"/>
      <c r="BI236" s="77"/>
      <c r="BJ236" s="77"/>
      <c r="BK236" s="77"/>
      <c r="BL236" s="77"/>
      <c r="BM236" s="78"/>
    </row>
    <row r="237">
      <c r="A237" s="41" t="s">
        <v>69</v>
      </c>
      <c r="B237" s="41" t="b">
        <v>0</v>
      </c>
      <c r="C237" s="41" t="b">
        <f t="shared" si="3"/>
        <v>1</v>
      </c>
      <c r="D237" s="42" t="s">
        <v>254</v>
      </c>
      <c r="E237" s="43" t="s">
        <v>1847</v>
      </c>
      <c r="F237" s="44" t="s">
        <v>930</v>
      </c>
      <c r="G237" s="29" t="s">
        <v>837</v>
      </c>
      <c r="H237" s="32">
        <v>-4.789785695778109</v>
      </c>
      <c r="I237" s="32">
        <v>0.7400730761507921</v>
      </c>
      <c r="J237" s="45" t="s">
        <v>1848</v>
      </c>
      <c r="K237" s="29">
        <v>32.0</v>
      </c>
      <c r="L237" s="41">
        <v>76.16338235294117</v>
      </c>
      <c r="M237" s="46">
        <v>29.0</v>
      </c>
      <c r="N237" s="46">
        <v>7.0</v>
      </c>
      <c r="O237" s="47">
        <v>-1.4409805654285208</v>
      </c>
      <c r="P237" s="47">
        <v>0.16005977418633305</v>
      </c>
      <c r="Q237" s="47">
        <v>-1.843256019386471</v>
      </c>
      <c r="R237" s="47">
        <v>-1.1024670390395057</v>
      </c>
      <c r="S237" s="47">
        <v>0.6155239965330502</v>
      </c>
      <c r="T237" s="47">
        <v>-0.44041294030672945</v>
      </c>
      <c r="U237" s="47">
        <v>-0.35473304307965925</v>
      </c>
      <c r="V237" s="47">
        <v>0.0</v>
      </c>
      <c r="W237" s="47">
        <v>-0.9225900251399639</v>
      </c>
      <c r="X237" s="47">
        <v>0.5390701658833578</v>
      </c>
      <c r="Y237" s="50" t="s">
        <v>69</v>
      </c>
      <c r="Z237" s="50" t="s">
        <v>69</v>
      </c>
      <c r="AA237" s="50" t="s">
        <v>69</v>
      </c>
      <c r="AB237" s="50" t="s">
        <v>69</v>
      </c>
      <c r="AC237" s="34" t="str">
        <f t="shared" ref="AC237:AP237" si="237">LET(
  skater, IFERROR(INDEX(AllProj, MATCH($E237, AllProjNames, 0), MATCH(AC$2, AllProjCats, 0) + 1), ""),
  goalie, IFERROR(INDEX(AllGProj, MATCH($E237, AllGProjNames, 0), MATCH(AC$2, AllGProjCats, 0) + 1), ""),
  val, IF(skater &lt;&gt; "", skater, goalie),
  IF(OR($E237="", AC$2="", val=""), "", val * AC$1)
)</f>
        <v/>
      </c>
      <c r="AD237" s="34" t="str">
        <f t="shared" si="237"/>
        <v/>
      </c>
      <c r="AE237" s="34" t="str">
        <f t="shared" si="237"/>
        <v/>
      </c>
      <c r="AF237" s="34" t="str">
        <f t="shared" si="237"/>
        <v/>
      </c>
      <c r="AG237" s="34" t="str">
        <f t="shared" si="237"/>
        <v/>
      </c>
      <c r="AH237" s="34" t="str">
        <f t="shared" si="237"/>
        <v/>
      </c>
      <c r="AI237" s="34" t="str">
        <f t="shared" si="237"/>
        <v/>
      </c>
      <c r="AJ237" s="34" t="str">
        <f t="shared" si="237"/>
        <v/>
      </c>
      <c r="AK237" s="34" t="str">
        <f t="shared" si="237"/>
        <v/>
      </c>
      <c r="AL237" s="34" t="str">
        <f t="shared" si="237"/>
        <v/>
      </c>
      <c r="AM237" s="34" t="str">
        <f t="shared" si="237"/>
        <v/>
      </c>
      <c r="AN237" s="34" t="str">
        <f t="shared" si="237"/>
        <v/>
      </c>
      <c r="AO237" s="34" t="str">
        <f t="shared" si="237"/>
        <v/>
      </c>
      <c r="AP237" s="34" t="str">
        <f t="shared" si="237"/>
        <v/>
      </c>
      <c r="AQ237" s="76" t="s">
        <v>272</v>
      </c>
      <c r="AR237" s="77"/>
      <c r="AS237" s="77"/>
      <c r="AT237" s="77"/>
      <c r="AU237" s="77"/>
      <c r="AV237" s="77"/>
      <c r="AW237" s="77"/>
      <c r="AX237" s="77"/>
      <c r="AY237" s="77"/>
      <c r="AZ237" s="77"/>
      <c r="BA237" s="77"/>
      <c r="BB237" s="77"/>
      <c r="BC237" s="77"/>
      <c r="BD237" s="77"/>
      <c r="BE237" s="77"/>
      <c r="BF237" s="77"/>
      <c r="BG237" s="77"/>
      <c r="BH237" s="77"/>
      <c r="BI237" s="77"/>
      <c r="BJ237" s="77"/>
      <c r="BK237" s="77"/>
      <c r="BL237" s="77"/>
      <c r="BM237" s="78"/>
    </row>
    <row r="238">
      <c r="A238" s="79" t="s">
        <v>69</v>
      </c>
      <c r="B238" s="79" t="b">
        <v>0</v>
      </c>
      <c r="C238" s="79" t="b">
        <f t="shared" si="3"/>
        <v>1</v>
      </c>
      <c r="D238" s="80" t="s">
        <v>825</v>
      </c>
      <c r="E238" s="81" t="s">
        <v>1849</v>
      </c>
      <c r="F238" s="82" t="s">
        <v>279</v>
      </c>
      <c r="G238" s="35" t="s">
        <v>837</v>
      </c>
      <c r="H238" s="37">
        <v>-4.808315062080187</v>
      </c>
      <c r="I238" s="37">
        <v>0.7215437098487145</v>
      </c>
      <c r="J238" s="83" t="s">
        <v>1850</v>
      </c>
      <c r="K238" s="35">
        <v>28.1</v>
      </c>
      <c r="L238" s="79">
        <v>81.11264705882353</v>
      </c>
      <c r="M238" s="84">
        <v>34.0</v>
      </c>
      <c r="N238" s="84">
        <v>7.0</v>
      </c>
      <c r="O238" s="85">
        <v>-1.6370457200650035</v>
      </c>
      <c r="P238" s="85">
        <v>-0.6681244372142784</v>
      </c>
      <c r="Q238" s="85">
        <v>2.6921238444603444</v>
      </c>
      <c r="R238" s="85">
        <v>-1.4753743137477089</v>
      </c>
      <c r="S238" s="85">
        <v>-1.5467102938718438</v>
      </c>
      <c r="T238" s="85">
        <v>-0.76024162965024</v>
      </c>
      <c r="U238" s="85">
        <v>-0.21325228211868907</v>
      </c>
      <c r="V238" s="85">
        <v>0.0</v>
      </c>
      <c r="W238" s="85">
        <v>-1.60080877263507</v>
      </c>
      <c r="X238" s="85">
        <v>0.40111854276230324</v>
      </c>
      <c r="Y238" s="50" t="s">
        <v>69</v>
      </c>
      <c r="Z238" s="50" t="s">
        <v>69</v>
      </c>
      <c r="AA238" s="50" t="s">
        <v>69</v>
      </c>
      <c r="AB238" s="50" t="s">
        <v>69</v>
      </c>
      <c r="AC238" s="34" t="str">
        <f t="shared" ref="AC238:AP238" si="238">LET(
  skater, IFERROR(INDEX(AllProj, MATCH($E238, AllProjNames, 0), MATCH(AC$2, AllProjCats, 0) + 1), ""),
  goalie, IFERROR(INDEX(AllGProj, MATCH($E238, AllGProjNames, 0), MATCH(AC$2, AllGProjCats, 0) + 1), ""),
  val, IF(skater &lt;&gt; "", skater, goalie),
  IF(OR($E238="", AC$2="", val=""), "", val * AC$1)
)</f>
        <v/>
      </c>
      <c r="AD238" s="34" t="str">
        <f t="shared" si="238"/>
        <v/>
      </c>
      <c r="AE238" s="34" t="str">
        <f t="shared" si="238"/>
        <v/>
      </c>
      <c r="AF238" s="34" t="str">
        <f t="shared" si="238"/>
        <v/>
      </c>
      <c r="AG238" s="34" t="str">
        <f t="shared" si="238"/>
        <v/>
      </c>
      <c r="AH238" s="34" t="str">
        <f t="shared" si="238"/>
        <v/>
      </c>
      <c r="AI238" s="34" t="str">
        <f t="shared" si="238"/>
        <v/>
      </c>
      <c r="AJ238" s="34" t="str">
        <f t="shared" si="238"/>
        <v/>
      </c>
      <c r="AK238" s="34" t="str">
        <f t="shared" si="238"/>
        <v/>
      </c>
      <c r="AL238" s="34" t="str">
        <f t="shared" si="238"/>
        <v/>
      </c>
      <c r="AM238" s="34" t="str">
        <f t="shared" si="238"/>
        <v/>
      </c>
      <c r="AN238" s="34" t="str">
        <f t="shared" si="238"/>
        <v/>
      </c>
      <c r="AO238" s="34" t="str">
        <f t="shared" si="238"/>
        <v/>
      </c>
      <c r="AP238" s="34" t="str">
        <f t="shared" si="238"/>
        <v/>
      </c>
      <c r="AQ238" s="76" t="s">
        <v>273</v>
      </c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77"/>
      <c r="BD238" s="77"/>
      <c r="BE238" s="77"/>
      <c r="BF238" s="77"/>
      <c r="BG238" s="77"/>
      <c r="BH238" s="77"/>
      <c r="BI238" s="77"/>
      <c r="BJ238" s="77"/>
      <c r="BK238" s="77"/>
      <c r="BL238" s="77"/>
      <c r="BM238" s="78"/>
    </row>
    <row r="239">
      <c r="A239" s="41" t="s">
        <v>69</v>
      </c>
      <c r="B239" s="41" t="b">
        <v>0</v>
      </c>
      <c r="C239" s="41" t="b">
        <f t="shared" si="3"/>
        <v>1</v>
      </c>
      <c r="D239" s="42" t="s">
        <v>22</v>
      </c>
      <c r="E239" s="43" t="s">
        <v>1851</v>
      </c>
      <c r="F239" s="44" t="s">
        <v>1779</v>
      </c>
      <c r="G239" s="29" t="s">
        <v>830</v>
      </c>
      <c r="H239" s="32">
        <v>-4.825937177572434</v>
      </c>
      <c r="I239" s="32">
        <v>0.561942947340305</v>
      </c>
      <c r="J239" s="45" t="s">
        <v>1852</v>
      </c>
      <c r="K239" s="29">
        <v>27.8</v>
      </c>
      <c r="L239" s="41">
        <v>78.37676470588235</v>
      </c>
      <c r="M239" s="46">
        <v>27.0</v>
      </c>
      <c r="N239" s="46">
        <v>6.0</v>
      </c>
      <c r="O239" s="47">
        <v>-0.32302759543408777</v>
      </c>
      <c r="P239" s="47">
        <v>0.39765138346578366</v>
      </c>
      <c r="Q239" s="47">
        <v>-3.8874278185163096</v>
      </c>
      <c r="R239" s="47">
        <v>-1.7778399811267258</v>
      </c>
      <c r="S239" s="47">
        <v>0.6629472387101254</v>
      </c>
      <c r="T239" s="47">
        <v>0.04677556884270906</v>
      </c>
      <c r="U239" s="47">
        <v>-0.4958074768327304</v>
      </c>
      <c r="V239" s="47">
        <v>1.083019619335777</v>
      </c>
      <c r="W239" s="47">
        <v>-0.8523445139973403</v>
      </c>
      <c r="X239" s="47">
        <v>0.32011639798036545</v>
      </c>
      <c r="Y239" s="50" t="s">
        <v>69</v>
      </c>
      <c r="Z239" s="50" t="s">
        <v>69</v>
      </c>
      <c r="AA239" s="50" t="s">
        <v>69</v>
      </c>
      <c r="AB239" s="50" t="s">
        <v>69</v>
      </c>
      <c r="AC239" s="34" t="str">
        <f t="shared" ref="AC239:AP239" si="239">LET(
  skater, IFERROR(INDEX(AllProj, MATCH($E239, AllProjNames, 0), MATCH(AC$2, AllProjCats, 0) + 1), ""),
  goalie, IFERROR(INDEX(AllGProj, MATCH($E239, AllGProjNames, 0), MATCH(AC$2, AllGProjCats, 0) + 1), ""),
  val, IF(skater &lt;&gt; "", skater, goalie),
  IF(OR($E239="", AC$2="", val=""), "", val * AC$1)
)</f>
        <v/>
      </c>
      <c r="AD239" s="34" t="str">
        <f t="shared" si="239"/>
        <v/>
      </c>
      <c r="AE239" s="34" t="str">
        <f t="shared" si="239"/>
        <v/>
      </c>
      <c r="AF239" s="34" t="str">
        <f t="shared" si="239"/>
        <v/>
      </c>
      <c r="AG239" s="34" t="str">
        <f t="shared" si="239"/>
        <v/>
      </c>
      <c r="AH239" s="34" t="str">
        <f t="shared" si="239"/>
        <v/>
      </c>
      <c r="AI239" s="34" t="str">
        <f t="shared" si="239"/>
        <v/>
      </c>
      <c r="AJ239" s="34" t="str">
        <f t="shared" si="239"/>
        <v/>
      </c>
      <c r="AK239" s="34" t="str">
        <f t="shared" si="239"/>
        <v/>
      </c>
      <c r="AL239" s="34" t="str">
        <f t="shared" si="239"/>
        <v/>
      </c>
      <c r="AM239" s="34" t="str">
        <f t="shared" si="239"/>
        <v/>
      </c>
      <c r="AN239" s="34" t="str">
        <f t="shared" si="239"/>
        <v/>
      </c>
      <c r="AO239" s="34" t="str">
        <f t="shared" si="239"/>
        <v/>
      </c>
      <c r="AP239" s="34" t="str">
        <f t="shared" si="239"/>
        <v/>
      </c>
      <c r="AQ239" s="76" t="s">
        <v>274</v>
      </c>
      <c r="AR239" s="77"/>
      <c r="AS239" s="77"/>
      <c r="AT239" s="77"/>
      <c r="AU239" s="77"/>
      <c r="AV239" s="77"/>
      <c r="AW239" s="77"/>
      <c r="AX239" s="77"/>
      <c r="AY239" s="77"/>
      <c r="AZ239" s="77"/>
      <c r="BA239" s="77"/>
      <c r="BB239" s="77"/>
      <c r="BC239" s="77"/>
      <c r="BD239" s="77"/>
      <c r="BE239" s="77"/>
      <c r="BF239" s="77"/>
      <c r="BG239" s="77"/>
      <c r="BH239" s="77"/>
      <c r="BI239" s="77"/>
      <c r="BJ239" s="77"/>
      <c r="BK239" s="77"/>
      <c r="BL239" s="77"/>
      <c r="BM239" s="78"/>
    </row>
    <row r="240">
      <c r="A240" s="79">
        <v>2.5714285714285716</v>
      </c>
      <c r="B240" s="79" t="b">
        <v>0</v>
      </c>
      <c r="C240" s="79" t="b">
        <f t="shared" si="3"/>
        <v>0</v>
      </c>
      <c r="D240" s="80" t="s">
        <v>1565</v>
      </c>
      <c r="E240" s="81" t="s">
        <v>932</v>
      </c>
      <c r="F240" s="82" t="s">
        <v>1505</v>
      </c>
      <c r="G240" s="35" t="s">
        <v>835</v>
      </c>
      <c r="H240" s="37">
        <v>-4.847581620238625</v>
      </c>
      <c r="I240" s="37">
        <v>0.540298504674114</v>
      </c>
      <c r="J240" s="83" t="s">
        <v>1853</v>
      </c>
      <c r="K240" s="35">
        <v>36.2</v>
      </c>
      <c r="L240" s="79">
        <v>83.28176470588235</v>
      </c>
      <c r="M240" s="84">
        <v>30.0</v>
      </c>
      <c r="N240" s="84">
        <v>5.0</v>
      </c>
      <c r="O240" s="85">
        <v>0.11481183588007515</v>
      </c>
      <c r="P240" s="85">
        <v>-1.0838776690304017</v>
      </c>
      <c r="Q240" s="85">
        <v>-0.6226998828803265</v>
      </c>
      <c r="R240" s="85">
        <v>-0.23734308044664504</v>
      </c>
      <c r="S240" s="85">
        <v>-0.8741727573977459</v>
      </c>
      <c r="T240" s="85">
        <v>-0.7833535558719441</v>
      </c>
      <c r="U240" s="85">
        <v>0.5934081292456269</v>
      </c>
      <c r="V240" s="85">
        <v>0.0</v>
      </c>
      <c r="W240" s="85">
        <v>-0.4803454023638053</v>
      </c>
      <c r="X240" s="85">
        <v>-1.4740092373734583</v>
      </c>
      <c r="Y240" s="50" t="s">
        <v>69</v>
      </c>
      <c r="Z240" s="50" t="s">
        <v>69</v>
      </c>
      <c r="AA240" s="50" t="s">
        <v>69</v>
      </c>
      <c r="AB240" s="50" t="s">
        <v>69</v>
      </c>
      <c r="AC240" s="34" t="str">
        <f t="shared" ref="AC240:AP240" si="240">LET(
  skater, IFERROR(INDEX(AllProj, MATCH($E240, AllProjNames, 0), MATCH(AC$2, AllProjCats, 0) + 1), ""),
  goalie, IFERROR(INDEX(AllGProj, MATCH($E240, AllGProjNames, 0), MATCH(AC$2, AllGProjCats, 0) + 1), ""),
  val, IF(skater &lt;&gt; "", skater, goalie),
  IF(OR($E240="", AC$2="", val=""), "", val * AC$1)
)</f>
        <v/>
      </c>
      <c r="AD240" s="34" t="str">
        <f t="shared" si="240"/>
        <v/>
      </c>
      <c r="AE240" s="34" t="str">
        <f t="shared" si="240"/>
        <v/>
      </c>
      <c r="AF240" s="34" t="str">
        <f t="shared" si="240"/>
        <v/>
      </c>
      <c r="AG240" s="34" t="str">
        <f t="shared" si="240"/>
        <v/>
      </c>
      <c r="AH240" s="34" t="str">
        <f t="shared" si="240"/>
        <v/>
      </c>
      <c r="AI240" s="34" t="str">
        <f t="shared" si="240"/>
        <v/>
      </c>
      <c r="AJ240" s="34" t="str">
        <f t="shared" si="240"/>
        <v/>
      </c>
      <c r="AK240" s="34" t="str">
        <f t="shared" si="240"/>
        <v/>
      </c>
      <c r="AL240" s="34" t="str">
        <f t="shared" si="240"/>
        <v/>
      </c>
      <c r="AM240" s="34" t="str">
        <f t="shared" si="240"/>
        <v/>
      </c>
      <c r="AN240" s="34" t="str">
        <f t="shared" si="240"/>
        <v/>
      </c>
      <c r="AO240" s="34" t="str">
        <f t="shared" si="240"/>
        <v/>
      </c>
      <c r="AP240" s="34" t="str">
        <f t="shared" si="240"/>
        <v/>
      </c>
      <c r="AQ240" s="76" t="s">
        <v>275</v>
      </c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77"/>
      <c r="BD240" s="77"/>
      <c r="BE240" s="77"/>
      <c r="BF240" s="77"/>
      <c r="BG240" s="77"/>
      <c r="BH240" s="77"/>
      <c r="BI240" s="77"/>
      <c r="BJ240" s="77"/>
      <c r="BK240" s="77"/>
      <c r="BL240" s="77"/>
      <c r="BM240" s="78"/>
    </row>
    <row r="241">
      <c r="A241" s="41" t="s">
        <v>69</v>
      </c>
      <c r="B241" s="41" t="b">
        <v>0</v>
      </c>
      <c r="C241" s="41" t="b">
        <f t="shared" si="3"/>
        <v>1</v>
      </c>
      <c r="D241" s="42" t="s">
        <v>254</v>
      </c>
      <c r="E241" s="43" t="s">
        <v>1854</v>
      </c>
      <c r="F241" s="44" t="s">
        <v>1563</v>
      </c>
      <c r="G241" s="29" t="s">
        <v>837</v>
      </c>
      <c r="H241" s="32">
        <v>-4.852888932478977</v>
      </c>
      <c r="I241" s="32">
        <v>0.6769698394499244</v>
      </c>
      <c r="J241" s="45" t="s">
        <v>1855</v>
      </c>
      <c r="K241" s="29">
        <v>30.5</v>
      </c>
      <c r="L241" s="41">
        <v>83.25044117647059</v>
      </c>
      <c r="M241" s="46">
        <v>29.0</v>
      </c>
      <c r="N241" s="46">
        <v>6.0</v>
      </c>
      <c r="O241" s="47">
        <v>-1.539239664358575</v>
      </c>
      <c r="P241" s="47">
        <v>-0.47288213383689</v>
      </c>
      <c r="Q241" s="47">
        <v>-0.41435664727898097</v>
      </c>
      <c r="R241" s="47">
        <v>-0.9185585017051218</v>
      </c>
      <c r="S241" s="47">
        <v>-1.3762437779541963</v>
      </c>
      <c r="T241" s="47">
        <v>0.6154931078936144</v>
      </c>
      <c r="U241" s="47">
        <v>-1.2709283120164279</v>
      </c>
      <c r="V241" s="47">
        <v>0.0</v>
      </c>
      <c r="W241" s="47">
        <v>-1.42392986024295</v>
      </c>
      <c r="X241" s="47">
        <v>1.9477568570205495</v>
      </c>
      <c r="Y241" s="50" t="s">
        <v>69</v>
      </c>
      <c r="Z241" s="50" t="s">
        <v>69</v>
      </c>
      <c r="AA241" s="50" t="s">
        <v>69</v>
      </c>
      <c r="AB241" s="50" t="s">
        <v>69</v>
      </c>
      <c r="AC241" s="34" t="str">
        <f t="shared" ref="AC241:AP241" si="241">LET(
  skater, IFERROR(INDEX(AllProj, MATCH($E241, AllProjNames, 0), MATCH(AC$2, AllProjCats, 0) + 1), ""),
  goalie, IFERROR(INDEX(AllGProj, MATCH($E241, AllGProjNames, 0), MATCH(AC$2, AllGProjCats, 0) + 1), ""),
  val, IF(skater &lt;&gt; "", skater, goalie),
  IF(OR($E241="", AC$2="", val=""), "", val * AC$1)
)</f>
        <v/>
      </c>
      <c r="AD241" s="34" t="str">
        <f t="shared" si="241"/>
        <v/>
      </c>
      <c r="AE241" s="34" t="str">
        <f t="shared" si="241"/>
        <v/>
      </c>
      <c r="AF241" s="34" t="str">
        <f t="shared" si="241"/>
        <v/>
      </c>
      <c r="AG241" s="34" t="str">
        <f t="shared" si="241"/>
        <v/>
      </c>
      <c r="AH241" s="34" t="str">
        <f t="shared" si="241"/>
        <v/>
      </c>
      <c r="AI241" s="34" t="str">
        <f t="shared" si="241"/>
        <v/>
      </c>
      <c r="AJ241" s="34" t="str">
        <f t="shared" si="241"/>
        <v/>
      </c>
      <c r="AK241" s="34" t="str">
        <f t="shared" si="241"/>
        <v/>
      </c>
      <c r="AL241" s="34" t="str">
        <f t="shared" si="241"/>
        <v/>
      </c>
      <c r="AM241" s="34" t="str">
        <f t="shared" si="241"/>
        <v/>
      </c>
      <c r="AN241" s="34" t="str">
        <f t="shared" si="241"/>
        <v/>
      </c>
      <c r="AO241" s="34" t="str">
        <f t="shared" si="241"/>
        <v/>
      </c>
      <c r="AP241" s="34" t="str">
        <f t="shared" si="241"/>
        <v/>
      </c>
      <c r="AQ241" s="76" t="s">
        <v>277</v>
      </c>
      <c r="AR241" s="77"/>
      <c r="AS241" s="77"/>
      <c r="AT241" s="77"/>
      <c r="AU241" s="77"/>
      <c r="AV241" s="77"/>
      <c r="AW241" s="77"/>
      <c r="AX241" s="77"/>
      <c r="AY241" s="77"/>
      <c r="AZ241" s="77"/>
      <c r="BA241" s="77"/>
      <c r="BB241" s="77"/>
      <c r="BC241" s="77"/>
      <c r="BD241" s="77"/>
      <c r="BE241" s="77"/>
      <c r="BF241" s="77"/>
      <c r="BG241" s="77"/>
      <c r="BH241" s="77"/>
      <c r="BI241" s="77"/>
      <c r="BJ241" s="77"/>
      <c r="BK241" s="77"/>
      <c r="BL241" s="77"/>
      <c r="BM241" s="78"/>
    </row>
    <row r="242">
      <c r="A242" s="79" t="s">
        <v>69</v>
      </c>
      <c r="B242" s="79" t="b">
        <v>0</v>
      </c>
      <c r="C242" s="79" t="b">
        <f t="shared" si="3"/>
        <v>1</v>
      </c>
      <c r="D242" s="80" t="s">
        <v>825</v>
      </c>
      <c r="E242" s="81" t="s">
        <v>1856</v>
      </c>
      <c r="F242" s="82" t="s">
        <v>1436</v>
      </c>
      <c r="G242" s="35" t="s">
        <v>6</v>
      </c>
      <c r="H242" s="37">
        <v>-4.8643293797854765</v>
      </c>
      <c r="I242" s="37">
        <v>-0.5261064013153627</v>
      </c>
      <c r="J242" s="83" t="s">
        <v>1857</v>
      </c>
      <c r="K242" s="35">
        <v>27.9</v>
      </c>
      <c r="L242" s="79">
        <v>25.625</v>
      </c>
      <c r="M242" s="84">
        <v>26.0</v>
      </c>
      <c r="N242" s="84">
        <v>5.0</v>
      </c>
      <c r="O242" s="96" t="s">
        <v>69</v>
      </c>
      <c r="P242" s="96" t="s">
        <v>69</v>
      </c>
      <c r="Q242" s="96" t="s">
        <v>69</v>
      </c>
      <c r="R242" s="96" t="s">
        <v>69</v>
      </c>
      <c r="S242" s="96" t="s">
        <v>69</v>
      </c>
      <c r="T242" s="96" t="s">
        <v>69</v>
      </c>
      <c r="U242" s="96" t="s">
        <v>69</v>
      </c>
      <c r="V242" s="96" t="s">
        <v>69</v>
      </c>
      <c r="W242" s="96" t="s">
        <v>69</v>
      </c>
      <c r="X242" s="96" t="s">
        <v>69</v>
      </c>
      <c r="Y242" s="95">
        <v>-2.317565115781964</v>
      </c>
      <c r="Z242" s="95">
        <v>-0.5442907021274596</v>
      </c>
      <c r="AA242" s="95">
        <v>-2.002473561876053</v>
      </c>
      <c r="AB242" s="95">
        <v>0.0</v>
      </c>
      <c r="AC242" s="34" t="str">
        <f t="shared" ref="AC242:AP242" si="242">LET(
  skater, IFERROR(INDEX(AllProj, MATCH($E242, AllProjNames, 0), MATCH(AC$2, AllProjCats, 0) + 1), ""),
  goalie, IFERROR(INDEX(AllGProj, MATCH($E242, AllGProjNames, 0), MATCH(AC$2, AllGProjCats, 0) + 1), ""),
  val, IF(skater &lt;&gt; "", skater, goalie),
  IF(OR($E242="", AC$2="", val=""), "", val * AC$1)
)</f>
        <v/>
      </c>
      <c r="AD242" s="34" t="str">
        <f t="shared" si="242"/>
        <v/>
      </c>
      <c r="AE242" s="34" t="str">
        <f t="shared" si="242"/>
        <v/>
      </c>
      <c r="AF242" s="34" t="str">
        <f t="shared" si="242"/>
        <v/>
      </c>
      <c r="AG242" s="34" t="str">
        <f t="shared" si="242"/>
        <v/>
      </c>
      <c r="AH242" s="34" t="str">
        <f t="shared" si="242"/>
        <v/>
      </c>
      <c r="AI242" s="34" t="str">
        <f t="shared" si="242"/>
        <v/>
      </c>
      <c r="AJ242" s="34" t="str">
        <f t="shared" si="242"/>
        <v/>
      </c>
      <c r="AK242" s="34" t="str">
        <f t="shared" si="242"/>
        <v/>
      </c>
      <c r="AL242" s="34" t="str">
        <f t="shared" si="242"/>
        <v/>
      </c>
      <c r="AM242" s="34" t="str">
        <f t="shared" si="242"/>
        <v/>
      </c>
      <c r="AN242" s="34" t="str">
        <f t="shared" si="242"/>
        <v/>
      </c>
      <c r="AO242" s="34" t="str">
        <f t="shared" si="242"/>
        <v/>
      </c>
      <c r="AP242" s="34" t="str">
        <f t="shared" si="242"/>
        <v/>
      </c>
      <c r="AQ242" s="76" t="s">
        <v>278</v>
      </c>
      <c r="AR242" s="77"/>
      <c r="AS242" s="77"/>
      <c r="AT242" s="77"/>
      <c r="AU242" s="77"/>
      <c r="AV242" s="77"/>
      <c r="AW242" s="77"/>
      <c r="AX242" s="77"/>
      <c r="AY242" s="77"/>
      <c r="AZ242" s="77"/>
      <c r="BA242" s="77"/>
      <c r="BB242" s="77"/>
      <c r="BC242" s="77"/>
      <c r="BD242" s="77"/>
      <c r="BE242" s="77"/>
      <c r="BF242" s="77"/>
      <c r="BG242" s="77"/>
      <c r="BH242" s="77"/>
      <c r="BI242" s="77"/>
      <c r="BJ242" s="77"/>
      <c r="BK242" s="77"/>
      <c r="BL242" s="77"/>
      <c r="BM242" s="78"/>
    </row>
    <row r="243">
      <c r="A243" s="41" t="s">
        <v>69</v>
      </c>
      <c r="B243" s="41" t="b">
        <v>0</v>
      </c>
      <c r="C243" s="41" t="b">
        <f t="shared" si="3"/>
        <v>1</v>
      </c>
      <c r="D243" s="42" t="s">
        <v>826</v>
      </c>
      <c r="E243" s="43" t="s">
        <v>1858</v>
      </c>
      <c r="F243" s="44" t="s">
        <v>1436</v>
      </c>
      <c r="G243" s="29" t="s">
        <v>829</v>
      </c>
      <c r="H243" s="32">
        <v>-4.9588863109981425</v>
      </c>
      <c r="I243" s="32">
        <v>0.48325129772971476</v>
      </c>
      <c r="J243" s="45" t="s">
        <v>1859</v>
      </c>
      <c r="K243" s="29">
        <v>27.1</v>
      </c>
      <c r="L243" s="41">
        <v>79.29720588235294</v>
      </c>
      <c r="M243" s="46">
        <v>26.0</v>
      </c>
      <c r="N243" s="46">
        <v>5.0</v>
      </c>
      <c r="O243" s="47">
        <v>1.0890179068203687</v>
      </c>
      <c r="P243" s="47">
        <v>0.26854726527095224</v>
      </c>
      <c r="Q243" s="47">
        <v>-1.1299046257340626</v>
      </c>
      <c r="R243" s="47">
        <v>-1.510906805151486</v>
      </c>
      <c r="S243" s="47">
        <v>1.054707370040081</v>
      </c>
      <c r="T243" s="47">
        <v>-0.7816605173634006</v>
      </c>
      <c r="U243" s="47">
        <v>-0.34008459412187575</v>
      </c>
      <c r="V243" s="47">
        <v>0.0</v>
      </c>
      <c r="W243" s="47">
        <v>-2.1873918238658168</v>
      </c>
      <c r="X243" s="47">
        <v>-1.4212104868929023</v>
      </c>
      <c r="Y243" s="50" t="s">
        <v>69</v>
      </c>
      <c r="Z243" s="50" t="s">
        <v>69</v>
      </c>
      <c r="AA243" s="50" t="s">
        <v>69</v>
      </c>
      <c r="AB243" s="50" t="s">
        <v>69</v>
      </c>
      <c r="AC243" s="34" t="str">
        <f t="shared" ref="AC243:AP243" si="243">LET(
  skater, IFERROR(INDEX(AllProj, MATCH($E243, AllProjNames, 0), MATCH(AC$2, AllProjCats, 0) + 1), ""),
  goalie, IFERROR(INDEX(AllGProj, MATCH($E243, AllGProjNames, 0), MATCH(AC$2, AllGProjCats, 0) + 1), ""),
  val, IF(skater &lt;&gt; "", skater, goalie),
  IF(OR($E243="", AC$2="", val=""), "", val * AC$1)
)</f>
        <v/>
      </c>
      <c r="AD243" s="34" t="str">
        <f t="shared" si="243"/>
        <v/>
      </c>
      <c r="AE243" s="34" t="str">
        <f t="shared" si="243"/>
        <v/>
      </c>
      <c r="AF243" s="34" t="str">
        <f t="shared" si="243"/>
        <v/>
      </c>
      <c r="AG243" s="34" t="str">
        <f t="shared" si="243"/>
        <v/>
      </c>
      <c r="AH243" s="34" t="str">
        <f t="shared" si="243"/>
        <v/>
      </c>
      <c r="AI243" s="34" t="str">
        <f t="shared" si="243"/>
        <v/>
      </c>
      <c r="AJ243" s="34" t="str">
        <f t="shared" si="243"/>
        <v/>
      </c>
      <c r="AK243" s="34" t="str">
        <f t="shared" si="243"/>
        <v/>
      </c>
      <c r="AL243" s="34" t="str">
        <f t="shared" si="243"/>
        <v/>
      </c>
      <c r="AM243" s="34" t="str">
        <f t="shared" si="243"/>
        <v/>
      </c>
      <c r="AN243" s="34" t="str">
        <f t="shared" si="243"/>
        <v/>
      </c>
      <c r="AO243" s="34" t="str">
        <f t="shared" si="243"/>
        <v/>
      </c>
      <c r="AP243" s="34" t="str">
        <f t="shared" si="243"/>
        <v/>
      </c>
      <c r="AQ243" s="76" t="s">
        <v>280</v>
      </c>
      <c r="AR243" s="77"/>
      <c r="AS243" s="77"/>
      <c r="AT243" s="77"/>
      <c r="AU243" s="77"/>
      <c r="AV243" s="77"/>
      <c r="AW243" s="77"/>
      <c r="AX243" s="77"/>
      <c r="AY243" s="77"/>
      <c r="AZ243" s="77"/>
      <c r="BA243" s="77"/>
      <c r="BB243" s="77"/>
      <c r="BC243" s="77"/>
      <c r="BD243" s="77"/>
      <c r="BE243" s="77"/>
      <c r="BF243" s="77"/>
      <c r="BG243" s="77"/>
      <c r="BH243" s="77"/>
      <c r="BI243" s="77"/>
      <c r="BJ243" s="77"/>
      <c r="BK243" s="77"/>
      <c r="BL243" s="77"/>
      <c r="BM243" s="78"/>
    </row>
    <row r="244">
      <c r="A244" s="79" t="s">
        <v>69</v>
      </c>
      <c r="B244" s="79" t="b">
        <v>0</v>
      </c>
      <c r="C244" s="79" t="b">
        <f t="shared" si="3"/>
        <v>1</v>
      </c>
      <c r="D244" s="80" t="s">
        <v>825</v>
      </c>
      <c r="E244" s="81" t="s">
        <v>1860</v>
      </c>
      <c r="F244" s="82" t="s">
        <v>1454</v>
      </c>
      <c r="G244" s="35" t="s">
        <v>832</v>
      </c>
      <c r="H244" s="37">
        <v>-4.9813345665161375</v>
      </c>
      <c r="I244" s="37">
        <v>0.46080304221171975</v>
      </c>
      <c r="J244" s="83" t="s">
        <v>1861</v>
      </c>
      <c r="K244" s="35">
        <v>24.6</v>
      </c>
      <c r="L244" s="79">
        <v>81.62955882352941</v>
      </c>
      <c r="M244" s="84">
        <v>25.0</v>
      </c>
      <c r="N244" s="84">
        <v>6.0</v>
      </c>
      <c r="O244" s="85">
        <v>0.4518509937004056</v>
      </c>
      <c r="P244" s="85">
        <v>-0.2361721234405411</v>
      </c>
      <c r="Q244" s="85">
        <v>-0.6893160315662566</v>
      </c>
      <c r="R244" s="85">
        <v>-1.4243350226587623</v>
      </c>
      <c r="S244" s="85">
        <v>0.18027207392177735</v>
      </c>
      <c r="T244" s="85">
        <v>-0.7843061680365057</v>
      </c>
      <c r="U244" s="85">
        <v>0.22967038742709875</v>
      </c>
      <c r="V244" s="85">
        <v>0.0</v>
      </c>
      <c r="W244" s="85">
        <v>-0.9858654678745429</v>
      </c>
      <c r="X244" s="85">
        <v>-1.723133207988811</v>
      </c>
      <c r="Y244" s="50" t="s">
        <v>69</v>
      </c>
      <c r="Z244" s="50" t="s">
        <v>69</v>
      </c>
      <c r="AA244" s="50" t="s">
        <v>69</v>
      </c>
      <c r="AB244" s="50" t="s">
        <v>69</v>
      </c>
      <c r="AC244" s="34" t="str">
        <f t="shared" ref="AC244:AP244" si="244">LET(
  skater, IFERROR(INDEX(AllProj, MATCH($E244, AllProjNames, 0), MATCH(AC$2, AllProjCats, 0) + 1), ""),
  goalie, IFERROR(INDEX(AllGProj, MATCH($E244, AllGProjNames, 0), MATCH(AC$2, AllGProjCats, 0) + 1), ""),
  val, IF(skater &lt;&gt; "", skater, goalie),
  IF(OR($E244="", AC$2="", val=""), "", val * AC$1)
)</f>
        <v/>
      </c>
      <c r="AD244" s="34" t="str">
        <f t="shared" si="244"/>
        <v/>
      </c>
      <c r="AE244" s="34" t="str">
        <f t="shared" si="244"/>
        <v/>
      </c>
      <c r="AF244" s="34" t="str">
        <f t="shared" si="244"/>
        <v/>
      </c>
      <c r="AG244" s="34" t="str">
        <f t="shared" si="244"/>
        <v/>
      </c>
      <c r="AH244" s="34" t="str">
        <f t="shared" si="244"/>
        <v/>
      </c>
      <c r="AI244" s="34" t="str">
        <f t="shared" si="244"/>
        <v/>
      </c>
      <c r="AJ244" s="34" t="str">
        <f t="shared" si="244"/>
        <v/>
      </c>
      <c r="AK244" s="34" t="str">
        <f t="shared" si="244"/>
        <v/>
      </c>
      <c r="AL244" s="34" t="str">
        <f t="shared" si="244"/>
        <v/>
      </c>
      <c r="AM244" s="34" t="str">
        <f t="shared" si="244"/>
        <v/>
      </c>
      <c r="AN244" s="34" t="str">
        <f t="shared" si="244"/>
        <v/>
      </c>
      <c r="AO244" s="34" t="str">
        <f t="shared" si="244"/>
        <v/>
      </c>
      <c r="AP244" s="34" t="str">
        <f t="shared" si="244"/>
        <v/>
      </c>
      <c r="AQ244" s="76" t="s">
        <v>281</v>
      </c>
      <c r="AR244" s="77"/>
      <c r="AS244" s="77"/>
      <c r="AT244" s="77"/>
      <c r="AU244" s="77"/>
      <c r="AV244" s="77"/>
      <c r="AW244" s="77"/>
      <c r="AX244" s="77"/>
      <c r="AY244" s="77"/>
      <c r="AZ244" s="77"/>
      <c r="BA244" s="77"/>
      <c r="BB244" s="77"/>
      <c r="BC244" s="77"/>
      <c r="BD244" s="77"/>
      <c r="BE244" s="77"/>
      <c r="BF244" s="77"/>
      <c r="BG244" s="77"/>
      <c r="BH244" s="77"/>
      <c r="BI244" s="77"/>
      <c r="BJ244" s="77"/>
      <c r="BK244" s="77"/>
      <c r="BL244" s="77"/>
      <c r="BM244" s="78"/>
    </row>
    <row r="245">
      <c r="A245" s="41">
        <v>2.5714285714285716</v>
      </c>
      <c r="B245" s="41" t="b">
        <v>0</v>
      </c>
      <c r="C245" s="41" t="b">
        <f t="shared" si="3"/>
        <v>0</v>
      </c>
      <c r="D245" s="42" t="s">
        <v>1565</v>
      </c>
      <c r="E245" s="43" t="s">
        <v>1057</v>
      </c>
      <c r="F245" s="44" t="s">
        <v>1429</v>
      </c>
      <c r="G245" s="29" t="s">
        <v>284</v>
      </c>
      <c r="H245" s="32">
        <v>-4.988268958665698</v>
      </c>
      <c r="I245" s="32">
        <v>0.0497970615173875</v>
      </c>
      <c r="J245" s="45" t="s">
        <v>1862</v>
      </c>
      <c r="K245" s="29">
        <v>31.5</v>
      </c>
      <c r="L245" s="41">
        <v>78.57142857142857</v>
      </c>
      <c r="M245" s="46">
        <v>24.0</v>
      </c>
      <c r="N245" s="46">
        <v>7.0</v>
      </c>
      <c r="O245" s="47">
        <v>-1.5036273228596058</v>
      </c>
      <c r="P245" s="47">
        <v>-1.8967218726177872</v>
      </c>
      <c r="Q245" s="47">
        <v>-1.729778636639106</v>
      </c>
      <c r="R245" s="47">
        <v>2.368026306741868</v>
      </c>
      <c r="S245" s="47">
        <v>-1.6499347800537607</v>
      </c>
      <c r="T245" s="47">
        <v>-0.16952108464970286</v>
      </c>
      <c r="U245" s="47">
        <v>-1.6636903583480518</v>
      </c>
      <c r="V245" s="47">
        <v>1.095541805433932</v>
      </c>
      <c r="W245" s="47">
        <v>0.8094119711918356</v>
      </c>
      <c r="X245" s="47">
        <v>-0.6479749868653201</v>
      </c>
      <c r="Y245" s="50" t="s">
        <v>69</v>
      </c>
      <c r="Z245" s="50" t="s">
        <v>69</v>
      </c>
      <c r="AA245" s="50" t="s">
        <v>69</v>
      </c>
      <c r="AB245" s="50" t="s">
        <v>69</v>
      </c>
      <c r="AC245" s="34" t="str">
        <f t="shared" ref="AC245:AP245" si="245">LET(
  skater, IFERROR(INDEX(AllProj, MATCH($E245, AllProjNames, 0), MATCH(AC$2, AllProjCats, 0) + 1), ""),
  goalie, IFERROR(INDEX(AllGProj, MATCH($E245, AllGProjNames, 0), MATCH(AC$2, AllGProjCats, 0) + 1), ""),
  val, IF(skater &lt;&gt; "", skater, goalie),
  IF(OR($E245="", AC$2="", val=""), "", val * AC$1)
)</f>
        <v/>
      </c>
      <c r="AD245" s="34" t="str">
        <f t="shared" si="245"/>
        <v/>
      </c>
      <c r="AE245" s="34" t="str">
        <f t="shared" si="245"/>
        <v/>
      </c>
      <c r="AF245" s="34" t="str">
        <f t="shared" si="245"/>
        <v/>
      </c>
      <c r="AG245" s="34" t="str">
        <f t="shared" si="245"/>
        <v/>
      </c>
      <c r="AH245" s="34" t="str">
        <f t="shared" si="245"/>
        <v/>
      </c>
      <c r="AI245" s="34" t="str">
        <f t="shared" si="245"/>
        <v/>
      </c>
      <c r="AJ245" s="34" t="str">
        <f t="shared" si="245"/>
        <v/>
      </c>
      <c r="AK245" s="34" t="str">
        <f t="shared" si="245"/>
        <v/>
      </c>
      <c r="AL245" s="34" t="str">
        <f t="shared" si="245"/>
        <v/>
      </c>
      <c r="AM245" s="34" t="str">
        <f t="shared" si="245"/>
        <v/>
      </c>
      <c r="AN245" s="34" t="str">
        <f t="shared" si="245"/>
        <v/>
      </c>
      <c r="AO245" s="34" t="str">
        <f t="shared" si="245"/>
        <v/>
      </c>
      <c r="AP245" s="34" t="str">
        <f t="shared" si="245"/>
        <v/>
      </c>
      <c r="AQ245" s="76" t="s">
        <v>282</v>
      </c>
      <c r="AR245" s="77"/>
      <c r="AS245" s="77"/>
      <c r="AT245" s="77"/>
      <c r="AU245" s="77"/>
      <c r="AV245" s="77"/>
      <c r="AW245" s="77"/>
      <c r="AX245" s="77"/>
      <c r="AY245" s="77"/>
      <c r="AZ245" s="77"/>
      <c r="BA245" s="77"/>
      <c r="BB245" s="77"/>
      <c r="BC245" s="77"/>
      <c r="BD245" s="77"/>
      <c r="BE245" s="77"/>
      <c r="BF245" s="77"/>
      <c r="BG245" s="77"/>
      <c r="BH245" s="77"/>
      <c r="BI245" s="77"/>
      <c r="BJ245" s="77"/>
      <c r="BK245" s="77"/>
      <c r="BL245" s="77"/>
      <c r="BM245" s="78"/>
    </row>
    <row r="246">
      <c r="A246" s="79">
        <v>2.642857142857143</v>
      </c>
      <c r="B246" s="79" t="b">
        <v>0</v>
      </c>
      <c r="C246" s="79" t="b">
        <f t="shared" si="3"/>
        <v>0</v>
      </c>
      <c r="D246" s="80" t="s">
        <v>1565</v>
      </c>
      <c r="E246" s="81" t="s">
        <v>1144</v>
      </c>
      <c r="F246" s="82" t="s">
        <v>1473</v>
      </c>
      <c r="G246" s="35" t="s">
        <v>284</v>
      </c>
      <c r="H246" s="37">
        <v>-5.018347117693317</v>
      </c>
      <c r="I246" s="37">
        <v>0.019718902489768375</v>
      </c>
      <c r="J246" s="83" t="s">
        <v>1863</v>
      </c>
      <c r="K246" s="35">
        <v>35.1</v>
      </c>
      <c r="L246" s="79">
        <v>82.64852941176471</v>
      </c>
      <c r="M246" s="84">
        <v>25.0</v>
      </c>
      <c r="N246" s="84">
        <v>6.0</v>
      </c>
      <c r="O246" s="85">
        <v>-0.4069884441175909</v>
      </c>
      <c r="P246" s="85">
        <v>-0.5654813993479212</v>
      </c>
      <c r="Q246" s="85">
        <v>-2.8856139899087383</v>
      </c>
      <c r="R246" s="85">
        <v>0.4088467002437222</v>
      </c>
      <c r="S246" s="85">
        <v>-0.6423080688531415</v>
      </c>
      <c r="T246" s="85">
        <v>-0.7761504539926083</v>
      </c>
      <c r="U246" s="85">
        <v>-0.8558717709024468</v>
      </c>
      <c r="V246" s="85">
        <v>1.0520207037030191</v>
      </c>
      <c r="W246" s="85">
        <v>0.9971854653834821</v>
      </c>
      <c r="X246" s="85">
        <v>-1.3439858599010923</v>
      </c>
      <c r="Y246" s="50" t="s">
        <v>69</v>
      </c>
      <c r="Z246" s="50" t="s">
        <v>69</v>
      </c>
      <c r="AA246" s="50" t="s">
        <v>69</v>
      </c>
      <c r="AB246" s="50" t="s">
        <v>69</v>
      </c>
      <c r="AC246" s="34" t="str">
        <f t="shared" ref="AC246:AP246" si="246">LET(
  skater, IFERROR(INDEX(AllProj, MATCH($E246, AllProjNames, 0), MATCH(AC$2, AllProjCats, 0) + 1), ""),
  goalie, IFERROR(INDEX(AllGProj, MATCH($E246, AllGProjNames, 0), MATCH(AC$2, AllGProjCats, 0) + 1), ""),
  val, IF(skater &lt;&gt; "", skater, goalie),
  IF(OR($E246="", AC$2="", val=""), "", val * AC$1)
)</f>
        <v/>
      </c>
      <c r="AD246" s="34" t="str">
        <f t="shared" si="246"/>
        <v/>
      </c>
      <c r="AE246" s="34" t="str">
        <f t="shared" si="246"/>
        <v/>
      </c>
      <c r="AF246" s="34" t="str">
        <f t="shared" si="246"/>
        <v/>
      </c>
      <c r="AG246" s="34" t="str">
        <f t="shared" si="246"/>
        <v/>
      </c>
      <c r="AH246" s="34" t="str">
        <f t="shared" si="246"/>
        <v/>
      </c>
      <c r="AI246" s="34" t="str">
        <f t="shared" si="246"/>
        <v/>
      </c>
      <c r="AJ246" s="34" t="str">
        <f t="shared" si="246"/>
        <v/>
      </c>
      <c r="AK246" s="34" t="str">
        <f t="shared" si="246"/>
        <v/>
      </c>
      <c r="AL246" s="34" t="str">
        <f t="shared" si="246"/>
        <v/>
      </c>
      <c r="AM246" s="34" t="str">
        <f t="shared" si="246"/>
        <v/>
      </c>
      <c r="AN246" s="34" t="str">
        <f t="shared" si="246"/>
        <v/>
      </c>
      <c r="AO246" s="34" t="str">
        <f t="shared" si="246"/>
        <v/>
      </c>
      <c r="AP246" s="34" t="str">
        <f t="shared" si="246"/>
        <v/>
      </c>
      <c r="AQ246" s="76" t="s">
        <v>283</v>
      </c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77"/>
      <c r="BC246" s="77"/>
      <c r="BD246" s="77"/>
      <c r="BE246" s="77"/>
      <c r="BF246" s="77"/>
      <c r="BG246" s="77"/>
      <c r="BH246" s="77"/>
      <c r="BI246" s="77"/>
      <c r="BJ246" s="77"/>
      <c r="BK246" s="77"/>
      <c r="BL246" s="77"/>
      <c r="BM246" s="78"/>
    </row>
    <row r="247">
      <c r="A247" s="41" t="s">
        <v>69</v>
      </c>
      <c r="B247" s="41" t="b">
        <v>0</v>
      </c>
      <c r="C247" s="41" t="b">
        <f t="shared" si="3"/>
        <v>1</v>
      </c>
      <c r="D247" s="42" t="s">
        <v>826</v>
      </c>
      <c r="E247" s="43" t="s">
        <v>1864</v>
      </c>
      <c r="F247" s="44" t="s">
        <v>1043</v>
      </c>
      <c r="G247" s="29" t="s">
        <v>284</v>
      </c>
      <c r="H247" s="32">
        <v>-5.027867973701479</v>
      </c>
      <c r="I247" s="32">
        <v>0.010198046481606049</v>
      </c>
      <c r="J247" s="45" t="s">
        <v>1865</v>
      </c>
      <c r="K247" s="29">
        <v>33.7</v>
      </c>
      <c r="L247" s="41">
        <v>73.0775</v>
      </c>
      <c r="M247" s="46">
        <v>28.0</v>
      </c>
      <c r="N247" s="46">
        <v>6.0</v>
      </c>
      <c r="O247" s="47">
        <v>-0.3769175069757302</v>
      </c>
      <c r="P247" s="47">
        <v>-0.7936633163625768</v>
      </c>
      <c r="Q247" s="47">
        <v>0.5205597408331633</v>
      </c>
      <c r="R247" s="47">
        <v>-1.7921483405752814</v>
      </c>
      <c r="S247" s="47">
        <v>-0.9933785335161801</v>
      </c>
      <c r="T247" s="47">
        <v>0.5704379535794251</v>
      </c>
      <c r="U247" s="47">
        <v>-0.3363262785257122</v>
      </c>
      <c r="V247" s="47">
        <v>1.2093369803154674</v>
      </c>
      <c r="W247" s="47">
        <v>-1.9978901984930828</v>
      </c>
      <c r="X247" s="47">
        <v>-1.0378784739809714</v>
      </c>
      <c r="Y247" s="50" t="s">
        <v>69</v>
      </c>
      <c r="Z247" s="50" t="s">
        <v>69</v>
      </c>
      <c r="AA247" s="50" t="s">
        <v>69</v>
      </c>
      <c r="AB247" s="50" t="s">
        <v>69</v>
      </c>
      <c r="AC247" s="34" t="str">
        <f t="shared" ref="AC247:AP247" si="247">LET(
  skater, IFERROR(INDEX(AllProj, MATCH($E247, AllProjNames, 0), MATCH(AC$2, AllProjCats, 0) + 1), ""),
  goalie, IFERROR(INDEX(AllGProj, MATCH($E247, AllGProjNames, 0), MATCH(AC$2, AllGProjCats, 0) + 1), ""),
  val, IF(skater &lt;&gt; "", skater, goalie),
  IF(OR($E247="", AC$2="", val=""), "", val * AC$1)
)</f>
        <v/>
      </c>
      <c r="AD247" s="34" t="str">
        <f t="shared" si="247"/>
        <v/>
      </c>
      <c r="AE247" s="34" t="str">
        <f t="shared" si="247"/>
        <v/>
      </c>
      <c r="AF247" s="34" t="str">
        <f t="shared" si="247"/>
        <v/>
      </c>
      <c r="AG247" s="34" t="str">
        <f t="shared" si="247"/>
        <v/>
      </c>
      <c r="AH247" s="34" t="str">
        <f t="shared" si="247"/>
        <v/>
      </c>
      <c r="AI247" s="34" t="str">
        <f t="shared" si="247"/>
        <v/>
      </c>
      <c r="AJ247" s="34" t="str">
        <f t="shared" si="247"/>
        <v/>
      </c>
      <c r="AK247" s="34" t="str">
        <f t="shared" si="247"/>
        <v/>
      </c>
      <c r="AL247" s="34" t="str">
        <f t="shared" si="247"/>
        <v/>
      </c>
      <c r="AM247" s="34" t="str">
        <f t="shared" si="247"/>
        <v/>
      </c>
      <c r="AN247" s="34" t="str">
        <f t="shared" si="247"/>
        <v/>
      </c>
      <c r="AO247" s="34" t="str">
        <f t="shared" si="247"/>
        <v/>
      </c>
      <c r="AP247" s="34" t="str">
        <f t="shared" si="247"/>
        <v/>
      </c>
      <c r="AQ247" s="76" t="s">
        <v>285</v>
      </c>
      <c r="AR247" s="77"/>
      <c r="AS247" s="77"/>
      <c r="AT247" s="77"/>
      <c r="AU247" s="77"/>
      <c r="AV247" s="77"/>
      <c r="AW247" s="77"/>
      <c r="AX247" s="77"/>
      <c r="AY247" s="77"/>
      <c r="AZ247" s="77"/>
      <c r="BA247" s="77"/>
      <c r="BB247" s="77"/>
      <c r="BC247" s="77"/>
      <c r="BD247" s="77"/>
      <c r="BE247" s="77"/>
      <c r="BF247" s="77"/>
      <c r="BG247" s="77"/>
      <c r="BH247" s="77"/>
      <c r="BI247" s="77"/>
      <c r="BJ247" s="77"/>
      <c r="BK247" s="77"/>
      <c r="BL247" s="77"/>
      <c r="BM247" s="78"/>
    </row>
    <row r="248">
      <c r="A248" s="79">
        <v>2.5</v>
      </c>
      <c r="B248" s="79" t="b">
        <v>0</v>
      </c>
      <c r="C248" s="79" t="b">
        <f t="shared" si="3"/>
        <v>0</v>
      </c>
      <c r="D248" s="80" t="s">
        <v>1565</v>
      </c>
      <c r="E248" s="81" t="s">
        <v>896</v>
      </c>
      <c r="F248" s="82" t="s">
        <v>1426</v>
      </c>
      <c r="G248" s="35" t="s">
        <v>829</v>
      </c>
      <c r="H248" s="37">
        <v>-5.038066020183085</v>
      </c>
      <c r="I248" s="37">
        <v>0.4040715885447721</v>
      </c>
      <c r="J248" s="83" t="s">
        <v>1866</v>
      </c>
      <c r="K248" s="35">
        <v>27.5</v>
      </c>
      <c r="L248" s="79">
        <v>76.57142857142857</v>
      </c>
      <c r="M248" s="84">
        <v>23.0</v>
      </c>
      <c r="N248" s="84">
        <v>6.0</v>
      </c>
      <c r="O248" s="85">
        <v>-1.4892550218503335</v>
      </c>
      <c r="P248" s="85">
        <v>-1.9408010649680014</v>
      </c>
      <c r="Q248" s="85">
        <v>-1.6411057934500832</v>
      </c>
      <c r="R248" s="85">
        <v>3.2206568738564503</v>
      </c>
      <c r="S248" s="85">
        <v>-1.5799261122187835</v>
      </c>
      <c r="T248" s="85">
        <v>-0.16952108464970286</v>
      </c>
      <c r="U248" s="85">
        <v>-1.8306207647290516</v>
      </c>
      <c r="V248" s="85">
        <v>0.17739979285640467</v>
      </c>
      <c r="W248" s="85">
        <v>1.3650311251221225</v>
      </c>
      <c r="X248" s="85">
        <v>-1.1499239701521062</v>
      </c>
      <c r="Y248" s="50" t="s">
        <v>69</v>
      </c>
      <c r="Z248" s="50" t="s">
        <v>69</v>
      </c>
      <c r="AA248" s="50" t="s">
        <v>69</v>
      </c>
      <c r="AB248" s="50" t="s">
        <v>69</v>
      </c>
      <c r="AC248" s="34" t="str">
        <f t="shared" ref="AC248:AP248" si="248">LET(
  skater, IFERROR(INDEX(AllProj, MATCH($E248, AllProjNames, 0), MATCH(AC$2, AllProjCats, 0) + 1), ""),
  goalie, IFERROR(INDEX(AllGProj, MATCH($E248, AllGProjNames, 0), MATCH(AC$2, AllGProjCats, 0) + 1), ""),
  val, IF(skater &lt;&gt; "", skater, goalie),
  IF(OR($E248="", AC$2="", val=""), "", val * AC$1)
)</f>
        <v/>
      </c>
      <c r="AD248" s="34" t="str">
        <f t="shared" si="248"/>
        <v/>
      </c>
      <c r="AE248" s="34" t="str">
        <f t="shared" si="248"/>
        <v/>
      </c>
      <c r="AF248" s="34" t="str">
        <f t="shared" si="248"/>
        <v/>
      </c>
      <c r="AG248" s="34" t="str">
        <f t="shared" si="248"/>
        <v/>
      </c>
      <c r="AH248" s="34" t="str">
        <f t="shared" si="248"/>
        <v/>
      </c>
      <c r="AI248" s="34" t="str">
        <f t="shared" si="248"/>
        <v/>
      </c>
      <c r="AJ248" s="34" t="str">
        <f t="shared" si="248"/>
        <v/>
      </c>
      <c r="AK248" s="34" t="str">
        <f t="shared" si="248"/>
        <v/>
      </c>
      <c r="AL248" s="34" t="str">
        <f t="shared" si="248"/>
        <v/>
      </c>
      <c r="AM248" s="34" t="str">
        <f t="shared" si="248"/>
        <v/>
      </c>
      <c r="AN248" s="34" t="str">
        <f t="shared" si="248"/>
        <v/>
      </c>
      <c r="AO248" s="34" t="str">
        <f t="shared" si="248"/>
        <v/>
      </c>
      <c r="AP248" s="34" t="str">
        <f t="shared" si="248"/>
        <v/>
      </c>
      <c r="AQ248" s="76" t="s">
        <v>286</v>
      </c>
      <c r="AR248" s="77"/>
      <c r="AS248" s="77"/>
      <c r="AT248" s="77"/>
      <c r="AU248" s="77"/>
      <c r="AV248" s="77"/>
      <c r="AW248" s="77"/>
      <c r="AX248" s="77"/>
      <c r="AY248" s="77"/>
      <c r="AZ248" s="77"/>
      <c r="BA248" s="77"/>
      <c r="BB248" s="77"/>
      <c r="BC248" s="77"/>
      <c r="BD248" s="77"/>
      <c r="BE248" s="77"/>
      <c r="BF248" s="77"/>
      <c r="BG248" s="77"/>
      <c r="BH248" s="77"/>
      <c r="BI248" s="77"/>
      <c r="BJ248" s="77"/>
      <c r="BK248" s="77"/>
      <c r="BL248" s="77"/>
      <c r="BM248" s="78"/>
    </row>
    <row r="249">
      <c r="A249" s="41" t="s">
        <v>69</v>
      </c>
      <c r="B249" s="41" t="b">
        <v>0</v>
      </c>
      <c r="C249" s="41" t="b">
        <f t="shared" si="3"/>
        <v>1</v>
      </c>
      <c r="D249" s="42" t="s">
        <v>827</v>
      </c>
      <c r="E249" s="43" t="s">
        <v>1867</v>
      </c>
      <c r="F249" s="44" t="s">
        <v>1594</v>
      </c>
      <c r="G249" s="29" t="s">
        <v>835</v>
      </c>
      <c r="H249" s="32">
        <v>-5.08079879126948</v>
      </c>
      <c r="I249" s="32">
        <v>0.30708133364325896</v>
      </c>
      <c r="J249" s="45" t="s">
        <v>1868</v>
      </c>
      <c r="K249" s="29">
        <v>30.3</v>
      </c>
      <c r="L249" s="41">
        <v>78.87411764705882</v>
      </c>
      <c r="M249" s="46">
        <v>26.0</v>
      </c>
      <c r="N249" s="46">
        <v>6.0</v>
      </c>
      <c r="O249" s="47">
        <v>0.7325635129519317</v>
      </c>
      <c r="P249" s="47">
        <v>-1.083929589604565</v>
      </c>
      <c r="Q249" s="47">
        <v>-1.820724476448658</v>
      </c>
      <c r="R249" s="47">
        <v>-0.6992290806782522</v>
      </c>
      <c r="S249" s="47">
        <v>-0.8415498581423904</v>
      </c>
      <c r="T249" s="47">
        <v>-0.757706310759875</v>
      </c>
      <c r="U249" s="47">
        <v>0.6444408189948546</v>
      </c>
      <c r="V249" s="47">
        <v>0.0</v>
      </c>
      <c r="W249" s="47">
        <v>0.5960276857910457</v>
      </c>
      <c r="X249" s="47">
        <v>-1.8506914933735703</v>
      </c>
      <c r="Y249" s="50" t="s">
        <v>69</v>
      </c>
      <c r="Z249" s="50" t="s">
        <v>69</v>
      </c>
      <c r="AA249" s="50" t="s">
        <v>69</v>
      </c>
      <c r="AB249" s="50" t="s">
        <v>69</v>
      </c>
      <c r="AC249" s="34" t="str">
        <f t="shared" ref="AC249:AP249" si="249">LET(
  skater, IFERROR(INDEX(AllProj, MATCH($E249, AllProjNames, 0), MATCH(AC$2, AllProjCats, 0) + 1), ""),
  goalie, IFERROR(INDEX(AllGProj, MATCH($E249, AllGProjNames, 0), MATCH(AC$2, AllGProjCats, 0) + 1), ""),
  val, IF(skater &lt;&gt; "", skater, goalie),
  IF(OR($E249="", AC$2="", val=""), "", val * AC$1)
)</f>
        <v/>
      </c>
      <c r="AD249" s="34" t="str">
        <f t="shared" si="249"/>
        <v/>
      </c>
      <c r="AE249" s="34" t="str">
        <f t="shared" si="249"/>
        <v/>
      </c>
      <c r="AF249" s="34" t="str">
        <f t="shared" si="249"/>
        <v/>
      </c>
      <c r="AG249" s="34" t="str">
        <f t="shared" si="249"/>
        <v/>
      </c>
      <c r="AH249" s="34" t="str">
        <f t="shared" si="249"/>
        <v/>
      </c>
      <c r="AI249" s="34" t="str">
        <f t="shared" si="249"/>
        <v/>
      </c>
      <c r="AJ249" s="34" t="str">
        <f t="shared" si="249"/>
        <v/>
      </c>
      <c r="AK249" s="34" t="str">
        <f t="shared" si="249"/>
        <v/>
      </c>
      <c r="AL249" s="34" t="str">
        <f t="shared" si="249"/>
        <v/>
      </c>
      <c r="AM249" s="34" t="str">
        <f t="shared" si="249"/>
        <v/>
      </c>
      <c r="AN249" s="34" t="str">
        <f t="shared" si="249"/>
        <v/>
      </c>
      <c r="AO249" s="34" t="str">
        <f t="shared" si="249"/>
        <v/>
      </c>
      <c r="AP249" s="34" t="str">
        <f t="shared" si="249"/>
        <v/>
      </c>
      <c r="AQ249" s="76" t="s">
        <v>287</v>
      </c>
      <c r="AR249" s="77"/>
      <c r="AS249" s="77"/>
      <c r="AT249" s="77"/>
      <c r="AU249" s="77"/>
      <c r="AV249" s="77"/>
      <c r="AW249" s="77"/>
      <c r="AX249" s="77"/>
      <c r="AY249" s="77"/>
      <c r="AZ249" s="77"/>
      <c r="BA249" s="77"/>
      <c r="BB249" s="77"/>
      <c r="BC249" s="77"/>
      <c r="BD249" s="77"/>
      <c r="BE249" s="77"/>
      <c r="BF249" s="77"/>
      <c r="BG249" s="77"/>
      <c r="BH249" s="77"/>
      <c r="BI249" s="77"/>
      <c r="BJ249" s="77"/>
      <c r="BK249" s="77"/>
      <c r="BL249" s="77"/>
      <c r="BM249" s="78"/>
    </row>
    <row r="250">
      <c r="A250" s="79">
        <v>2.857142857142857</v>
      </c>
      <c r="B250" s="79" t="b">
        <v>0</v>
      </c>
      <c r="C250" s="79" t="b">
        <f t="shared" si="3"/>
        <v>0</v>
      </c>
      <c r="D250" s="80" t="s">
        <v>1565</v>
      </c>
      <c r="E250" s="81" t="s">
        <v>1378</v>
      </c>
      <c r="F250" s="82" t="s">
        <v>1505</v>
      </c>
      <c r="G250" s="35" t="s">
        <v>6</v>
      </c>
      <c r="H250" s="37">
        <v>-5.081831889674941</v>
      </c>
      <c r="I250" s="37">
        <v>-0.7436089112048272</v>
      </c>
      <c r="J250" s="83" t="s">
        <v>1869</v>
      </c>
      <c r="K250" s="35">
        <v>23.8</v>
      </c>
      <c r="L250" s="79">
        <v>27.0</v>
      </c>
      <c r="M250" s="84">
        <v>30.0</v>
      </c>
      <c r="N250" s="84">
        <v>5.0</v>
      </c>
      <c r="O250" s="96" t="s">
        <v>69</v>
      </c>
      <c r="P250" s="96" t="s">
        <v>69</v>
      </c>
      <c r="Q250" s="96" t="s">
        <v>69</v>
      </c>
      <c r="R250" s="96" t="s">
        <v>69</v>
      </c>
      <c r="S250" s="96" t="s">
        <v>69</v>
      </c>
      <c r="T250" s="96" t="s">
        <v>69</v>
      </c>
      <c r="U250" s="96" t="s">
        <v>69</v>
      </c>
      <c r="V250" s="96" t="s">
        <v>69</v>
      </c>
      <c r="W250" s="96" t="s">
        <v>69</v>
      </c>
      <c r="X250" s="96" t="s">
        <v>69</v>
      </c>
      <c r="Y250" s="95">
        <v>-2.301271268709015</v>
      </c>
      <c r="Z250" s="95">
        <v>-0.24728865146239556</v>
      </c>
      <c r="AA250" s="95">
        <v>-2.53327196950353</v>
      </c>
      <c r="AB250" s="95">
        <v>0.0</v>
      </c>
      <c r="AC250" s="34" t="str">
        <f t="shared" ref="AC250:AP250" si="250">LET(
  skater, IFERROR(INDEX(AllProj, MATCH($E250, AllProjNames, 0), MATCH(AC$2, AllProjCats, 0) + 1), ""),
  goalie, IFERROR(INDEX(AllGProj, MATCH($E250, AllGProjNames, 0), MATCH(AC$2, AllGProjCats, 0) + 1), ""),
  val, IF(skater &lt;&gt; "", skater, goalie),
  IF(OR($E250="", AC$2="", val=""), "", val * AC$1)
)</f>
        <v/>
      </c>
      <c r="AD250" s="34" t="str">
        <f t="shared" si="250"/>
        <v/>
      </c>
      <c r="AE250" s="34" t="str">
        <f t="shared" si="250"/>
        <v/>
      </c>
      <c r="AF250" s="34" t="str">
        <f t="shared" si="250"/>
        <v/>
      </c>
      <c r="AG250" s="34" t="str">
        <f t="shared" si="250"/>
        <v/>
      </c>
      <c r="AH250" s="34" t="str">
        <f t="shared" si="250"/>
        <v/>
      </c>
      <c r="AI250" s="34" t="str">
        <f t="shared" si="250"/>
        <v/>
      </c>
      <c r="AJ250" s="34" t="str">
        <f t="shared" si="250"/>
        <v/>
      </c>
      <c r="AK250" s="34" t="str">
        <f t="shared" si="250"/>
        <v/>
      </c>
      <c r="AL250" s="34" t="str">
        <f t="shared" si="250"/>
        <v/>
      </c>
      <c r="AM250" s="34" t="str">
        <f t="shared" si="250"/>
        <v/>
      </c>
      <c r="AN250" s="34" t="str">
        <f t="shared" si="250"/>
        <v/>
      </c>
      <c r="AO250" s="34" t="str">
        <f t="shared" si="250"/>
        <v/>
      </c>
      <c r="AP250" s="34" t="str">
        <f t="shared" si="250"/>
        <v/>
      </c>
      <c r="AQ250" s="76" t="s">
        <v>288</v>
      </c>
      <c r="AR250" s="77"/>
      <c r="AS250" s="77"/>
      <c r="AT250" s="77"/>
      <c r="AU250" s="77"/>
      <c r="AV250" s="77"/>
      <c r="AW250" s="77"/>
      <c r="AX250" s="77"/>
      <c r="AY250" s="77"/>
      <c r="AZ250" s="77"/>
      <c r="BA250" s="77"/>
      <c r="BB250" s="77"/>
      <c r="BC250" s="77"/>
      <c r="BD250" s="77"/>
      <c r="BE250" s="77"/>
      <c r="BF250" s="77"/>
      <c r="BG250" s="77"/>
      <c r="BH250" s="77"/>
      <c r="BI250" s="77"/>
      <c r="BJ250" s="77"/>
      <c r="BK250" s="77"/>
      <c r="BL250" s="77"/>
      <c r="BM250" s="78"/>
    </row>
    <row r="251">
      <c r="A251" s="41">
        <v>2.5714285714285716</v>
      </c>
      <c r="B251" s="41" t="b">
        <v>0</v>
      </c>
      <c r="C251" s="41" t="b">
        <f t="shared" si="3"/>
        <v>0</v>
      </c>
      <c r="D251" s="42" t="s">
        <v>1565</v>
      </c>
      <c r="E251" s="43" t="s">
        <v>981</v>
      </c>
      <c r="F251" s="44" t="s">
        <v>1454</v>
      </c>
      <c r="G251" s="29" t="s">
        <v>284</v>
      </c>
      <c r="H251" s="32">
        <v>-5.118147322537093</v>
      </c>
      <c r="I251" s="32">
        <v>-0.08008130235400746</v>
      </c>
      <c r="J251" s="45" t="s">
        <v>1870</v>
      </c>
      <c r="K251" s="29">
        <v>27.0</v>
      </c>
      <c r="L251" s="41">
        <v>82.00117647058823</v>
      </c>
      <c r="M251" s="46">
        <v>25.0</v>
      </c>
      <c r="N251" s="46">
        <v>6.0</v>
      </c>
      <c r="O251" s="47">
        <v>-0.7061970670160762</v>
      </c>
      <c r="P251" s="47">
        <v>0.05329920751103628</v>
      </c>
      <c r="Q251" s="47">
        <v>0.15776518939401832</v>
      </c>
      <c r="R251" s="47">
        <v>-1.868744134039973</v>
      </c>
      <c r="S251" s="47">
        <v>-1.0715716380326528</v>
      </c>
      <c r="T251" s="47">
        <v>2.0192608443291586</v>
      </c>
      <c r="U251" s="47">
        <v>-1.5576098773040432</v>
      </c>
      <c r="V251" s="47">
        <v>1.6221915199793229</v>
      </c>
      <c r="W251" s="47">
        <v>-2.129305857154126</v>
      </c>
      <c r="X251" s="47">
        <v>-1.6372355102037566</v>
      </c>
      <c r="Y251" s="50" t="s">
        <v>69</v>
      </c>
      <c r="Z251" s="50" t="s">
        <v>69</v>
      </c>
      <c r="AA251" s="50" t="s">
        <v>69</v>
      </c>
      <c r="AB251" s="50" t="s">
        <v>69</v>
      </c>
      <c r="AC251" s="34" t="str">
        <f t="shared" ref="AC251:AP251" si="251">LET(
  skater, IFERROR(INDEX(AllProj, MATCH($E251, AllProjNames, 0), MATCH(AC$2, AllProjCats, 0) + 1), ""),
  goalie, IFERROR(INDEX(AllGProj, MATCH($E251, AllGProjNames, 0), MATCH(AC$2, AllGProjCats, 0) + 1), ""),
  val, IF(skater &lt;&gt; "", skater, goalie),
  IF(OR($E251="", AC$2="", val=""), "", val * AC$1)
)</f>
        <v/>
      </c>
      <c r="AD251" s="34" t="str">
        <f t="shared" si="251"/>
        <v/>
      </c>
      <c r="AE251" s="34" t="str">
        <f t="shared" si="251"/>
        <v/>
      </c>
      <c r="AF251" s="34" t="str">
        <f t="shared" si="251"/>
        <v/>
      </c>
      <c r="AG251" s="34" t="str">
        <f t="shared" si="251"/>
        <v/>
      </c>
      <c r="AH251" s="34" t="str">
        <f t="shared" si="251"/>
        <v/>
      </c>
      <c r="AI251" s="34" t="str">
        <f t="shared" si="251"/>
        <v/>
      </c>
      <c r="AJ251" s="34" t="str">
        <f t="shared" si="251"/>
        <v/>
      </c>
      <c r="AK251" s="34" t="str">
        <f t="shared" si="251"/>
        <v/>
      </c>
      <c r="AL251" s="34" t="str">
        <f t="shared" si="251"/>
        <v/>
      </c>
      <c r="AM251" s="34" t="str">
        <f t="shared" si="251"/>
        <v/>
      </c>
      <c r="AN251" s="34" t="str">
        <f t="shared" si="251"/>
        <v/>
      </c>
      <c r="AO251" s="34" t="str">
        <f t="shared" si="251"/>
        <v/>
      </c>
      <c r="AP251" s="34" t="str">
        <f t="shared" si="251"/>
        <v/>
      </c>
      <c r="AQ251" s="76" t="s">
        <v>289</v>
      </c>
      <c r="AR251" s="77"/>
      <c r="AS251" s="77"/>
      <c r="AT251" s="77"/>
      <c r="AU251" s="77"/>
      <c r="AV251" s="77"/>
      <c r="AW251" s="77"/>
      <c r="AX251" s="77"/>
      <c r="AY251" s="77"/>
      <c r="AZ251" s="77"/>
      <c r="BA251" s="77"/>
      <c r="BB251" s="77"/>
      <c r="BC251" s="77"/>
      <c r="BD251" s="77"/>
      <c r="BE251" s="77"/>
      <c r="BF251" s="77"/>
      <c r="BG251" s="77"/>
      <c r="BH251" s="77"/>
      <c r="BI251" s="77"/>
      <c r="BJ251" s="77"/>
      <c r="BK251" s="77"/>
      <c r="BL251" s="77"/>
      <c r="BM251" s="78"/>
    </row>
    <row r="252">
      <c r="A252" s="79">
        <v>2.642857142857143</v>
      </c>
      <c r="B252" s="79" t="b">
        <v>0</v>
      </c>
      <c r="C252" s="79" t="b">
        <f t="shared" si="3"/>
        <v>0</v>
      </c>
      <c r="D252" s="80" t="s">
        <v>1565</v>
      </c>
      <c r="E252" s="81" t="s">
        <v>1099</v>
      </c>
      <c r="F252" s="82" t="s">
        <v>1464</v>
      </c>
      <c r="G252" s="35" t="s">
        <v>837</v>
      </c>
      <c r="H252" s="37">
        <v>-5.133542259020218</v>
      </c>
      <c r="I252" s="37">
        <v>0.3963165129086832</v>
      </c>
      <c r="J252" s="83" t="s">
        <v>1871</v>
      </c>
      <c r="K252" s="35">
        <v>35.8</v>
      </c>
      <c r="L252" s="79">
        <v>82.42857142857143</v>
      </c>
      <c r="M252" s="84">
        <v>24.0</v>
      </c>
      <c r="N252" s="84">
        <v>7.0</v>
      </c>
      <c r="O252" s="85">
        <v>-2.2689523516033514</v>
      </c>
      <c r="P252" s="85">
        <v>-1.6136870585795708</v>
      </c>
      <c r="Q252" s="85">
        <v>-0.07741935259284928</v>
      </c>
      <c r="R252" s="85">
        <v>1.7196718129984876</v>
      </c>
      <c r="S252" s="85">
        <v>-1.72461069241107</v>
      </c>
      <c r="T252" s="85">
        <v>-0.16952108464970286</v>
      </c>
      <c r="U252" s="85">
        <v>-2.553547721497163</v>
      </c>
      <c r="V252" s="85">
        <v>0.0</v>
      </c>
      <c r="W252" s="85">
        <v>1.1712377215911165</v>
      </c>
      <c r="X252" s="85">
        <v>0.38328646772388625</v>
      </c>
      <c r="Y252" s="50" t="s">
        <v>69</v>
      </c>
      <c r="Z252" s="50" t="s">
        <v>69</v>
      </c>
      <c r="AA252" s="50" t="s">
        <v>69</v>
      </c>
      <c r="AB252" s="50" t="s">
        <v>69</v>
      </c>
      <c r="AC252" s="34" t="str">
        <f t="shared" ref="AC252:AP252" si="252">LET(
  skater, IFERROR(INDEX(AllProj, MATCH($E252, AllProjNames, 0), MATCH(AC$2, AllProjCats, 0) + 1), ""),
  goalie, IFERROR(INDEX(AllGProj, MATCH($E252, AllGProjNames, 0), MATCH(AC$2, AllGProjCats, 0) + 1), ""),
  val, IF(skater &lt;&gt; "", skater, goalie),
  IF(OR($E252="", AC$2="", val=""), "", val * AC$1)
)</f>
        <v/>
      </c>
      <c r="AD252" s="34" t="str">
        <f t="shared" si="252"/>
        <v/>
      </c>
      <c r="AE252" s="34" t="str">
        <f t="shared" si="252"/>
        <v/>
      </c>
      <c r="AF252" s="34" t="str">
        <f t="shared" si="252"/>
        <v/>
      </c>
      <c r="AG252" s="34" t="str">
        <f t="shared" si="252"/>
        <v/>
      </c>
      <c r="AH252" s="34" t="str">
        <f t="shared" si="252"/>
        <v/>
      </c>
      <c r="AI252" s="34" t="str">
        <f t="shared" si="252"/>
        <v/>
      </c>
      <c r="AJ252" s="34" t="str">
        <f t="shared" si="252"/>
        <v/>
      </c>
      <c r="AK252" s="34" t="str">
        <f t="shared" si="252"/>
        <v/>
      </c>
      <c r="AL252" s="34" t="str">
        <f t="shared" si="252"/>
        <v/>
      </c>
      <c r="AM252" s="34" t="str">
        <f t="shared" si="252"/>
        <v/>
      </c>
      <c r="AN252" s="34" t="str">
        <f t="shared" si="252"/>
        <v/>
      </c>
      <c r="AO252" s="34" t="str">
        <f t="shared" si="252"/>
        <v/>
      </c>
      <c r="AP252" s="34" t="str">
        <f t="shared" si="252"/>
        <v/>
      </c>
      <c r="AQ252" s="76" t="s">
        <v>291</v>
      </c>
      <c r="AR252" s="77"/>
      <c r="AS252" s="77"/>
      <c r="AT252" s="77"/>
      <c r="AU252" s="77"/>
      <c r="AV252" s="77"/>
      <c r="AW252" s="77"/>
      <c r="AX252" s="77"/>
      <c r="AY252" s="77"/>
      <c r="AZ252" s="77"/>
      <c r="BA252" s="77"/>
      <c r="BB252" s="77"/>
      <c r="BC252" s="77"/>
      <c r="BD252" s="77"/>
      <c r="BE252" s="77"/>
      <c r="BF252" s="77"/>
      <c r="BG252" s="77"/>
      <c r="BH252" s="77"/>
      <c r="BI252" s="77"/>
      <c r="BJ252" s="77"/>
      <c r="BK252" s="77"/>
      <c r="BL252" s="77"/>
      <c r="BM252" s="78"/>
    </row>
    <row r="253">
      <c r="A253" s="41" t="s">
        <v>69</v>
      </c>
      <c r="B253" s="41" t="b">
        <v>0</v>
      </c>
      <c r="C253" s="41" t="b">
        <f t="shared" si="3"/>
        <v>1</v>
      </c>
      <c r="D253" s="42" t="s">
        <v>826</v>
      </c>
      <c r="E253" s="43" t="s">
        <v>1872</v>
      </c>
      <c r="F253" s="44" t="s">
        <v>1517</v>
      </c>
      <c r="G253" s="29" t="s">
        <v>6</v>
      </c>
      <c r="H253" s="32">
        <v>-5.216949543180394</v>
      </c>
      <c r="I253" s="32">
        <v>-0.8787265647102798</v>
      </c>
      <c r="J253" s="45" t="s">
        <v>1873</v>
      </c>
      <c r="K253" s="29">
        <v>31.4</v>
      </c>
      <c r="L253" s="41">
        <v>59.9</v>
      </c>
      <c r="M253" s="46">
        <v>18.0</v>
      </c>
      <c r="N253" s="46">
        <v>6.0</v>
      </c>
      <c r="O253" s="94" t="s">
        <v>69</v>
      </c>
      <c r="P253" s="94" t="s">
        <v>69</v>
      </c>
      <c r="Q253" s="94" t="s">
        <v>69</v>
      </c>
      <c r="R253" s="94" t="s">
        <v>69</v>
      </c>
      <c r="S253" s="94" t="s">
        <v>69</v>
      </c>
      <c r="T253" s="94" t="s">
        <v>69</v>
      </c>
      <c r="U253" s="94" t="s">
        <v>69</v>
      </c>
      <c r="V253" s="94" t="s">
        <v>69</v>
      </c>
      <c r="W253" s="94" t="s">
        <v>69</v>
      </c>
      <c r="X253" s="94" t="s">
        <v>69</v>
      </c>
      <c r="Y253" s="95">
        <v>0.7359126163159794</v>
      </c>
      <c r="Z253" s="95">
        <v>-3.3920162467394737</v>
      </c>
      <c r="AA253" s="95">
        <v>-2.5608459127568994</v>
      </c>
      <c r="AB253" s="95">
        <v>0.0</v>
      </c>
      <c r="AC253" s="34" t="str">
        <f t="shared" ref="AC253:AP253" si="253">LET(
  skater, IFERROR(INDEX(AllProj, MATCH($E253, AllProjNames, 0), MATCH(AC$2, AllProjCats, 0) + 1), ""),
  goalie, IFERROR(INDEX(AllGProj, MATCH($E253, AllGProjNames, 0), MATCH(AC$2, AllGProjCats, 0) + 1), ""),
  val, IF(skater &lt;&gt; "", skater, goalie),
  IF(OR($E253="", AC$2="", val=""), "", val * AC$1)
)</f>
        <v/>
      </c>
      <c r="AD253" s="34" t="str">
        <f t="shared" si="253"/>
        <v/>
      </c>
      <c r="AE253" s="34" t="str">
        <f t="shared" si="253"/>
        <v/>
      </c>
      <c r="AF253" s="34" t="str">
        <f t="shared" si="253"/>
        <v/>
      </c>
      <c r="AG253" s="34" t="str">
        <f t="shared" si="253"/>
        <v/>
      </c>
      <c r="AH253" s="34" t="str">
        <f t="shared" si="253"/>
        <v/>
      </c>
      <c r="AI253" s="34" t="str">
        <f t="shared" si="253"/>
        <v/>
      </c>
      <c r="AJ253" s="34" t="str">
        <f t="shared" si="253"/>
        <v/>
      </c>
      <c r="AK253" s="34" t="str">
        <f t="shared" si="253"/>
        <v/>
      </c>
      <c r="AL253" s="34" t="str">
        <f t="shared" si="253"/>
        <v/>
      </c>
      <c r="AM253" s="34" t="str">
        <f t="shared" si="253"/>
        <v/>
      </c>
      <c r="AN253" s="34" t="str">
        <f t="shared" si="253"/>
        <v/>
      </c>
      <c r="AO253" s="34" t="str">
        <f t="shared" si="253"/>
        <v/>
      </c>
      <c r="AP253" s="34" t="str">
        <f t="shared" si="253"/>
        <v/>
      </c>
      <c r="AQ253" s="76" t="s">
        <v>292</v>
      </c>
      <c r="AR253" s="77"/>
      <c r="AS253" s="77"/>
      <c r="AT253" s="77"/>
      <c r="AU253" s="77"/>
      <c r="AV253" s="77"/>
      <c r="AW253" s="77"/>
      <c r="AX253" s="77"/>
      <c r="AY253" s="77"/>
      <c r="AZ253" s="77"/>
      <c r="BA253" s="77"/>
      <c r="BB253" s="77"/>
      <c r="BC253" s="77"/>
      <c r="BD253" s="77"/>
      <c r="BE253" s="77"/>
      <c r="BF253" s="77"/>
      <c r="BG253" s="77"/>
      <c r="BH253" s="77"/>
      <c r="BI253" s="77"/>
      <c r="BJ253" s="77"/>
      <c r="BK253" s="77"/>
      <c r="BL253" s="77"/>
      <c r="BM253" s="78"/>
    </row>
    <row r="254">
      <c r="A254" s="79" t="s">
        <v>69</v>
      </c>
      <c r="B254" s="79" t="b">
        <v>0</v>
      </c>
      <c r="C254" s="79" t="b">
        <f t="shared" si="3"/>
        <v>1</v>
      </c>
      <c r="D254" s="80" t="s">
        <v>825</v>
      </c>
      <c r="E254" s="81" t="s">
        <v>1874</v>
      </c>
      <c r="F254" s="82" t="s">
        <v>1454</v>
      </c>
      <c r="G254" s="35" t="s">
        <v>837</v>
      </c>
      <c r="H254" s="37">
        <v>-5.23866082872591</v>
      </c>
      <c r="I254" s="37">
        <v>0.29119794320299075</v>
      </c>
      <c r="J254" s="83" t="s">
        <v>1875</v>
      </c>
      <c r="K254" s="35">
        <v>26.5</v>
      </c>
      <c r="L254" s="79">
        <v>76.37705882352941</v>
      </c>
      <c r="M254" s="84">
        <v>25.0</v>
      </c>
      <c r="N254" s="84">
        <v>6.0</v>
      </c>
      <c r="O254" s="85">
        <v>-1.6862389567223532</v>
      </c>
      <c r="P254" s="85">
        <v>-0.9866589838885399</v>
      </c>
      <c r="Q254" s="85">
        <v>-0.03746716850900944</v>
      </c>
      <c r="R254" s="85">
        <v>-0.9922814756032071</v>
      </c>
      <c r="S254" s="85">
        <v>-1.7198461127390596</v>
      </c>
      <c r="T254" s="85">
        <v>0.11363676604922142</v>
      </c>
      <c r="U254" s="85">
        <v>-1.591031552087915</v>
      </c>
      <c r="V254" s="85">
        <v>0.0</v>
      </c>
      <c r="W254" s="85">
        <v>0.11216714032737087</v>
      </c>
      <c r="X254" s="85">
        <v>1.5490595144475823</v>
      </c>
      <c r="Y254" s="50" t="s">
        <v>69</v>
      </c>
      <c r="Z254" s="50" t="s">
        <v>69</v>
      </c>
      <c r="AA254" s="50" t="s">
        <v>69</v>
      </c>
      <c r="AB254" s="50" t="s">
        <v>69</v>
      </c>
      <c r="AC254" s="34" t="str">
        <f t="shared" ref="AC254:AP254" si="254">LET(
  skater, IFERROR(INDEX(AllProj, MATCH($E254, AllProjNames, 0), MATCH(AC$2, AllProjCats, 0) + 1), ""),
  goalie, IFERROR(INDEX(AllGProj, MATCH($E254, AllGProjNames, 0), MATCH(AC$2, AllGProjCats, 0) + 1), ""),
  val, IF(skater &lt;&gt; "", skater, goalie),
  IF(OR($E254="", AC$2="", val=""), "", val * AC$1)
)</f>
        <v/>
      </c>
      <c r="AD254" s="34" t="str">
        <f t="shared" si="254"/>
        <v/>
      </c>
      <c r="AE254" s="34" t="str">
        <f t="shared" si="254"/>
        <v/>
      </c>
      <c r="AF254" s="34" t="str">
        <f t="shared" si="254"/>
        <v/>
      </c>
      <c r="AG254" s="34" t="str">
        <f t="shared" si="254"/>
        <v/>
      </c>
      <c r="AH254" s="34" t="str">
        <f t="shared" si="254"/>
        <v/>
      </c>
      <c r="AI254" s="34" t="str">
        <f t="shared" si="254"/>
        <v/>
      </c>
      <c r="AJ254" s="34" t="str">
        <f t="shared" si="254"/>
        <v/>
      </c>
      <c r="AK254" s="34" t="str">
        <f t="shared" si="254"/>
        <v/>
      </c>
      <c r="AL254" s="34" t="str">
        <f t="shared" si="254"/>
        <v/>
      </c>
      <c r="AM254" s="34" t="str">
        <f t="shared" si="254"/>
        <v/>
      </c>
      <c r="AN254" s="34" t="str">
        <f t="shared" si="254"/>
        <v/>
      </c>
      <c r="AO254" s="34" t="str">
        <f t="shared" si="254"/>
        <v/>
      </c>
      <c r="AP254" s="34" t="str">
        <f t="shared" si="254"/>
        <v/>
      </c>
      <c r="AQ254" s="76" t="s">
        <v>293</v>
      </c>
      <c r="AR254" s="77"/>
      <c r="AS254" s="77"/>
      <c r="AT254" s="77"/>
      <c r="AU254" s="77"/>
      <c r="AV254" s="77"/>
      <c r="AW254" s="77"/>
      <c r="AX254" s="77"/>
      <c r="AY254" s="77"/>
      <c r="AZ254" s="77"/>
      <c r="BA254" s="77"/>
      <c r="BB254" s="77"/>
      <c r="BC254" s="77"/>
      <c r="BD254" s="77"/>
      <c r="BE254" s="77"/>
      <c r="BF254" s="77"/>
      <c r="BG254" s="77"/>
      <c r="BH254" s="77"/>
      <c r="BI254" s="77"/>
      <c r="BJ254" s="77"/>
      <c r="BK254" s="77"/>
      <c r="BL254" s="77"/>
      <c r="BM254" s="78"/>
    </row>
    <row r="255">
      <c r="A255" s="41" t="s">
        <v>69</v>
      </c>
      <c r="B255" s="41" t="b">
        <v>0</v>
      </c>
      <c r="C255" s="41" t="b">
        <f t="shared" si="3"/>
        <v>1</v>
      </c>
      <c r="D255" s="42" t="s">
        <v>22</v>
      </c>
      <c r="E255" s="43" t="s">
        <v>1876</v>
      </c>
      <c r="F255" s="44" t="s">
        <v>1594</v>
      </c>
      <c r="G255" s="29" t="s">
        <v>830</v>
      </c>
      <c r="H255" s="32">
        <v>-5.318118273154264</v>
      </c>
      <c r="I255" s="32">
        <v>0.06976185175847505</v>
      </c>
      <c r="J255" s="45" t="s">
        <v>1877</v>
      </c>
      <c r="K255" s="29">
        <v>30.3</v>
      </c>
      <c r="L255" s="41">
        <v>78.85382352941176</v>
      </c>
      <c r="M255" s="46">
        <v>26.0</v>
      </c>
      <c r="N255" s="46">
        <v>6.0</v>
      </c>
      <c r="O255" s="47">
        <v>0.7362083627367452</v>
      </c>
      <c r="P255" s="47">
        <v>0.10013963250669447</v>
      </c>
      <c r="Q255" s="47">
        <v>-1.9793108707592184</v>
      </c>
      <c r="R255" s="47">
        <v>-1.601054917370648</v>
      </c>
      <c r="S255" s="47">
        <v>0.5817431958061987</v>
      </c>
      <c r="T255" s="47">
        <v>-0.44667906908184396</v>
      </c>
      <c r="U255" s="47">
        <v>0.403204519622844</v>
      </c>
      <c r="V255" s="47">
        <v>0.0</v>
      </c>
      <c r="W255" s="47">
        <v>-1.5504704980795483</v>
      </c>
      <c r="X255" s="47">
        <v>-1.561898628535487</v>
      </c>
      <c r="Y255" s="50" t="s">
        <v>69</v>
      </c>
      <c r="Z255" s="50" t="s">
        <v>69</v>
      </c>
      <c r="AA255" s="50" t="s">
        <v>69</v>
      </c>
      <c r="AB255" s="50" t="s">
        <v>69</v>
      </c>
      <c r="AC255" s="34" t="str">
        <f t="shared" ref="AC255:AP255" si="255">LET(
  skater, IFERROR(INDEX(AllProj, MATCH($E255, AllProjNames, 0), MATCH(AC$2, AllProjCats, 0) + 1), ""),
  goalie, IFERROR(INDEX(AllGProj, MATCH($E255, AllGProjNames, 0), MATCH(AC$2, AllGProjCats, 0) + 1), ""),
  val, IF(skater &lt;&gt; "", skater, goalie),
  IF(OR($E255="", AC$2="", val=""), "", val * AC$1)
)</f>
        <v/>
      </c>
      <c r="AD255" s="34" t="str">
        <f t="shared" si="255"/>
        <v/>
      </c>
      <c r="AE255" s="34" t="str">
        <f t="shared" si="255"/>
        <v/>
      </c>
      <c r="AF255" s="34" t="str">
        <f t="shared" si="255"/>
        <v/>
      </c>
      <c r="AG255" s="34" t="str">
        <f t="shared" si="255"/>
        <v/>
      </c>
      <c r="AH255" s="34" t="str">
        <f t="shared" si="255"/>
        <v/>
      </c>
      <c r="AI255" s="34" t="str">
        <f t="shared" si="255"/>
        <v/>
      </c>
      <c r="AJ255" s="34" t="str">
        <f t="shared" si="255"/>
        <v/>
      </c>
      <c r="AK255" s="34" t="str">
        <f t="shared" si="255"/>
        <v/>
      </c>
      <c r="AL255" s="34" t="str">
        <f t="shared" si="255"/>
        <v/>
      </c>
      <c r="AM255" s="34" t="str">
        <f t="shared" si="255"/>
        <v/>
      </c>
      <c r="AN255" s="34" t="str">
        <f t="shared" si="255"/>
        <v/>
      </c>
      <c r="AO255" s="34" t="str">
        <f t="shared" si="255"/>
        <v/>
      </c>
      <c r="AP255" s="34" t="str">
        <f t="shared" si="255"/>
        <v/>
      </c>
      <c r="AQ255" s="76" t="s">
        <v>294</v>
      </c>
      <c r="AR255" s="77"/>
      <c r="AS255" s="77"/>
      <c r="AT255" s="77"/>
      <c r="AU255" s="77"/>
      <c r="AV255" s="77"/>
      <c r="AW255" s="77"/>
      <c r="AX255" s="77"/>
      <c r="AY255" s="77"/>
      <c r="AZ255" s="77"/>
      <c r="BA255" s="77"/>
      <c r="BB255" s="77"/>
      <c r="BC255" s="77"/>
      <c r="BD255" s="77"/>
      <c r="BE255" s="77"/>
      <c r="BF255" s="77"/>
      <c r="BG255" s="77"/>
      <c r="BH255" s="77"/>
      <c r="BI255" s="77"/>
      <c r="BJ255" s="77"/>
      <c r="BK255" s="77"/>
      <c r="BL255" s="77"/>
      <c r="BM255" s="78"/>
    </row>
    <row r="256">
      <c r="A256" s="79" t="s">
        <v>69</v>
      </c>
      <c r="B256" s="79" t="b">
        <v>0</v>
      </c>
      <c r="C256" s="79" t="b">
        <f t="shared" si="3"/>
        <v>1</v>
      </c>
      <c r="D256" s="80" t="s">
        <v>825</v>
      </c>
      <c r="E256" s="81" t="s">
        <v>1878</v>
      </c>
      <c r="F256" s="82" t="s">
        <v>1416</v>
      </c>
      <c r="G256" s="35" t="s">
        <v>837</v>
      </c>
      <c r="H256" s="37">
        <v>-5.3479570737269455</v>
      </c>
      <c r="I256" s="37">
        <v>0.18190169820195567</v>
      </c>
      <c r="J256" s="83" t="s">
        <v>1879</v>
      </c>
      <c r="K256" s="35">
        <v>32.6</v>
      </c>
      <c r="L256" s="79">
        <v>81.53735294117647</v>
      </c>
      <c r="M256" s="84">
        <v>29.0</v>
      </c>
      <c r="N256" s="84">
        <v>7.0</v>
      </c>
      <c r="O256" s="85">
        <v>-1.8662020225646179</v>
      </c>
      <c r="P256" s="85">
        <v>-0.4843163666086155</v>
      </c>
      <c r="Q256" s="85">
        <v>-1.0901351242797983</v>
      </c>
      <c r="R256" s="85">
        <v>-0.2595404386309983</v>
      </c>
      <c r="S256" s="85">
        <v>-1.3769959390853235</v>
      </c>
      <c r="T256" s="85">
        <v>0.16292978139271838</v>
      </c>
      <c r="U256" s="85">
        <v>-1.019435418080244</v>
      </c>
      <c r="V256" s="85">
        <v>0.0</v>
      </c>
      <c r="W256" s="85">
        <v>-1.420757502471601</v>
      </c>
      <c r="X256" s="85">
        <v>2.0064959566015337</v>
      </c>
      <c r="Y256" s="50" t="s">
        <v>69</v>
      </c>
      <c r="Z256" s="50" t="s">
        <v>69</v>
      </c>
      <c r="AA256" s="50" t="s">
        <v>69</v>
      </c>
      <c r="AB256" s="50" t="s">
        <v>69</v>
      </c>
      <c r="AC256" s="34" t="str">
        <f t="shared" ref="AC256:AP256" si="256">LET(
  skater, IFERROR(INDEX(AllProj, MATCH($E256, AllProjNames, 0), MATCH(AC$2, AllProjCats, 0) + 1), ""),
  goalie, IFERROR(INDEX(AllGProj, MATCH($E256, AllGProjNames, 0), MATCH(AC$2, AllGProjCats, 0) + 1), ""),
  val, IF(skater &lt;&gt; "", skater, goalie),
  IF(OR($E256="", AC$2="", val=""), "", val * AC$1)
)</f>
        <v/>
      </c>
      <c r="AD256" s="34" t="str">
        <f t="shared" si="256"/>
        <v/>
      </c>
      <c r="AE256" s="34" t="str">
        <f t="shared" si="256"/>
        <v/>
      </c>
      <c r="AF256" s="34" t="str">
        <f t="shared" si="256"/>
        <v/>
      </c>
      <c r="AG256" s="34" t="str">
        <f t="shared" si="256"/>
        <v/>
      </c>
      <c r="AH256" s="34" t="str">
        <f t="shared" si="256"/>
        <v/>
      </c>
      <c r="AI256" s="34" t="str">
        <f t="shared" si="256"/>
        <v/>
      </c>
      <c r="AJ256" s="34" t="str">
        <f t="shared" si="256"/>
        <v/>
      </c>
      <c r="AK256" s="34" t="str">
        <f t="shared" si="256"/>
        <v/>
      </c>
      <c r="AL256" s="34" t="str">
        <f t="shared" si="256"/>
        <v/>
      </c>
      <c r="AM256" s="34" t="str">
        <f t="shared" si="256"/>
        <v/>
      </c>
      <c r="AN256" s="34" t="str">
        <f t="shared" si="256"/>
        <v/>
      </c>
      <c r="AO256" s="34" t="str">
        <f t="shared" si="256"/>
        <v/>
      </c>
      <c r="AP256" s="34" t="str">
        <f t="shared" si="256"/>
        <v/>
      </c>
      <c r="AQ256" s="76" t="s">
        <v>295</v>
      </c>
      <c r="AR256" s="77"/>
      <c r="AS256" s="77"/>
      <c r="AT256" s="77"/>
      <c r="AU256" s="77"/>
      <c r="AV256" s="77"/>
      <c r="AW256" s="77"/>
      <c r="AX256" s="77"/>
      <c r="AY256" s="77"/>
      <c r="AZ256" s="77"/>
      <c r="BA256" s="77"/>
      <c r="BB256" s="77"/>
      <c r="BC256" s="77"/>
      <c r="BD256" s="77"/>
      <c r="BE256" s="77"/>
      <c r="BF256" s="77"/>
      <c r="BG256" s="77"/>
      <c r="BH256" s="77"/>
      <c r="BI256" s="77"/>
      <c r="BJ256" s="77"/>
      <c r="BK256" s="77"/>
      <c r="BL256" s="77"/>
      <c r="BM256" s="78"/>
    </row>
    <row r="257">
      <c r="A257" s="41">
        <v>2.4285714285714284</v>
      </c>
      <c r="B257" s="41" t="b">
        <v>0</v>
      </c>
      <c r="C257" s="41" t="b">
        <f t="shared" si="3"/>
        <v>0</v>
      </c>
      <c r="D257" s="42" t="s">
        <v>1565</v>
      </c>
      <c r="E257" s="43" t="s">
        <v>867</v>
      </c>
      <c r="F257" s="44" t="s">
        <v>1461</v>
      </c>
      <c r="G257" s="29" t="s">
        <v>284</v>
      </c>
      <c r="H257" s="32">
        <v>-5.379520193454818</v>
      </c>
      <c r="I257" s="32">
        <v>-0.34145417327173266</v>
      </c>
      <c r="J257" s="45" t="s">
        <v>1880</v>
      </c>
      <c r="K257" s="29">
        <v>31.9</v>
      </c>
      <c r="L257" s="41">
        <v>78.10058823529413</v>
      </c>
      <c r="M257" s="46">
        <v>23.0</v>
      </c>
      <c r="N257" s="46">
        <v>6.0</v>
      </c>
      <c r="O257" s="47">
        <v>-0.5917149695272634</v>
      </c>
      <c r="P257" s="47">
        <v>-0.3609979092784215</v>
      </c>
      <c r="Q257" s="47">
        <v>-0.3632172912117231</v>
      </c>
      <c r="R257" s="47">
        <v>-1.9276239763030565</v>
      </c>
      <c r="S257" s="47">
        <v>-0.48494235083700765</v>
      </c>
      <c r="T257" s="47">
        <v>0.591184238114629</v>
      </c>
      <c r="U257" s="47">
        <v>-0.7746096121193053</v>
      </c>
      <c r="V257" s="47">
        <v>1.8415639448374481</v>
      </c>
      <c r="W257" s="47">
        <v>-1.7865919538667414</v>
      </c>
      <c r="X257" s="47">
        <v>-1.5225703132633757</v>
      </c>
      <c r="Y257" s="50" t="s">
        <v>69</v>
      </c>
      <c r="Z257" s="50" t="s">
        <v>69</v>
      </c>
      <c r="AA257" s="50" t="s">
        <v>69</v>
      </c>
      <c r="AB257" s="50" t="s">
        <v>69</v>
      </c>
      <c r="AC257" s="34" t="str">
        <f t="shared" ref="AC257:AP257" si="257">LET(
  skater, IFERROR(INDEX(AllProj, MATCH($E257, AllProjNames, 0), MATCH(AC$2, AllProjCats, 0) + 1), ""),
  goalie, IFERROR(INDEX(AllGProj, MATCH($E257, AllGProjNames, 0), MATCH(AC$2, AllGProjCats, 0) + 1), ""),
  val, IF(skater &lt;&gt; "", skater, goalie),
  IF(OR($E257="", AC$2="", val=""), "", val * AC$1)
)</f>
        <v/>
      </c>
      <c r="AD257" s="34" t="str">
        <f t="shared" si="257"/>
        <v/>
      </c>
      <c r="AE257" s="34" t="str">
        <f t="shared" si="257"/>
        <v/>
      </c>
      <c r="AF257" s="34" t="str">
        <f t="shared" si="257"/>
        <v/>
      </c>
      <c r="AG257" s="34" t="str">
        <f t="shared" si="257"/>
        <v/>
      </c>
      <c r="AH257" s="34" t="str">
        <f t="shared" si="257"/>
        <v/>
      </c>
      <c r="AI257" s="34" t="str">
        <f t="shared" si="257"/>
        <v/>
      </c>
      <c r="AJ257" s="34" t="str">
        <f t="shared" si="257"/>
        <v/>
      </c>
      <c r="AK257" s="34" t="str">
        <f t="shared" si="257"/>
        <v/>
      </c>
      <c r="AL257" s="34" t="str">
        <f t="shared" si="257"/>
        <v/>
      </c>
      <c r="AM257" s="34" t="str">
        <f t="shared" si="257"/>
        <v/>
      </c>
      <c r="AN257" s="34" t="str">
        <f t="shared" si="257"/>
        <v/>
      </c>
      <c r="AO257" s="34" t="str">
        <f t="shared" si="257"/>
        <v/>
      </c>
      <c r="AP257" s="34" t="str">
        <f t="shared" si="257"/>
        <v/>
      </c>
      <c r="AQ257" s="76" t="s">
        <v>296</v>
      </c>
      <c r="AR257" s="77"/>
      <c r="AS257" s="77"/>
      <c r="AT257" s="77"/>
      <c r="AU257" s="77"/>
      <c r="AV257" s="77"/>
      <c r="AW257" s="77"/>
      <c r="AX257" s="77"/>
      <c r="AY257" s="77"/>
      <c r="AZ257" s="77"/>
      <c r="BA257" s="77"/>
      <c r="BB257" s="77"/>
      <c r="BC257" s="77"/>
      <c r="BD257" s="77"/>
      <c r="BE257" s="77"/>
      <c r="BF257" s="77"/>
      <c r="BG257" s="77"/>
      <c r="BH257" s="77"/>
      <c r="BI257" s="77"/>
      <c r="BJ257" s="77"/>
      <c r="BK257" s="77"/>
      <c r="BL257" s="77"/>
      <c r="BM257" s="78"/>
    </row>
    <row r="258">
      <c r="A258" s="79" t="s">
        <v>69</v>
      </c>
      <c r="B258" s="79" t="b">
        <v>0</v>
      </c>
      <c r="C258" s="79" t="b">
        <f t="shared" si="3"/>
        <v>1</v>
      </c>
      <c r="D258" s="80" t="s">
        <v>502</v>
      </c>
      <c r="E258" s="81" t="s">
        <v>1881</v>
      </c>
      <c r="F258" s="82" t="s">
        <v>1548</v>
      </c>
      <c r="G258" s="35" t="s">
        <v>831</v>
      </c>
      <c r="H258" s="37">
        <v>-5.387880124912739</v>
      </c>
      <c r="I258" s="37">
        <v>0.05425748381511841</v>
      </c>
      <c r="J258" s="83" t="s">
        <v>1882</v>
      </c>
      <c r="K258" s="35">
        <v>34.6</v>
      </c>
      <c r="L258" s="79">
        <v>77.3425</v>
      </c>
      <c r="M258" s="84">
        <v>34.0</v>
      </c>
      <c r="N258" s="84">
        <v>7.0</v>
      </c>
      <c r="O258" s="85">
        <v>-0.20429963792729644</v>
      </c>
      <c r="P258" s="85">
        <v>0.2727217648990568</v>
      </c>
      <c r="Q258" s="85">
        <v>-1.9312082454323694</v>
      </c>
      <c r="R258" s="85">
        <v>-1.351015408400967</v>
      </c>
      <c r="S258" s="85">
        <v>0.23378435522723198</v>
      </c>
      <c r="T258" s="85">
        <v>-0.26379569501422373</v>
      </c>
      <c r="U258" s="85">
        <v>-0.4441649595334636</v>
      </c>
      <c r="V258" s="85">
        <v>1.0315853320549662</v>
      </c>
      <c r="W258" s="85">
        <v>-1.6637101158739607</v>
      </c>
      <c r="X258" s="85">
        <v>-1.0677775149117128</v>
      </c>
      <c r="Y258" s="50" t="s">
        <v>69</v>
      </c>
      <c r="Z258" s="50" t="s">
        <v>69</v>
      </c>
      <c r="AA258" s="50" t="s">
        <v>69</v>
      </c>
      <c r="AB258" s="50" t="s">
        <v>69</v>
      </c>
      <c r="AC258" s="34" t="str">
        <f t="shared" ref="AC258:AP258" si="258">LET(
  skater, IFERROR(INDEX(AllProj, MATCH($E258, AllProjNames, 0), MATCH(AC$2, AllProjCats, 0) + 1), ""),
  goalie, IFERROR(INDEX(AllGProj, MATCH($E258, AllGProjNames, 0), MATCH(AC$2, AllGProjCats, 0) + 1), ""),
  val, IF(skater &lt;&gt; "", skater, goalie),
  IF(OR($E258="", AC$2="", val=""), "", val * AC$1)
)</f>
        <v/>
      </c>
      <c r="AD258" s="34" t="str">
        <f t="shared" si="258"/>
        <v/>
      </c>
      <c r="AE258" s="34" t="str">
        <f t="shared" si="258"/>
        <v/>
      </c>
      <c r="AF258" s="34" t="str">
        <f t="shared" si="258"/>
        <v/>
      </c>
      <c r="AG258" s="34" t="str">
        <f t="shared" si="258"/>
        <v/>
      </c>
      <c r="AH258" s="34" t="str">
        <f t="shared" si="258"/>
        <v/>
      </c>
      <c r="AI258" s="34" t="str">
        <f t="shared" si="258"/>
        <v/>
      </c>
      <c r="AJ258" s="34" t="str">
        <f t="shared" si="258"/>
        <v/>
      </c>
      <c r="AK258" s="34" t="str">
        <f t="shared" si="258"/>
        <v/>
      </c>
      <c r="AL258" s="34" t="str">
        <f t="shared" si="258"/>
        <v/>
      </c>
      <c r="AM258" s="34" t="str">
        <f t="shared" si="258"/>
        <v/>
      </c>
      <c r="AN258" s="34" t="str">
        <f t="shared" si="258"/>
        <v/>
      </c>
      <c r="AO258" s="34" t="str">
        <f t="shared" si="258"/>
        <v/>
      </c>
      <c r="AP258" s="34" t="str">
        <f t="shared" si="258"/>
        <v/>
      </c>
      <c r="AQ258" s="76" t="s">
        <v>297</v>
      </c>
      <c r="AR258" s="77"/>
      <c r="AS258" s="77"/>
      <c r="AT258" s="77"/>
      <c r="AU258" s="77"/>
      <c r="AV258" s="77"/>
      <c r="AW258" s="77"/>
      <c r="AX258" s="77"/>
      <c r="AY258" s="77"/>
      <c r="AZ258" s="77"/>
      <c r="BA258" s="77"/>
      <c r="BB258" s="77"/>
      <c r="BC258" s="77"/>
      <c r="BD258" s="77"/>
      <c r="BE258" s="77"/>
      <c r="BF258" s="77"/>
      <c r="BG258" s="77"/>
      <c r="BH258" s="77"/>
      <c r="BI258" s="77"/>
      <c r="BJ258" s="77"/>
      <c r="BK258" s="77"/>
      <c r="BL258" s="77"/>
      <c r="BM258" s="78"/>
    </row>
    <row r="259">
      <c r="A259" s="41">
        <v>2.5714285714285716</v>
      </c>
      <c r="B259" s="41" t="b">
        <v>0</v>
      </c>
      <c r="C259" s="41" t="b">
        <f t="shared" si="3"/>
        <v>0</v>
      </c>
      <c r="D259" s="42" t="s">
        <v>1565</v>
      </c>
      <c r="E259" s="43" t="s">
        <v>1004</v>
      </c>
      <c r="F259" s="44" t="s">
        <v>1451</v>
      </c>
      <c r="G259" s="29" t="s">
        <v>836</v>
      </c>
      <c r="H259" s="32">
        <v>-5.442137608727857</v>
      </c>
      <c r="I259" s="32">
        <v>0.0</v>
      </c>
      <c r="J259" s="45" t="s">
        <v>1883</v>
      </c>
      <c r="K259" s="29">
        <v>33.4</v>
      </c>
      <c r="L259" s="41">
        <v>74.92823529411764</v>
      </c>
      <c r="M259" s="46">
        <v>29.0</v>
      </c>
      <c r="N259" s="46">
        <v>7.0</v>
      </c>
      <c r="O259" s="47">
        <v>0.36461099683642056</v>
      </c>
      <c r="P259" s="47">
        <v>-0.3955557676536063</v>
      </c>
      <c r="Q259" s="47">
        <v>-0.7895624318062682</v>
      </c>
      <c r="R259" s="47">
        <v>-1.0879062785301143</v>
      </c>
      <c r="S259" s="47">
        <v>-0.17978413559520173</v>
      </c>
      <c r="T259" s="47">
        <v>-0.7871777123417198</v>
      </c>
      <c r="U259" s="47">
        <v>0.8570493327606752</v>
      </c>
      <c r="V259" s="47">
        <v>0.0</v>
      </c>
      <c r="W259" s="47">
        <v>-1.9545843372940923</v>
      </c>
      <c r="X259" s="47">
        <v>-1.46922727510395</v>
      </c>
      <c r="Y259" s="50" t="s">
        <v>69</v>
      </c>
      <c r="Z259" s="50" t="s">
        <v>69</v>
      </c>
      <c r="AA259" s="50" t="s">
        <v>69</v>
      </c>
      <c r="AB259" s="50" t="s">
        <v>69</v>
      </c>
      <c r="AC259" s="34" t="str">
        <f t="shared" ref="AC259:AP259" si="259">LET(
  skater, IFERROR(INDEX(AllProj, MATCH($E259, AllProjNames, 0), MATCH(AC$2, AllProjCats, 0) + 1), ""),
  goalie, IFERROR(INDEX(AllGProj, MATCH($E259, AllGProjNames, 0), MATCH(AC$2, AllGProjCats, 0) + 1), ""),
  val, IF(skater &lt;&gt; "", skater, goalie),
  IF(OR($E259="", AC$2="", val=""), "", val * AC$1)
)</f>
        <v/>
      </c>
      <c r="AD259" s="34" t="str">
        <f t="shared" si="259"/>
        <v/>
      </c>
      <c r="AE259" s="34" t="str">
        <f t="shared" si="259"/>
        <v/>
      </c>
      <c r="AF259" s="34" t="str">
        <f t="shared" si="259"/>
        <v/>
      </c>
      <c r="AG259" s="34" t="str">
        <f t="shared" si="259"/>
        <v/>
      </c>
      <c r="AH259" s="34" t="str">
        <f t="shared" si="259"/>
        <v/>
      </c>
      <c r="AI259" s="34" t="str">
        <f t="shared" si="259"/>
        <v/>
      </c>
      <c r="AJ259" s="34" t="str">
        <f t="shared" si="259"/>
        <v/>
      </c>
      <c r="AK259" s="34" t="str">
        <f t="shared" si="259"/>
        <v/>
      </c>
      <c r="AL259" s="34" t="str">
        <f t="shared" si="259"/>
        <v/>
      </c>
      <c r="AM259" s="34" t="str">
        <f t="shared" si="259"/>
        <v/>
      </c>
      <c r="AN259" s="34" t="str">
        <f t="shared" si="259"/>
        <v/>
      </c>
      <c r="AO259" s="34" t="str">
        <f t="shared" si="259"/>
        <v/>
      </c>
      <c r="AP259" s="34" t="str">
        <f t="shared" si="259"/>
        <v/>
      </c>
      <c r="AQ259" s="76" t="s">
        <v>298</v>
      </c>
      <c r="AR259" s="77"/>
      <c r="AS259" s="77"/>
      <c r="AT259" s="77"/>
      <c r="AU259" s="77"/>
      <c r="AV259" s="77"/>
      <c r="AW259" s="77"/>
      <c r="AX259" s="77"/>
      <c r="AY259" s="77"/>
      <c r="AZ259" s="77"/>
      <c r="BA259" s="77"/>
      <c r="BB259" s="77"/>
      <c r="BC259" s="77"/>
      <c r="BD259" s="77"/>
      <c r="BE259" s="77"/>
      <c r="BF259" s="77"/>
      <c r="BG259" s="77"/>
      <c r="BH259" s="77"/>
      <c r="BI259" s="77"/>
      <c r="BJ259" s="77"/>
      <c r="BK259" s="77"/>
      <c r="BL259" s="77"/>
      <c r="BM259" s="78"/>
    </row>
    <row r="260">
      <c r="A260" s="79" t="s">
        <v>69</v>
      </c>
      <c r="B260" s="79" t="b">
        <v>0</v>
      </c>
      <c r="C260" s="79" t="b">
        <f t="shared" si="3"/>
        <v>1</v>
      </c>
      <c r="D260" s="80" t="s">
        <v>773</v>
      </c>
      <c r="E260" s="81" t="s">
        <v>1884</v>
      </c>
      <c r="F260" s="82" t="s">
        <v>849</v>
      </c>
      <c r="G260" s="35" t="s">
        <v>6</v>
      </c>
      <c r="H260" s="37">
        <v>-5.456413048711291</v>
      </c>
      <c r="I260" s="37">
        <v>-1.1181900702411776</v>
      </c>
      <c r="J260" s="83" t="s">
        <v>1885</v>
      </c>
      <c r="K260" s="35">
        <v>24.7</v>
      </c>
      <c r="L260" s="79">
        <v>21.625</v>
      </c>
      <c r="M260" s="84">
        <v>29.0</v>
      </c>
      <c r="N260" s="84">
        <v>6.0</v>
      </c>
      <c r="O260" s="96" t="s">
        <v>69</v>
      </c>
      <c r="P260" s="96" t="s">
        <v>69</v>
      </c>
      <c r="Q260" s="96" t="s">
        <v>69</v>
      </c>
      <c r="R260" s="96" t="s">
        <v>69</v>
      </c>
      <c r="S260" s="96" t="s">
        <v>69</v>
      </c>
      <c r="T260" s="96" t="s">
        <v>69</v>
      </c>
      <c r="U260" s="96" t="s">
        <v>69</v>
      </c>
      <c r="V260" s="96" t="s">
        <v>69</v>
      </c>
      <c r="W260" s="96" t="s">
        <v>69</v>
      </c>
      <c r="X260" s="96" t="s">
        <v>69</v>
      </c>
      <c r="Y260" s="95">
        <v>-2.905654298216235</v>
      </c>
      <c r="Z260" s="95">
        <v>-1.685710347820617</v>
      </c>
      <c r="AA260" s="95">
        <v>-0.8650484026744393</v>
      </c>
      <c r="AB260" s="95">
        <v>0.0</v>
      </c>
      <c r="AC260" s="34" t="str">
        <f t="shared" ref="AC260:AP260" si="260">LET(
  skater, IFERROR(INDEX(AllProj, MATCH($E260, AllProjNames, 0), MATCH(AC$2, AllProjCats, 0) + 1), ""),
  goalie, IFERROR(INDEX(AllGProj, MATCH($E260, AllGProjNames, 0), MATCH(AC$2, AllGProjCats, 0) + 1), ""),
  val, IF(skater &lt;&gt; "", skater, goalie),
  IF(OR($E260="", AC$2="", val=""), "", val * AC$1)
)</f>
        <v/>
      </c>
      <c r="AD260" s="34" t="str">
        <f t="shared" si="260"/>
        <v/>
      </c>
      <c r="AE260" s="34" t="str">
        <f t="shared" si="260"/>
        <v/>
      </c>
      <c r="AF260" s="34" t="str">
        <f t="shared" si="260"/>
        <v/>
      </c>
      <c r="AG260" s="34" t="str">
        <f t="shared" si="260"/>
        <v/>
      </c>
      <c r="AH260" s="34" t="str">
        <f t="shared" si="260"/>
        <v/>
      </c>
      <c r="AI260" s="34" t="str">
        <f t="shared" si="260"/>
        <v/>
      </c>
      <c r="AJ260" s="34" t="str">
        <f t="shared" si="260"/>
        <v/>
      </c>
      <c r="AK260" s="34" t="str">
        <f t="shared" si="260"/>
        <v/>
      </c>
      <c r="AL260" s="34" t="str">
        <f t="shared" si="260"/>
        <v/>
      </c>
      <c r="AM260" s="34" t="str">
        <f t="shared" si="260"/>
        <v/>
      </c>
      <c r="AN260" s="34" t="str">
        <f t="shared" si="260"/>
        <v/>
      </c>
      <c r="AO260" s="34" t="str">
        <f t="shared" si="260"/>
        <v/>
      </c>
      <c r="AP260" s="34" t="str">
        <f t="shared" si="260"/>
        <v/>
      </c>
      <c r="AQ260" s="76" t="s">
        <v>299</v>
      </c>
      <c r="AR260" s="77"/>
      <c r="AS260" s="77"/>
      <c r="AT260" s="77"/>
      <c r="AU260" s="77"/>
      <c r="AV260" s="77"/>
      <c r="AW260" s="77"/>
      <c r="AX260" s="77"/>
      <c r="AY260" s="77"/>
      <c r="AZ260" s="77"/>
      <c r="BA260" s="77"/>
      <c r="BB260" s="77"/>
      <c r="BC260" s="77"/>
      <c r="BD260" s="77"/>
      <c r="BE260" s="77"/>
      <c r="BF260" s="77"/>
      <c r="BG260" s="77"/>
      <c r="BH260" s="77"/>
      <c r="BI260" s="77"/>
      <c r="BJ260" s="77"/>
      <c r="BK260" s="77"/>
      <c r="BL260" s="77"/>
      <c r="BM260" s="78"/>
    </row>
    <row r="261">
      <c r="A261" s="41" t="s">
        <v>69</v>
      </c>
      <c r="B261" s="41" t="b">
        <v>0</v>
      </c>
      <c r="C261" s="41" t="b">
        <f t="shared" si="3"/>
        <v>1</v>
      </c>
      <c r="D261" s="42" t="s">
        <v>254</v>
      </c>
      <c r="E261" s="43" t="s">
        <v>1886</v>
      </c>
      <c r="F261" s="44" t="s">
        <v>1426</v>
      </c>
      <c r="G261" s="29" t="s">
        <v>830</v>
      </c>
      <c r="H261" s="32">
        <v>-5.496072809795627</v>
      </c>
      <c r="I261" s="32">
        <v>-0.10819268488288802</v>
      </c>
      <c r="J261" s="45" t="s">
        <v>1887</v>
      </c>
      <c r="K261" s="29">
        <v>29.4</v>
      </c>
      <c r="L261" s="41">
        <v>81.9270588235294</v>
      </c>
      <c r="M261" s="46">
        <v>23.0</v>
      </c>
      <c r="N261" s="46">
        <v>6.0</v>
      </c>
      <c r="O261" s="47">
        <v>0.05751725172687492</v>
      </c>
      <c r="P261" s="47">
        <v>-0.002598621817957321</v>
      </c>
      <c r="Q261" s="47">
        <v>-1.1595220029067796</v>
      </c>
      <c r="R261" s="47">
        <v>-1.4764949438963242</v>
      </c>
      <c r="S261" s="47">
        <v>0.05360329534621992</v>
      </c>
      <c r="T261" s="47">
        <v>-0.33738902259717396</v>
      </c>
      <c r="U261" s="47">
        <v>-0.7659832403829351</v>
      </c>
      <c r="V261" s="47">
        <v>1.2510015156407082</v>
      </c>
      <c r="W261" s="47">
        <v>-1.2404165417796813</v>
      </c>
      <c r="X261" s="47">
        <v>-1.875790499128578</v>
      </c>
      <c r="Y261" s="50" t="s">
        <v>69</v>
      </c>
      <c r="Z261" s="50" t="s">
        <v>69</v>
      </c>
      <c r="AA261" s="50" t="s">
        <v>69</v>
      </c>
      <c r="AB261" s="50" t="s">
        <v>69</v>
      </c>
      <c r="AC261" s="34" t="str">
        <f t="shared" ref="AC261:AP261" si="261">LET(
  skater, IFERROR(INDEX(AllProj, MATCH($E261, AllProjNames, 0), MATCH(AC$2, AllProjCats, 0) + 1), ""),
  goalie, IFERROR(INDEX(AllGProj, MATCH($E261, AllGProjNames, 0), MATCH(AC$2, AllGProjCats, 0) + 1), ""),
  val, IF(skater &lt;&gt; "", skater, goalie),
  IF(OR($E261="", AC$2="", val=""), "", val * AC$1)
)</f>
        <v/>
      </c>
      <c r="AD261" s="34" t="str">
        <f t="shared" si="261"/>
        <v/>
      </c>
      <c r="AE261" s="34" t="str">
        <f t="shared" si="261"/>
        <v/>
      </c>
      <c r="AF261" s="34" t="str">
        <f t="shared" si="261"/>
        <v/>
      </c>
      <c r="AG261" s="34" t="str">
        <f t="shared" si="261"/>
        <v/>
      </c>
      <c r="AH261" s="34" t="str">
        <f t="shared" si="261"/>
        <v/>
      </c>
      <c r="AI261" s="34" t="str">
        <f t="shared" si="261"/>
        <v/>
      </c>
      <c r="AJ261" s="34" t="str">
        <f t="shared" si="261"/>
        <v/>
      </c>
      <c r="AK261" s="34" t="str">
        <f t="shared" si="261"/>
        <v/>
      </c>
      <c r="AL261" s="34" t="str">
        <f t="shared" si="261"/>
        <v/>
      </c>
      <c r="AM261" s="34" t="str">
        <f t="shared" si="261"/>
        <v/>
      </c>
      <c r="AN261" s="34" t="str">
        <f t="shared" si="261"/>
        <v/>
      </c>
      <c r="AO261" s="34" t="str">
        <f t="shared" si="261"/>
        <v/>
      </c>
      <c r="AP261" s="34" t="str">
        <f t="shared" si="261"/>
        <v/>
      </c>
      <c r="AQ261" s="76" t="s">
        <v>300</v>
      </c>
      <c r="AR261" s="77"/>
      <c r="AS261" s="77"/>
      <c r="AT261" s="77"/>
      <c r="AU261" s="77"/>
      <c r="AV261" s="77"/>
      <c r="AW261" s="77"/>
      <c r="AX261" s="77"/>
      <c r="AY261" s="77"/>
      <c r="AZ261" s="77"/>
      <c r="BA261" s="77"/>
      <c r="BB261" s="77"/>
      <c r="BC261" s="77"/>
      <c r="BD261" s="77"/>
      <c r="BE261" s="77"/>
      <c r="BF261" s="77"/>
      <c r="BG261" s="77"/>
      <c r="BH261" s="77"/>
      <c r="BI261" s="77"/>
      <c r="BJ261" s="77"/>
      <c r="BK261" s="77"/>
      <c r="BL261" s="77"/>
      <c r="BM261" s="78"/>
    </row>
    <row r="262">
      <c r="A262" s="79">
        <v>2.4285714285714284</v>
      </c>
      <c r="B262" s="79" t="b">
        <v>0</v>
      </c>
      <c r="C262" s="79" t="b">
        <f t="shared" si="3"/>
        <v>0</v>
      </c>
      <c r="D262" s="80" t="s">
        <v>1565</v>
      </c>
      <c r="E262" s="81" t="s">
        <v>874</v>
      </c>
      <c r="F262" s="82" t="s">
        <v>930</v>
      </c>
      <c r="G262" s="35" t="s">
        <v>835</v>
      </c>
      <c r="H262" s="37">
        <v>-5.512374892187229</v>
      </c>
      <c r="I262" s="37">
        <v>-0.12449476727449049</v>
      </c>
      <c r="J262" s="83" t="s">
        <v>1888</v>
      </c>
      <c r="K262" s="35">
        <v>27.9</v>
      </c>
      <c r="L262" s="79">
        <v>61.45000000000001</v>
      </c>
      <c r="M262" s="84">
        <v>29.0</v>
      </c>
      <c r="N262" s="84">
        <v>7.0</v>
      </c>
      <c r="O262" s="85">
        <v>-2.0507834454107567</v>
      </c>
      <c r="P262" s="85">
        <v>-2.2095810746010027</v>
      </c>
      <c r="Q262" s="85">
        <v>-0.2779587068364738</v>
      </c>
      <c r="R262" s="85">
        <v>4.4996758402069625</v>
      </c>
      <c r="S262" s="85">
        <v>-1.7206003542030481</v>
      </c>
      <c r="T262" s="85">
        <v>-0.7871777123417198</v>
      </c>
      <c r="U262" s="85">
        <v>-2.297577346166284</v>
      </c>
      <c r="V262" s="85">
        <v>0.0</v>
      </c>
      <c r="W262" s="85">
        <v>1.0821175288724019</v>
      </c>
      <c r="X262" s="85">
        <v>-1.7504896217073085</v>
      </c>
      <c r="Y262" s="50" t="s">
        <v>69</v>
      </c>
      <c r="Z262" s="50" t="s">
        <v>69</v>
      </c>
      <c r="AA262" s="50" t="s">
        <v>69</v>
      </c>
      <c r="AB262" s="50" t="s">
        <v>69</v>
      </c>
      <c r="AC262" s="34" t="str">
        <f t="shared" ref="AC262:AP262" si="262">LET(
  skater, IFERROR(INDEX(AllProj, MATCH($E262, AllProjNames, 0), MATCH(AC$2, AllProjCats, 0) + 1), ""),
  goalie, IFERROR(INDEX(AllGProj, MATCH($E262, AllGProjNames, 0), MATCH(AC$2, AllGProjCats, 0) + 1), ""),
  val, IF(skater &lt;&gt; "", skater, goalie),
  IF(OR($E262="", AC$2="", val=""), "", val * AC$1)
)</f>
        <v/>
      </c>
      <c r="AD262" s="34" t="str">
        <f t="shared" si="262"/>
        <v/>
      </c>
      <c r="AE262" s="34" t="str">
        <f t="shared" si="262"/>
        <v/>
      </c>
      <c r="AF262" s="34" t="str">
        <f t="shared" si="262"/>
        <v/>
      </c>
      <c r="AG262" s="34" t="str">
        <f t="shared" si="262"/>
        <v/>
      </c>
      <c r="AH262" s="34" t="str">
        <f t="shared" si="262"/>
        <v/>
      </c>
      <c r="AI262" s="34" t="str">
        <f t="shared" si="262"/>
        <v/>
      </c>
      <c r="AJ262" s="34" t="str">
        <f t="shared" si="262"/>
        <v/>
      </c>
      <c r="AK262" s="34" t="str">
        <f t="shared" si="262"/>
        <v/>
      </c>
      <c r="AL262" s="34" t="str">
        <f t="shared" si="262"/>
        <v/>
      </c>
      <c r="AM262" s="34" t="str">
        <f t="shared" si="262"/>
        <v/>
      </c>
      <c r="AN262" s="34" t="str">
        <f t="shared" si="262"/>
        <v/>
      </c>
      <c r="AO262" s="34" t="str">
        <f t="shared" si="262"/>
        <v/>
      </c>
      <c r="AP262" s="34" t="str">
        <f t="shared" si="262"/>
        <v/>
      </c>
      <c r="AQ262" s="76" t="s">
        <v>301</v>
      </c>
      <c r="AR262" s="77"/>
      <c r="AS262" s="77"/>
      <c r="AT262" s="77"/>
      <c r="AU262" s="77"/>
      <c r="AV262" s="77"/>
      <c r="AW262" s="77"/>
      <c r="AX262" s="77"/>
      <c r="AY262" s="77"/>
      <c r="AZ262" s="77"/>
      <c r="BA262" s="77"/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8"/>
    </row>
    <row r="263">
      <c r="A263" s="41">
        <v>2.5714285714285716</v>
      </c>
      <c r="B263" s="41" t="b">
        <v>0</v>
      </c>
      <c r="C263" s="41" t="b">
        <f t="shared" si="3"/>
        <v>0</v>
      </c>
      <c r="D263" s="42" t="s">
        <v>1565</v>
      </c>
      <c r="E263" s="43" t="s">
        <v>949</v>
      </c>
      <c r="F263" s="44" t="s">
        <v>1416</v>
      </c>
      <c r="G263" s="29" t="s">
        <v>837</v>
      </c>
      <c r="H263" s="32">
        <v>-5.529858771928901</v>
      </c>
      <c r="I263" s="32">
        <v>0.0</v>
      </c>
      <c r="J263" s="45" t="s">
        <v>1889</v>
      </c>
      <c r="K263" s="29">
        <v>24.7</v>
      </c>
      <c r="L263" s="41">
        <v>72.85714285714286</v>
      </c>
      <c r="M263" s="46">
        <v>29.0</v>
      </c>
      <c r="N263" s="46">
        <v>7.0</v>
      </c>
      <c r="O263" s="47">
        <v>-1.9419825036424085</v>
      </c>
      <c r="P263" s="47">
        <v>-1.2494537323172754</v>
      </c>
      <c r="Q263" s="47">
        <v>-0.5543300182755807</v>
      </c>
      <c r="R263" s="47">
        <v>0.5295416464010505</v>
      </c>
      <c r="S263" s="47">
        <v>-1.72461069241107</v>
      </c>
      <c r="T263" s="47">
        <v>-0.16952108464970286</v>
      </c>
      <c r="U263" s="47">
        <v>-1.9015990477571934</v>
      </c>
      <c r="V263" s="47">
        <v>0.0</v>
      </c>
      <c r="W263" s="47">
        <v>0.1735822544707697</v>
      </c>
      <c r="X263" s="47">
        <v>1.3085144062525105</v>
      </c>
      <c r="Y263" s="50" t="s">
        <v>69</v>
      </c>
      <c r="Z263" s="50" t="s">
        <v>69</v>
      </c>
      <c r="AA263" s="50" t="s">
        <v>69</v>
      </c>
      <c r="AB263" s="50" t="s">
        <v>69</v>
      </c>
      <c r="AC263" s="34" t="str">
        <f t="shared" ref="AC263:AP263" si="263">LET(
  skater, IFERROR(INDEX(AllProj, MATCH($E263, AllProjNames, 0), MATCH(AC$2, AllProjCats, 0) + 1), ""),
  goalie, IFERROR(INDEX(AllGProj, MATCH($E263, AllGProjNames, 0), MATCH(AC$2, AllGProjCats, 0) + 1), ""),
  val, IF(skater &lt;&gt; "", skater, goalie),
  IF(OR($E263="", AC$2="", val=""), "", val * AC$1)
)</f>
        <v/>
      </c>
      <c r="AD263" s="34" t="str">
        <f t="shared" si="263"/>
        <v/>
      </c>
      <c r="AE263" s="34" t="str">
        <f t="shared" si="263"/>
        <v/>
      </c>
      <c r="AF263" s="34" t="str">
        <f t="shared" si="263"/>
        <v/>
      </c>
      <c r="AG263" s="34" t="str">
        <f t="shared" si="263"/>
        <v/>
      </c>
      <c r="AH263" s="34" t="str">
        <f t="shared" si="263"/>
        <v/>
      </c>
      <c r="AI263" s="34" t="str">
        <f t="shared" si="263"/>
        <v/>
      </c>
      <c r="AJ263" s="34" t="str">
        <f t="shared" si="263"/>
        <v/>
      </c>
      <c r="AK263" s="34" t="str">
        <f t="shared" si="263"/>
        <v/>
      </c>
      <c r="AL263" s="34" t="str">
        <f t="shared" si="263"/>
        <v/>
      </c>
      <c r="AM263" s="34" t="str">
        <f t="shared" si="263"/>
        <v/>
      </c>
      <c r="AN263" s="34" t="str">
        <f t="shared" si="263"/>
        <v/>
      </c>
      <c r="AO263" s="34" t="str">
        <f t="shared" si="263"/>
        <v/>
      </c>
      <c r="AP263" s="34" t="str">
        <f t="shared" si="263"/>
        <v/>
      </c>
      <c r="AQ263" s="76" t="s">
        <v>302</v>
      </c>
      <c r="AR263" s="77"/>
      <c r="AS263" s="77"/>
      <c r="AT263" s="77"/>
      <c r="AU263" s="77"/>
      <c r="AV263" s="77"/>
      <c r="AW263" s="77"/>
      <c r="AX263" s="77"/>
      <c r="AY263" s="77"/>
      <c r="AZ263" s="77"/>
      <c r="BA263" s="77"/>
      <c r="BB263" s="77"/>
      <c r="BC263" s="77"/>
      <c r="BD263" s="77"/>
      <c r="BE263" s="77"/>
      <c r="BF263" s="77"/>
      <c r="BG263" s="77"/>
      <c r="BH263" s="77"/>
      <c r="BI263" s="77"/>
      <c r="BJ263" s="77"/>
      <c r="BK263" s="77"/>
      <c r="BL263" s="77"/>
      <c r="BM263" s="78"/>
    </row>
    <row r="264">
      <c r="A264" s="79" t="s">
        <v>69</v>
      </c>
      <c r="B264" s="79" t="b">
        <v>0</v>
      </c>
      <c r="C264" s="79" t="b">
        <f t="shared" si="3"/>
        <v>1</v>
      </c>
      <c r="D264" s="80" t="s">
        <v>254</v>
      </c>
      <c r="E264" s="81" t="s">
        <v>1890</v>
      </c>
      <c r="F264" s="82" t="s">
        <v>1706</v>
      </c>
      <c r="G264" s="35" t="s">
        <v>284</v>
      </c>
      <c r="H264" s="37">
        <v>-5.531803983416544</v>
      </c>
      <c r="I264" s="37">
        <v>-0.49373796323345864</v>
      </c>
      <c r="J264" s="83" t="s">
        <v>1891</v>
      </c>
      <c r="K264" s="35">
        <v>19.4</v>
      </c>
      <c r="L264" s="79">
        <v>79.29411764705883</v>
      </c>
      <c r="M264" s="84">
        <v>31.0</v>
      </c>
      <c r="N264" s="84">
        <v>7.0</v>
      </c>
      <c r="O264" s="85">
        <v>0.4323045748377071</v>
      </c>
      <c r="P264" s="85">
        <v>-0.23741298009816772</v>
      </c>
      <c r="Q264" s="85">
        <v>-2.332606541363349</v>
      </c>
      <c r="R264" s="85">
        <v>-1.2895323222185866</v>
      </c>
      <c r="S264" s="85">
        <v>0.1984884756721473</v>
      </c>
      <c r="T264" s="85">
        <v>-0.7871777123417198</v>
      </c>
      <c r="U264" s="85">
        <v>0.9678460667172054</v>
      </c>
      <c r="V264" s="85">
        <v>0.007678239053116364</v>
      </c>
      <c r="W264" s="85">
        <v>-1.5314775076261915</v>
      </c>
      <c r="X264" s="85">
        <v>-0.9599142760487063</v>
      </c>
      <c r="Y264" s="50" t="s">
        <v>69</v>
      </c>
      <c r="Z264" s="50" t="s">
        <v>69</v>
      </c>
      <c r="AA264" s="50" t="s">
        <v>69</v>
      </c>
      <c r="AB264" s="50" t="s">
        <v>69</v>
      </c>
      <c r="AC264" s="34" t="str">
        <f t="shared" ref="AC264:AP264" si="264">LET(
  skater, IFERROR(INDEX(AllProj, MATCH($E264, AllProjNames, 0), MATCH(AC$2, AllProjCats, 0) + 1), ""),
  goalie, IFERROR(INDEX(AllGProj, MATCH($E264, AllGProjNames, 0), MATCH(AC$2, AllGProjCats, 0) + 1), ""),
  val, IF(skater &lt;&gt; "", skater, goalie),
  IF(OR($E264="", AC$2="", val=""), "", val * AC$1)
)</f>
        <v/>
      </c>
      <c r="AD264" s="34" t="str">
        <f t="shared" si="264"/>
        <v/>
      </c>
      <c r="AE264" s="34" t="str">
        <f t="shared" si="264"/>
        <v/>
      </c>
      <c r="AF264" s="34" t="str">
        <f t="shared" si="264"/>
        <v/>
      </c>
      <c r="AG264" s="34" t="str">
        <f t="shared" si="264"/>
        <v/>
      </c>
      <c r="AH264" s="34" t="str">
        <f t="shared" si="264"/>
        <v/>
      </c>
      <c r="AI264" s="34" t="str">
        <f t="shared" si="264"/>
        <v/>
      </c>
      <c r="AJ264" s="34" t="str">
        <f t="shared" si="264"/>
        <v/>
      </c>
      <c r="AK264" s="34" t="str">
        <f t="shared" si="264"/>
        <v/>
      </c>
      <c r="AL264" s="34" t="str">
        <f t="shared" si="264"/>
        <v/>
      </c>
      <c r="AM264" s="34" t="str">
        <f t="shared" si="264"/>
        <v/>
      </c>
      <c r="AN264" s="34" t="str">
        <f t="shared" si="264"/>
        <v/>
      </c>
      <c r="AO264" s="34" t="str">
        <f t="shared" si="264"/>
        <v/>
      </c>
      <c r="AP264" s="34" t="str">
        <f t="shared" si="264"/>
        <v/>
      </c>
      <c r="AQ264" s="76" t="s">
        <v>303</v>
      </c>
      <c r="AR264" s="77"/>
      <c r="AS264" s="77"/>
      <c r="AT264" s="77"/>
      <c r="AU264" s="77"/>
      <c r="AV264" s="77"/>
      <c r="AW264" s="77"/>
      <c r="AX264" s="77"/>
      <c r="AY264" s="77"/>
      <c r="AZ264" s="77"/>
      <c r="BA264" s="77"/>
      <c r="BB264" s="77"/>
      <c r="BC264" s="77"/>
      <c r="BD264" s="77"/>
      <c r="BE264" s="77"/>
      <c r="BF264" s="77"/>
      <c r="BG264" s="77"/>
      <c r="BH264" s="77"/>
      <c r="BI264" s="77"/>
      <c r="BJ264" s="77"/>
      <c r="BK264" s="77"/>
      <c r="BL264" s="77"/>
      <c r="BM264" s="78"/>
    </row>
    <row r="265">
      <c r="A265" s="41">
        <v>2.5714285714285716</v>
      </c>
      <c r="B265" s="41" t="b">
        <v>0</v>
      </c>
      <c r="C265" s="41" t="b">
        <f t="shared" si="3"/>
        <v>0</v>
      </c>
      <c r="D265" s="42" t="s">
        <v>1565</v>
      </c>
      <c r="E265" s="43" t="s">
        <v>953</v>
      </c>
      <c r="F265" s="44" t="s">
        <v>854</v>
      </c>
      <c r="G265" s="29" t="s">
        <v>837</v>
      </c>
      <c r="H265" s="32">
        <v>-5.586600995240337</v>
      </c>
      <c r="I265" s="32">
        <v>-0.05674222331143586</v>
      </c>
      <c r="J265" s="45" t="s">
        <v>1892</v>
      </c>
      <c r="K265" s="29">
        <v>29.3</v>
      </c>
      <c r="L265" s="41">
        <v>73.71428571428571</v>
      </c>
      <c r="M265" s="46">
        <v>16.0</v>
      </c>
      <c r="N265" s="46">
        <v>6.0</v>
      </c>
      <c r="O265" s="47">
        <v>-2.2689523516033514</v>
      </c>
      <c r="P265" s="47">
        <v>-1.74128472064598</v>
      </c>
      <c r="Q265" s="47">
        <v>1.12870169323496</v>
      </c>
      <c r="R265" s="47">
        <v>0.8936859511062368</v>
      </c>
      <c r="S265" s="47">
        <v>-1.72461069241107</v>
      </c>
      <c r="T265" s="47">
        <v>-0.16952108464970286</v>
      </c>
      <c r="U265" s="47">
        <v>-2.3892461404135013</v>
      </c>
      <c r="V265" s="47">
        <v>0.0</v>
      </c>
      <c r="W265" s="47">
        <v>0.2842377024084144</v>
      </c>
      <c r="X265" s="47">
        <v>0.40038864773365745</v>
      </c>
      <c r="Y265" s="50" t="s">
        <v>69</v>
      </c>
      <c r="Z265" s="50" t="s">
        <v>69</v>
      </c>
      <c r="AA265" s="50" t="s">
        <v>69</v>
      </c>
      <c r="AB265" s="50" t="s">
        <v>69</v>
      </c>
      <c r="AC265" s="34" t="str">
        <f t="shared" ref="AC265:AP265" si="265">LET(
  skater, IFERROR(INDEX(AllProj, MATCH($E265, AllProjNames, 0), MATCH(AC$2, AllProjCats, 0) + 1), ""),
  goalie, IFERROR(INDEX(AllGProj, MATCH($E265, AllGProjNames, 0), MATCH(AC$2, AllGProjCats, 0) + 1), ""),
  val, IF(skater &lt;&gt; "", skater, goalie),
  IF(OR($E265="", AC$2="", val=""), "", val * AC$1)
)</f>
        <v/>
      </c>
      <c r="AD265" s="34" t="str">
        <f t="shared" si="265"/>
        <v/>
      </c>
      <c r="AE265" s="34" t="str">
        <f t="shared" si="265"/>
        <v/>
      </c>
      <c r="AF265" s="34" t="str">
        <f t="shared" si="265"/>
        <v/>
      </c>
      <c r="AG265" s="34" t="str">
        <f t="shared" si="265"/>
        <v/>
      </c>
      <c r="AH265" s="34" t="str">
        <f t="shared" si="265"/>
        <v/>
      </c>
      <c r="AI265" s="34" t="str">
        <f t="shared" si="265"/>
        <v/>
      </c>
      <c r="AJ265" s="34" t="str">
        <f t="shared" si="265"/>
        <v/>
      </c>
      <c r="AK265" s="34" t="str">
        <f t="shared" si="265"/>
        <v/>
      </c>
      <c r="AL265" s="34" t="str">
        <f t="shared" si="265"/>
        <v/>
      </c>
      <c r="AM265" s="34" t="str">
        <f t="shared" si="265"/>
        <v/>
      </c>
      <c r="AN265" s="34" t="str">
        <f t="shared" si="265"/>
        <v/>
      </c>
      <c r="AO265" s="34" t="str">
        <f t="shared" si="265"/>
        <v/>
      </c>
      <c r="AP265" s="34" t="str">
        <f t="shared" si="265"/>
        <v/>
      </c>
      <c r="AQ265" s="76" t="s">
        <v>304</v>
      </c>
      <c r="AR265" s="77"/>
      <c r="AS265" s="77"/>
      <c r="AT265" s="77"/>
      <c r="AU265" s="77"/>
      <c r="AV265" s="77"/>
      <c r="AW265" s="77"/>
      <c r="AX265" s="77"/>
      <c r="AY265" s="77"/>
      <c r="AZ265" s="77"/>
      <c r="BA265" s="77"/>
      <c r="BB265" s="77"/>
      <c r="BC265" s="77"/>
      <c r="BD265" s="77"/>
      <c r="BE265" s="77"/>
      <c r="BF265" s="77"/>
      <c r="BG265" s="77"/>
      <c r="BH265" s="77"/>
      <c r="BI265" s="77"/>
      <c r="BJ265" s="77"/>
      <c r="BK265" s="77"/>
      <c r="BL265" s="77"/>
      <c r="BM265" s="78"/>
    </row>
    <row r="266">
      <c r="A266" s="79">
        <v>2.5714285714285716</v>
      </c>
      <c r="B266" s="79" t="b">
        <v>0</v>
      </c>
      <c r="C266" s="79" t="b">
        <f t="shared" si="3"/>
        <v>0</v>
      </c>
      <c r="D266" s="80" t="s">
        <v>1565</v>
      </c>
      <c r="E266" s="81" t="s">
        <v>952</v>
      </c>
      <c r="F266" s="82" t="s">
        <v>1411</v>
      </c>
      <c r="G266" s="35" t="s">
        <v>837</v>
      </c>
      <c r="H266" s="37">
        <v>-5.605914047516745</v>
      </c>
      <c r="I266" s="37">
        <v>-0.07605527558784342</v>
      </c>
      <c r="J266" s="83" t="s">
        <v>1893</v>
      </c>
      <c r="K266" s="35">
        <v>26.9</v>
      </c>
      <c r="L266" s="79">
        <v>80.88966666666667</v>
      </c>
      <c r="M266" s="84">
        <v>33.0</v>
      </c>
      <c r="N266" s="84">
        <v>8.0</v>
      </c>
      <c r="O266" s="85">
        <v>-2.005566338539559</v>
      </c>
      <c r="P266" s="85">
        <v>-1.0510398569927133</v>
      </c>
      <c r="Q266" s="85">
        <v>0.12742446640187868</v>
      </c>
      <c r="R266" s="85">
        <v>-0.8672847133595878</v>
      </c>
      <c r="S266" s="85">
        <v>-1.6933936968352308</v>
      </c>
      <c r="T266" s="85">
        <v>-0.2437641142255332</v>
      </c>
      <c r="U266" s="85">
        <v>-2.0885070461366753</v>
      </c>
      <c r="V266" s="85">
        <v>0.0</v>
      </c>
      <c r="W266" s="85">
        <v>0.19146648078336256</v>
      </c>
      <c r="X266" s="85">
        <v>2.024750771387313</v>
      </c>
      <c r="Y266" s="50" t="s">
        <v>69</v>
      </c>
      <c r="Z266" s="50" t="s">
        <v>69</v>
      </c>
      <c r="AA266" s="50" t="s">
        <v>69</v>
      </c>
      <c r="AB266" s="50" t="s">
        <v>69</v>
      </c>
      <c r="AC266" s="34" t="str">
        <f t="shared" ref="AC266:AP266" si="266">LET(
  skater, IFERROR(INDEX(AllProj, MATCH($E266, AllProjNames, 0), MATCH(AC$2, AllProjCats, 0) + 1), ""),
  goalie, IFERROR(INDEX(AllGProj, MATCH($E266, AllGProjNames, 0), MATCH(AC$2, AllGProjCats, 0) + 1), ""),
  val, IF(skater &lt;&gt; "", skater, goalie),
  IF(OR($E266="", AC$2="", val=""), "", val * AC$1)
)</f>
        <v/>
      </c>
      <c r="AD266" s="34" t="str">
        <f t="shared" si="266"/>
        <v/>
      </c>
      <c r="AE266" s="34" t="str">
        <f t="shared" si="266"/>
        <v/>
      </c>
      <c r="AF266" s="34" t="str">
        <f t="shared" si="266"/>
        <v/>
      </c>
      <c r="AG266" s="34" t="str">
        <f t="shared" si="266"/>
        <v/>
      </c>
      <c r="AH266" s="34" t="str">
        <f t="shared" si="266"/>
        <v/>
      </c>
      <c r="AI266" s="34" t="str">
        <f t="shared" si="266"/>
        <v/>
      </c>
      <c r="AJ266" s="34" t="str">
        <f t="shared" si="266"/>
        <v/>
      </c>
      <c r="AK266" s="34" t="str">
        <f t="shared" si="266"/>
        <v/>
      </c>
      <c r="AL266" s="34" t="str">
        <f t="shared" si="266"/>
        <v/>
      </c>
      <c r="AM266" s="34" t="str">
        <f t="shared" si="266"/>
        <v/>
      </c>
      <c r="AN266" s="34" t="str">
        <f t="shared" si="266"/>
        <v/>
      </c>
      <c r="AO266" s="34" t="str">
        <f t="shared" si="266"/>
        <v/>
      </c>
      <c r="AP266" s="34" t="str">
        <f t="shared" si="266"/>
        <v/>
      </c>
      <c r="AQ266" s="76" t="s">
        <v>305</v>
      </c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7"/>
      <c r="BC266" s="77"/>
      <c r="BD266" s="77"/>
      <c r="BE266" s="77"/>
      <c r="BF266" s="77"/>
      <c r="BG266" s="77"/>
      <c r="BH266" s="77"/>
      <c r="BI266" s="77"/>
      <c r="BJ266" s="77"/>
      <c r="BK266" s="77"/>
      <c r="BL266" s="77"/>
      <c r="BM266" s="78"/>
    </row>
    <row r="267">
      <c r="A267" s="41" t="s">
        <v>69</v>
      </c>
      <c r="B267" s="41" t="b">
        <v>0</v>
      </c>
      <c r="C267" s="41" t="b">
        <f t="shared" si="3"/>
        <v>1</v>
      </c>
      <c r="D267" s="42" t="s">
        <v>773</v>
      </c>
      <c r="E267" s="43" t="s">
        <v>1894</v>
      </c>
      <c r="F267" s="44" t="s">
        <v>1548</v>
      </c>
      <c r="G267" s="29" t="s">
        <v>835</v>
      </c>
      <c r="H267" s="32">
        <v>-5.615489445986325</v>
      </c>
      <c r="I267" s="32">
        <v>-0.22760932107358656</v>
      </c>
      <c r="J267" s="45" t="s">
        <v>1895</v>
      </c>
      <c r="K267" s="29">
        <v>35.4</v>
      </c>
      <c r="L267" s="41">
        <v>79.3875</v>
      </c>
      <c r="M267" s="46">
        <v>34.0</v>
      </c>
      <c r="N267" s="46">
        <v>7.0</v>
      </c>
      <c r="O267" s="47">
        <v>0.3460454969817773</v>
      </c>
      <c r="P267" s="47">
        <v>-0.6554594407644363</v>
      </c>
      <c r="Q267" s="47">
        <v>-1.1060413634548927</v>
      </c>
      <c r="R267" s="47">
        <v>-1.0156236652767154</v>
      </c>
      <c r="S267" s="47">
        <v>0.15063133890193822</v>
      </c>
      <c r="T267" s="47">
        <v>-0.1423353467298038</v>
      </c>
      <c r="U267" s="47">
        <v>-0.21786841300171106</v>
      </c>
      <c r="V267" s="47">
        <v>0.0</v>
      </c>
      <c r="W267" s="47">
        <v>-1.047005103426764</v>
      </c>
      <c r="X267" s="47">
        <v>-1.9278329492157171</v>
      </c>
      <c r="Y267" s="50" t="s">
        <v>69</v>
      </c>
      <c r="Z267" s="50" t="s">
        <v>69</v>
      </c>
      <c r="AA267" s="50" t="s">
        <v>69</v>
      </c>
      <c r="AB267" s="50" t="s">
        <v>69</v>
      </c>
      <c r="AC267" s="34" t="str">
        <f t="shared" ref="AC267:AP267" si="267">LET(
  skater, IFERROR(INDEX(AllProj, MATCH($E267, AllProjNames, 0), MATCH(AC$2, AllProjCats, 0) + 1), ""),
  goalie, IFERROR(INDEX(AllGProj, MATCH($E267, AllGProjNames, 0), MATCH(AC$2, AllGProjCats, 0) + 1), ""),
  val, IF(skater &lt;&gt; "", skater, goalie),
  IF(OR($E267="", AC$2="", val=""), "", val * AC$1)
)</f>
        <v/>
      </c>
      <c r="AD267" s="34" t="str">
        <f t="shared" si="267"/>
        <v/>
      </c>
      <c r="AE267" s="34" t="str">
        <f t="shared" si="267"/>
        <v/>
      </c>
      <c r="AF267" s="34" t="str">
        <f t="shared" si="267"/>
        <v/>
      </c>
      <c r="AG267" s="34" t="str">
        <f t="shared" si="267"/>
        <v/>
      </c>
      <c r="AH267" s="34" t="str">
        <f t="shared" si="267"/>
        <v/>
      </c>
      <c r="AI267" s="34" t="str">
        <f t="shared" si="267"/>
        <v/>
      </c>
      <c r="AJ267" s="34" t="str">
        <f t="shared" si="267"/>
        <v/>
      </c>
      <c r="AK267" s="34" t="str">
        <f t="shared" si="267"/>
        <v/>
      </c>
      <c r="AL267" s="34" t="str">
        <f t="shared" si="267"/>
        <v/>
      </c>
      <c r="AM267" s="34" t="str">
        <f t="shared" si="267"/>
        <v/>
      </c>
      <c r="AN267" s="34" t="str">
        <f t="shared" si="267"/>
        <v/>
      </c>
      <c r="AO267" s="34" t="str">
        <f t="shared" si="267"/>
        <v/>
      </c>
      <c r="AP267" s="34" t="str">
        <f t="shared" si="267"/>
        <v/>
      </c>
      <c r="AQ267" s="76" t="s">
        <v>306</v>
      </c>
      <c r="AR267" s="77"/>
      <c r="AS267" s="77"/>
      <c r="AT267" s="77"/>
      <c r="AU267" s="77"/>
      <c r="AV267" s="77"/>
      <c r="AW267" s="77"/>
      <c r="AX267" s="77"/>
      <c r="AY267" s="77"/>
      <c r="AZ267" s="77"/>
      <c r="BA267" s="77"/>
      <c r="BB267" s="77"/>
      <c r="BC267" s="77"/>
      <c r="BD267" s="77"/>
      <c r="BE267" s="77"/>
      <c r="BF267" s="77"/>
      <c r="BG267" s="77"/>
      <c r="BH267" s="77"/>
      <c r="BI267" s="77"/>
      <c r="BJ267" s="77"/>
      <c r="BK267" s="77"/>
      <c r="BL267" s="77"/>
      <c r="BM267" s="78"/>
    </row>
    <row r="268">
      <c r="A268" s="79">
        <v>2.642857142857143</v>
      </c>
      <c r="B268" s="79" t="b">
        <v>0</v>
      </c>
      <c r="C268" s="79" t="b">
        <f t="shared" si="3"/>
        <v>0</v>
      </c>
      <c r="D268" s="80" t="s">
        <v>1565</v>
      </c>
      <c r="E268" s="81" t="s">
        <v>1104</v>
      </c>
      <c r="F268" s="82" t="s">
        <v>1429</v>
      </c>
      <c r="G268" s="35" t="s">
        <v>835</v>
      </c>
      <c r="H268" s="37">
        <v>-5.65059103354055</v>
      </c>
      <c r="I268" s="37">
        <v>-0.26271090862781143</v>
      </c>
      <c r="J268" s="83" t="s">
        <v>1896</v>
      </c>
      <c r="K268" s="35">
        <v>35.1</v>
      </c>
      <c r="L268" s="79">
        <v>76.14285714285714</v>
      </c>
      <c r="M268" s="84">
        <v>24.0</v>
      </c>
      <c r="N268" s="84">
        <v>7.0</v>
      </c>
      <c r="O268" s="85">
        <v>-1.3491250870099296</v>
      </c>
      <c r="P268" s="85">
        <v>-1.785363912996194</v>
      </c>
      <c r="Q268" s="85">
        <v>-0.8836896704213013</v>
      </c>
      <c r="R268" s="85">
        <v>1.2311855505890923</v>
      </c>
      <c r="S268" s="85">
        <v>-1.5845933567411155</v>
      </c>
      <c r="T268" s="85">
        <v>-0.16952108464970286</v>
      </c>
      <c r="U268" s="85">
        <v>-2.0126669165697493</v>
      </c>
      <c r="V268" s="85">
        <v>0.0</v>
      </c>
      <c r="W268" s="85">
        <v>1.9282615003391252</v>
      </c>
      <c r="X268" s="85">
        <v>-1.0250780560807762</v>
      </c>
      <c r="Y268" s="50" t="s">
        <v>69</v>
      </c>
      <c r="Z268" s="50" t="s">
        <v>69</v>
      </c>
      <c r="AA268" s="50" t="s">
        <v>69</v>
      </c>
      <c r="AB268" s="50" t="s">
        <v>69</v>
      </c>
      <c r="AC268" s="34" t="str">
        <f t="shared" ref="AC268:AP268" si="268">LET(
  skater, IFERROR(INDEX(AllProj, MATCH($E268, AllProjNames, 0), MATCH(AC$2, AllProjCats, 0) + 1), ""),
  goalie, IFERROR(INDEX(AllGProj, MATCH($E268, AllGProjNames, 0), MATCH(AC$2, AllGProjCats, 0) + 1), ""),
  val, IF(skater &lt;&gt; "", skater, goalie),
  IF(OR($E268="", AC$2="", val=""), "", val * AC$1)
)</f>
        <v/>
      </c>
      <c r="AD268" s="34" t="str">
        <f t="shared" si="268"/>
        <v/>
      </c>
      <c r="AE268" s="34" t="str">
        <f t="shared" si="268"/>
        <v/>
      </c>
      <c r="AF268" s="34" t="str">
        <f t="shared" si="268"/>
        <v/>
      </c>
      <c r="AG268" s="34" t="str">
        <f t="shared" si="268"/>
        <v/>
      </c>
      <c r="AH268" s="34" t="str">
        <f t="shared" si="268"/>
        <v/>
      </c>
      <c r="AI268" s="34" t="str">
        <f t="shared" si="268"/>
        <v/>
      </c>
      <c r="AJ268" s="34" t="str">
        <f t="shared" si="268"/>
        <v/>
      </c>
      <c r="AK268" s="34" t="str">
        <f t="shared" si="268"/>
        <v/>
      </c>
      <c r="AL268" s="34" t="str">
        <f t="shared" si="268"/>
        <v/>
      </c>
      <c r="AM268" s="34" t="str">
        <f t="shared" si="268"/>
        <v/>
      </c>
      <c r="AN268" s="34" t="str">
        <f t="shared" si="268"/>
        <v/>
      </c>
      <c r="AO268" s="34" t="str">
        <f t="shared" si="268"/>
        <v/>
      </c>
      <c r="AP268" s="34" t="str">
        <f t="shared" si="268"/>
        <v/>
      </c>
      <c r="AQ268" s="76" t="s">
        <v>307</v>
      </c>
      <c r="AR268" s="77"/>
      <c r="AS268" s="77"/>
      <c r="AT268" s="77"/>
      <c r="AU268" s="77"/>
      <c r="AV268" s="77"/>
      <c r="AW268" s="77"/>
      <c r="AX268" s="77"/>
      <c r="AY268" s="77"/>
      <c r="AZ268" s="77"/>
      <c r="BA268" s="77"/>
      <c r="BB268" s="77"/>
      <c r="BC268" s="77"/>
      <c r="BD268" s="77"/>
      <c r="BE268" s="77"/>
      <c r="BF268" s="77"/>
      <c r="BG268" s="77"/>
      <c r="BH268" s="77"/>
      <c r="BI268" s="77"/>
      <c r="BJ268" s="77"/>
      <c r="BK268" s="77"/>
      <c r="BL268" s="77"/>
      <c r="BM268" s="78"/>
    </row>
    <row r="269">
      <c r="A269" s="41">
        <v>2.7142857142857144</v>
      </c>
      <c r="B269" s="41" t="b">
        <v>0</v>
      </c>
      <c r="C269" s="41" t="b">
        <f t="shared" si="3"/>
        <v>0</v>
      </c>
      <c r="D269" s="42" t="s">
        <v>1565</v>
      </c>
      <c r="E269" s="43" t="s">
        <v>1307</v>
      </c>
      <c r="F269" s="44" t="s">
        <v>1710</v>
      </c>
      <c r="G269" s="29" t="s">
        <v>832</v>
      </c>
      <c r="H269" s="32">
        <v>-5.655395336608694</v>
      </c>
      <c r="I269" s="32">
        <v>-0.21325772788083697</v>
      </c>
      <c r="J269" s="45" t="s">
        <v>1897</v>
      </c>
      <c r="K269" s="29">
        <v>26.0</v>
      </c>
      <c r="L269" s="41">
        <v>81.0</v>
      </c>
      <c r="M269" s="46">
        <v>23.0</v>
      </c>
      <c r="N269" s="46">
        <v>6.0</v>
      </c>
      <c r="O269" s="47">
        <v>-1.2952289582251588</v>
      </c>
      <c r="P269" s="47">
        <v>-1.7737641255356114</v>
      </c>
      <c r="Q269" s="47">
        <v>-2.8297245092463954</v>
      </c>
      <c r="R269" s="47">
        <v>2.0660529808887875</v>
      </c>
      <c r="S269" s="47">
        <v>-1.4772467327274834</v>
      </c>
      <c r="T269" s="47">
        <v>-0.7871777123417198</v>
      </c>
      <c r="U269" s="47">
        <v>-1.6728912468887367</v>
      </c>
      <c r="V269" s="47">
        <v>0.0</v>
      </c>
      <c r="W269" s="47">
        <v>3.076384957512247</v>
      </c>
      <c r="X269" s="47">
        <v>-0.9617999900446226</v>
      </c>
      <c r="Y269" s="50" t="s">
        <v>69</v>
      </c>
      <c r="Z269" s="50" t="s">
        <v>69</v>
      </c>
      <c r="AA269" s="50" t="s">
        <v>69</v>
      </c>
      <c r="AB269" s="50" t="s">
        <v>69</v>
      </c>
      <c r="AC269" s="34" t="str">
        <f t="shared" ref="AC269:AP269" si="269">LET(
  skater, IFERROR(INDEX(AllProj, MATCH($E269, AllProjNames, 0), MATCH(AC$2, AllProjCats, 0) + 1), ""),
  goalie, IFERROR(INDEX(AllGProj, MATCH($E269, AllGProjNames, 0), MATCH(AC$2, AllGProjCats, 0) + 1), ""),
  val, IF(skater &lt;&gt; "", skater, goalie),
  IF(OR($E269="", AC$2="", val=""), "", val * AC$1)
)</f>
        <v/>
      </c>
      <c r="AD269" s="34" t="str">
        <f t="shared" si="269"/>
        <v/>
      </c>
      <c r="AE269" s="34" t="str">
        <f t="shared" si="269"/>
        <v/>
      </c>
      <c r="AF269" s="34" t="str">
        <f t="shared" si="269"/>
        <v/>
      </c>
      <c r="AG269" s="34" t="str">
        <f t="shared" si="269"/>
        <v/>
      </c>
      <c r="AH269" s="34" t="str">
        <f t="shared" si="269"/>
        <v/>
      </c>
      <c r="AI269" s="34" t="str">
        <f t="shared" si="269"/>
        <v/>
      </c>
      <c r="AJ269" s="34" t="str">
        <f t="shared" si="269"/>
        <v/>
      </c>
      <c r="AK269" s="34" t="str">
        <f t="shared" si="269"/>
        <v/>
      </c>
      <c r="AL269" s="34" t="str">
        <f t="shared" si="269"/>
        <v/>
      </c>
      <c r="AM269" s="34" t="str">
        <f t="shared" si="269"/>
        <v/>
      </c>
      <c r="AN269" s="34" t="str">
        <f t="shared" si="269"/>
        <v/>
      </c>
      <c r="AO269" s="34" t="str">
        <f t="shared" si="269"/>
        <v/>
      </c>
      <c r="AP269" s="34" t="str">
        <f t="shared" si="269"/>
        <v/>
      </c>
      <c r="AQ269" s="76" t="s">
        <v>308</v>
      </c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 s="77"/>
      <c r="BH269" s="77"/>
      <c r="BI269" s="77"/>
      <c r="BJ269" s="77"/>
      <c r="BK269" s="77"/>
      <c r="BL269" s="77"/>
      <c r="BM269" s="78"/>
    </row>
    <row r="270">
      <c r="A270" s="79">
        <v>2.5</v>
      </c>
      <c r="B270" s="79" t="b">
        <v>0</v>
      </c>
      <c r="C270" s="79" t="b">
        <f t="shared" si="3"/>
        <v>0</v>
      </c>
      <c r="D270" s="80" t="s">
        <v>1565</v>
      </c>
      <c r="E270" s="81" t="s">
        <v>894</v>
      </c>
      <c r="F270" s="82" t="s">
        <v>1489</v>
      </c>
      <c r="G270" s="35" t="s">
        <v>830</v>
      </c>
      <c r="H270" s="37">
        <v>-5.679706206378762</v>
      </c>
      <c r="I270" s="37">
        <v>-0.29182608146602274</v>
      </c>
      <c r="J270" s="83" t="s">
        <v>1898</v>
      </c>
      <c r="K270" s="35">
        <v>35.5</v>
      </c>
      <c r="L270" s="79">
        <v>81.24249999999999</v>
      </c>
      <c r="M270" s="84">
        <v>28.0</v>
      </c>
      <c r="N270" s="84">
        <v>7.0</v>
      </c>
      <c r="O270" s="85">
        <v>-0.9090857450747553</v>
      </c>
      <c r="P270" s="85">
        <v>-1.0926755450279961</v>
      </c>
      <c r="Q270" s="85">
        <v>-1.9564208036482176</v>
      </c>
      <c r="R270" s="85">
        <v>0.28953269239384954</v>
      </c>
      <c r="S270" s="85">
        <v>-0.7795843257649202</v>
      </c>
      <c r="T270" s="85">
        <v>0.151448164461287</v>
      </c>
      <c r="U270" s="85">
        <v>-0.8033568700438708</v>
      </c>
      <c r="V270" s="85">
        <v>1.0401409857546853</v>
      </c>
      <c r="W270" s="85">
        <v>-0.3818372546807491</v>
      </c>
      <c r="X270" s="85">
        <v>-1.2378675047480743</v>
      </c>
      <c r="Y270" s="50" t="s">
        <v>69</v>
      </c>
      <c r="Z270" s="50" t="s">
        <v>69</v>
      </c>
      <c r="AA270" s="50" t="s">
        <v>69</v>
      </c>
      <c r="AB270" s="50" t="s">
        <v>69</v>
      </c>
      <c r="AC270" s="34" t="str">
        <f t="shared" ref="AC270:AP270" si="270">LET(
  skater, IFERROR(INDEX(AllProj, MATCH($E270, AllProjNames, 0), MATCH(AC$2, AllProjCats, 0) + 1), ""),
  goalie, IFERROR(INDEX(AllGProj, MATCH($E270, AllGProjNames, 0), MATCH(AC$2, AllGProjCats, 0) + 1), ""),
  val, IF(skater &lt;&gt; "", skater, goalie),
  IF(OR($E270="", AC$2="", val=""), "", val * AC$1)
)</f>
        <v/>
      </c>
      <c r="AD270" s="34" t="str">
        <f t="shared" si="270"/>
        <v/>
      </c>
      <c r="AE270" s="34" t="str">
        <f t="shared" si="270"/>
        <v/>
      </c>
      <c r="AF270" s="34" t="str">
        <f t="shared" si="270"/>
        <v/>
      </c>
      <c r="AG270" s="34" t="str">
        <f t="shared" si="270"/>
        <v/>
      </c>
      <c r="AH270" s="34" t="str">
        <f t="shared" si="270"/>
        <v/>
      </c>
      <c r="AI270" s="34" t="str">
        <f t="shared" si="270"/>
        <v/>
      </c>
      <c r="AJ270" s="34" t="str">
        <f t="shared" si="270"/>
        <v/>
      </c>
      <c r="AK270" s="34" t="str">
        <f t="shared" si="270"/>
        <v/>
      </c>
      <c r="AL270" s="34" t="str">
        <f t="shared" si="270"/>
        <v/>
      </c>
      <c r="AM270" s="34" t="str">
        <f t="shared" si="270"/>
        <v/>
      </c>
      <c r="AN270" s="34" t="str">
        <f t="shared" si="270"/>
        <v/>
      </c>
      <c r="AO270" s="34" t="str">
        <f t="shared" si="270"/>
        <v/>
      </c>
      <c r="AP270" s="34" t="str">
        <f t="shared" si="270"/>
        <v/>
      </c>
      <c r="AQ270" s="76" t="s">
        <v>309</v>
      </c>
      <c r="AR270" s="77"/>
      <c r="AS270" s="77"/>
      <c r="AT270" s="77"/>
      <c r="AU270" s="77"/>
      <c r="AV270" s="77"/>
      <c r="AW270" s="77"/>
      <c r="AX270" s="77"/>
      <c r="AY270" s="77"/>
      <c r="AZ270" s="77"/>
      <c r="BA270" s="77"/>
      <c r="BB270" s="77"/>
      <c r="BC270" s="77"/>
      <c r="BD270" s="77"/>
      <c r="BE270" s="77"/>
      <c r="BF270" s="77"/>
      <c r="BG270" s="77"/>
      <c r="BH270" s="77"/>
      <c r="BI270" s="77"/>
      <c r="BJ270" s="77"/>
      <c r="BK270" s="77"/>
      <c r="BL270" s="77"/>
      <c r="BM270" s="78"/>
    </row>
    <row r="271">
      <c r="A271" s="41">
        <v>2.5</v>
      </c>
      <c r="B271" s="41" t="b">
        <v>0</v>
      </c>
      <c r="C271" s="41" t="b">
        <f t="shared" si="3"/>
        <v>0</v>
      </c>
      <c r="D271" s="42" t="s">
        <v>1565</v>
      </c>
      <c r="E271" s="43" t="s">
        <v>901</v>
      </c>
      <c r="F271" s="44" t="s">
        <v>1706</v>
      </c>
      <c r="G271" s="29" t="s">
        <v>832</v>
      </c>
      <c r="H271" s="32">
        <v>-5.745826558732506</v>
      </c>
      <c r="I271" s="32">
        <v>-0.30368895000464846</v>
      </c>
      <c r="J271" s="45" t="s">
        <v>1899</v>
      </c>
      <c r="K271" s="29">
        <v>22.0</v>
      </c>
      <c r="L271" s="41">
        <v>79.07142857142857</v>
      </c>
      <c r="M271" s="46">
        <v>31.0</v>
      </c>
      <c r="N271" s="46">
        <v>7.0</v>
      </c>
      <c r="O271" s="47">
        <v>0.19949034673915192</v>
      </c>
      <c r="P271" s="47">
        <v>-0.5708661658731907</v>
      </c>
      <c r="Q271" s="47">
        <v>-0.41008712367040023</v>
      </c>
      <c r="R271" s="47">
        <v>-0.4891742499327256</v>
      </c>
      <c r="S271" s="47">
        <v>-0.18247531482392904</v>
      </c>
      <c r="T271" s="47">
        <v>-0.7871777123417198</v>
      </c>
      <c r="U271" s="47">
        <v>0.07429176635492085</v>
      </c>
      <c r="V271" s="47">
        <v>0.0</v>
      </c>
      <c r="W271" s="47">
        <v>-1.6774082146025717</v>
      </c>
      <c r="X271" s="47">
        <v>-1.9024198905820413</v>
      </c>
      <c r="Y271" s="50" t="s">
        <v>69</v>
      </c>
      <c r="Z271" s="50" t="s">
        <v>69</v>
      </c>
      <c r="AA271" s="50" t="s">
        <v>69</v>
      </c>
      <c r="AB271" s="50" t="s">
        <v>69</v>
      </c>
      <c r="AC271" s="34" t="str">
        <f t="shared" ref="AC271:AP271" si="271">LET(
  skater, IFERROR(INDEX(AllProj, MATCH($E271, AllProjNames, 0), MATCH(AC$2, AllProjCats, 0) + 1), ""),
  goalie, IFERROR(INDEX(AllGProj, MATCH($E271, AllGProjNames, 0), MATCH(AC$2, AllGProjCats, 0) + 1), ""),
  val, IF(skater &lt;&gt; "", skater, goalie),
  IF(OR($E271="", AC$2="", val=""), "", val * AC$1)
)</f>
        <v/>
      </c>
      <c r="AD271" s="34" t="str">
        <f t="shared" si="271"/>
        <v/>
      </c>
      <c r="AE271" s="34" t="str">
        <f t="shared" si="271"/>
        <v/>
      </c>
      <c r="AF271" s="34" t="str">
        <f t="shared" si="271"/>
        <v/>
      </c>
      <c r="AG271" s="34" t="str">
        <f t="shared" si="271"/>
        <v/>
      </c>
      <c r="AH271" s="34" t="str">
        <f t="shared" si="271"/>
        <v/>
      </c>
      <c r="AI271" s="34" t="str">
        <f t="shared" si="271"/>
        <v/>
      </c>
      <c r="AJ271" s="34" t="str">
        <f t="shared" si="271"/>
        <v/>
      </c>
      <c r="AK271" s="34" t="str">
        <f t="shared" si="271"/>
        <v/>
      </c>
      <c r="AL271" s="34" t="str">
        <f t="shared" si="271"/>
        <v/>
      </c>
      <c r="AM271" s="34" t="str">
        <f t="shared" si="271"/>
        <v/>
      </c>
      <c r="AN271" s="34" t="str">
        <f t="shared" si="271"/>
        <v/>
      </c>
      <c r="AO271" s="34" t="str">
        <f t="shared" si="271"/>
        <v/>
      </c>
      <c r="AP271" s="34" t="str">
        <f t="shared" si="271"/>
        <v/>
      </c>
      <c r="AQ271" s="76" t="s">
        <v>310</v>
      </c>
      <c r="AR271" s="77"/>
      <c r="AS271" s="77"/>
      <c r="AT271" s="77"/>
      <c r="AU271" s="77"/>
      <c r="AV271" s="77"/>
      <c r="AW271" s="77"/>
      <c r="AX271" s="77"/>
      <c r="AY271" s="77"/>
      <c r="AZ271" s="77"/>
      <c r="BA271" s="77"/>
      <c r="BB271" s="77"/>
      <c r="BC271" s="77"/>
      <c r="BD271" s="77"/>
      <c r="BE271" s="77"/>
      <c r="BF271" s="77"/>
      <c r="BG271" s="77"/>
      <c r="BH271" s="77"/>
      <c r="BI271" s="77"/>
      <c r="BJ271" s="77"/>
      <c r="BK271" s="77"/>
      <c r="BL271" s="77"/>
      <c r="BM271" s="78"/>
    </row>
    <row r="272">
      <c r="A272" s="79" t="s">
        <v>69</v>
      </c>
      <c r="B272" s="79" t="b">
        <v>0</v>
      </c>
      <c r="C272" s="79" t="b">
        <f t="shared" si="3"/>
        <v>1</v>
      </c>
      <c r="D272" s="80" t="s">
        <v>827</v>
      </c>
      <c r="E272" s="81" t="s">
        <v>1900</v>
      </c>
      <c r="F272" s="82" t="s">
        <v>849</v>
      </c>
      <c r="G272" s="35" t="s">
        <v>6</v>
      </c>
      <c r="H272" s="37">
        <v>-5.749678597342648</v>
      </c>
      <c r="I272" s="37">
        <v>-1.4114556188725338</v>
      </c>
      <c r="J272" s="83" t="s">
        <v>1901</v>
      </c>
      <c r="K272" s="35">
        <v>37.0</v>
      </c>
      <c r="L272" s="79">
        <v>31.5</v>
      </c>
      <c r="M272" s="84">
        <v>29.0</v>
      </c>
      <c r="N272" s="84">
        <v>6.0</v>
      </c>
      <c r="O272" s="96" t="s">
        <v>69</v>
      </c>
      <c r="P272" s="96" t="s">
        <v>69</v>
      </c>
      <c r="Q272" s="96" t="s">
        <v>69</v>
      </c>
      <c r="R272" s="96" t="s">
        <v>69</v>
      </c>
      <c r="S272" s="96" t="s">
        <v>69</v>
      </c>
      <c r="T272" s="96" t="s">
        <v>69</v>
      </c>
      <c r="U272" s="96" t="s">
        <v>69</v>
      </c>
      <c r="V272" s="96" t="s">
        <v>69</v>
      </c>
      <c r="W272" s="96" t="s">
        <v>69</v>
      </c>
      <c r="X272" s="96" t="s">
        <v>69</v>
      </c>
      <c r="Y272" s="95">
        <v>-1.7576394703413343</v>
      </c>
      <c r="Z272" s="95">
        <v>-1.5139150440045541</v>
      </c>
      <c r="AA272" s="95">
        <v>-2.4781240829967595</v>
      </c>
      <c r="AB272" s="95">
        <v>0.0</v>
      </c>
      <c r="AC272" s="34" t="str">
        <f t="shared" ref="AC272:AP272" si="272">LET(
  skater, IFERROR(INDEX(AllProj, MATCH($E272, AllProjNames, 0), MATCH(AC$2, AllProjCats, 0) + 1), ""),
  goalie, IFERROR(INDEX(AllGProj, MATCH($E272, AllGProjNames, 0), MATCH(AC$2, AllGProjCats, 0) + 1), ""),
  val, IF(skater &lt;&gt; "", skater, goalie),
  IF(OR($E272="", AC$2="", val=""), "", val * AC$1)
)</f>
        <v/>
      </c>
      <c r="AD272" s="34" t="str">
        <f t="shared" si="272"/>
        <v/>
      </c>
      <c r="AE272" s="34" t="str">
        <f t="shared" si="272"/>
        <v/>
      </c>
      <c r="AF272" s="34" t="str">
        <f t="shared" si="272"/>
        <v/>
      </c>
      <c r="AG272" s="34" t="str">
        <f t="shared" si="272"/>
        <v/>
      </c>
      <c r="AH272" s="34" t="str">
        <f t="shared" si="272"/>
        <v/>
      </c>
      <c r="AI272" s="34" t="str">
        <f t="shared" si="272"/>
        <v/>
      </c>
      <c r="AJ272" s="34" t="str">
        <f t="shared" si="272"/>
        <v/>
      </c>
      <c r="AK272" s="34" t="str">
        <f t="shared" si="272"/>
        <v/>
      </c>
      <c r="AL272" s="34" t="str">
        <f t="shared" si="272"/>
        <v/>
      </c>
      <c r="AM272" s="34" t="str">
        <f t="shared" si="272"/>
        <v/>
      </c>
      <c r="AN272" s="34" t="str">
        <f t="shared" si="272"/>
        <v/>
      </c>
      <c r="AO272" s="34" t="str">
        <f t="shared" si="272"/>
        <v/>
      </c>
      <c r="AP272" s="34" t="str">
        <f t="shared" si="272"/>
        <v/>
      </c>
      <c r="AQ272" s="76" t="s">
        <v>311</v>
      </c>
      <c r="AR272" s="77"/>
      <c r="AS272" s="77"/>
      <c r="AT272" s="77"/>
      <c r="AU272" s="77"/>
      <c r="AV272" s="77"/>
      <c r="AW272" s="77"/>
      <c r="AX272" s="77"/>
      <c r="AY272" s="77"/>
      <c r="AZ272" s="77"/>
      <c r="BA272" s="77"/>
      <c r="BB272" s="77"/>
      <c r="BC272" s="77"/>
      <c r="BD272" s="77"/>
      <c r="BE272" s="77"/>
      <c r="BF272" s="77"/>
      <c r="BG272" s="77"/>
      <c r="BH272" s="77"/>
      <c r="BI272" s="77"/>
      <c r="BJ272" s="77"/>
      <c r="BK272" s="77"/>
      <c r="BL272" s="77"/>
      <c r="BM272" s="78"/>
    </row>
    <row r="273">
      <c r="A273" s="41">
        <v>2.5714285714285716</v>
      </c>
      <c r="B273" s="41" t="b">
        <v>0</v>
      </c>
      <c r="C273" s="41" t="b">
        <f t="shared" si="3"/>
        <v>0</v>
      </c>
      <c r="D273" s="42" t="s">
        <v>1565</v>
      </c>
      <c r="E273" s="43" t="s">
        <v>1039</v>
      </c>
      <c r="F273" s="44" t="s">
        <v>1473</v>
      </c>
      <c r="G273" s="29" t="s">
        <v>829</v>
      </c>
      <c r="H273" s="32">
        <v>-5.756663344510433</v>
      </c>
      <c r="I273" s="32">
        <v>-0.3145257357825759</v>
      </c>
      <c r="J273" s="45" t="s">
        <v>1902</v>
      </c>
      <c r="K273" s="29">
        <v>33.8</v>
      </c>
      <c r="L273" s="41">
        <v>80.38779411764706</v>
      </c>
      <c r="M273" s="46">
        <v>25.0</v>
      </c>
      <c r="N273" s="46">
        <v>6.0</v>
      </c>
      <c r="O273" s="47">
        <v>-0.9220111232307916</v>
      </c>
      <c r="P273" s="47">
        <v>-0.9651880553192504</v>
      </c>
      <c r="Q273" s="47">
        <v>-1.74886509632373</v>
      </c>
      <c r="R273" s="47">
        <v>-2.173846998217378</v>
      </c>
      <c r="S273" s="47">
        <v>-1.5263901138448674</v>
      </c>
      <c r="T273" s="47">
        <v>2.289157338071736</v>
      </c>
      <c r="U273" s="47">
        <v>-1.6277064441002334</v>
      </c>
      <c r="V273" s="47">
        <v>1.8288446555680835</v>
      </c>
      <c r="W273" s="47">
        <v>0.06352032068259864</v>
      </c>
      <c r="X273" s="47">
        <v>-0.9741778277966006</v>
      </c>
      <c r="Y273" s="50" t="s">
        <v>69</v>
      </c>
      <c r="Z273" s="50" t="s">
        <v>69</v>
      </c>
      <c r="AA273" s="50" t="s">
        <v>69</v>
      </c>
      <c r="AB273" s="50" t="s">
        <v>69</v>
      </c>
      <c r="AC273" s="34" t="str">
        <f t="shared" ref="AC273:AP273" si="273">LET(
  skater, IFERROR(INDEX(AllProj, MATCH($E273, AllProjNames, 0), MATCH(AC$2, AllProjCats, 0) + 1), ""),
  goalie, IFERROR(INDEX(AllGProj, MATCH($E273, AllGProjNames, 0), MATCH(AC$2, AllGProjCats, 0) + 1), ""),
  val, IF(skater &lt;&gt; "", skater, goalie),
  IF(OR($E273="", AC$2="", val=""), "", val * AC$1)
)</f>
        <v/>
      </c>
      <c r="AD273" s="34" t="str">
        <f t="shared" si="273"/>
        <v/>
      </c>
      <c r="AE273" s="34" t="str">
        <f t="shared" si="273"/>
        <v/>
      </c>
      <c r="AF273" s="34" t="str">
        <f t="shared" si="273"/>
        <v/>
      </c>
      <c r="AG273" s="34" t="str">
        <f t="shared" si="273"/>
        <v/>
      </c>
      <c r="AH273" s="34" t="str">
        <f t="shared" si="273"/>
        <v/>
      </c>
      <c r="AI273" s="34" t="str">
        <f t="shared" si="273"/>
        <v/>
      </c>
      <c r="AJ273" s="34" t="str">
        <f t="shared" si="273"/>
        <v/>
      </c>
      <c r="AK273" s="34" t="str">
        <f t="shared" si="273"/>
        <v/>
      </c>
      <c r="AL273" s="34" t="str">
        <f t="shared" si="273"/>
        <v/>
      </c>
      <c r="AM273" s="34" t="str">
        <f t="shared" si="273"/>
        <v/>
      </c>
      <c r="AN273" s="34" t="str">
        <f t="shared" si="273"/>
        <v/>
      </c>
      <c r="AO273" s="34" t="str">
        <f t="shared" si="273"/>
        <v/>
      </c>
      <c r="AP273" s="34" t="str">
        <f t="shared" si="273"/>
        <v/>
      </c>
      <c r="AQ273" s="76" t="s">
        <v>312</v>
      </c>
      <c r="AR273" s="77"/>
      <c r="AS273" s="77"/>
      <c r="AT273" s="77"/>
      <c r="AU273" s="77"/>
      <c r="AV273" s="77"/>
      <c r="AW273" s="77"/>
      <c r="AX273" s="77"/>
      <c r="AY273" s="77"/>
      <c r="AZ273" s="77"/>
      <c r="BA273" s="77"/>
      <c r="BB273" s="77"/>
      <c r="BC273" s="77"/>
      <c r="BD273" s="77"/>
      <c r="BE273" s="77"/>
      <c r="BF273" s="77"/>
      <c r="BG273" s="77"/>
      <c r="BH273" s="77"/>
      <c r="BI273" s="77"/>
      <c r="BJ273" s="77"/>
      <c r="BK273" s="77"/>
      <c r="BL273" s="77"/>
      <c r="BM273" s="78"/>
    </row>
    <row r="274">
      <c r="A274" s="79">
        <v>2.5714285714285716</v>
      </c>
      <c r="B274" s="79" t="b">
        <v>0</v>
      </c>
      <c r="C274" s="79" t="b">
        <f t="shared" si="3"/>
        <v>0</v>
      </c>
      <c r="D274" s="80" t="s">
        <v>1565</v>
      </c>
      <c r="E274" s="81" t="s">
        <v>973</v>
      </c>
      <c r="F274" s="82" t="s">
        <v>1439</v>
      </c>
      <c r="G274" s="35" t="s">
        <v>830</v>
      </c>
      <c r="H274" s="37">
        <v>-5.762879271915604</v>
      </c>
      <c r="I274" s="37">
        <v>-0.37499914700286485</v>
      </c>
      <c r="J274" s="83" t="s">
        <v>1903</v>
      </c>
      <c r="K274" s="35">
        <v>37.2</v>
      </c>
      <c r="L274" s="79">
        <v>79.20882352941176</v>
      </c>
      <c r="M274" s="84">
        <v>25.0</v>
      </c>
      <c r="N274" s="84">
        <v>6.0</v>
      </c>
      <c r="O274" s="85">
        <v>-0.7137095067962035</v>
      </c>
      <c r="P274" s="85">
        <v>-0.5522619837223629</v>
      </c>
      <c r="Q274" s="85">
        <v>-0.04643203769651636</v>
      </c>
      <c r="R274" s="85">
        <v>0.7074895125288507</v>
      </c>
      <c r="S274" s="85">
        <v>-0.8302571798948717</v>
      </c>
      <c r="T274" s="85">
        <v>-0.7871777123417198</v>
      </c>
      <c r="U274" s="85">
        <v>-1.3641469457502498</v>
      </c>
      <c r="V274" s="85">
        <v>0.0</v>
      </c>
      <c r="W274" s="85">
        <v>-0.5517766596931551</v>
      </c>
      <c r="X274" s="85">
        <v>-1.624606758549375</v>
      </c>
      <c r="Y274" s="50" t="s">
        <v>69</v>
      </c>
      <c r="Z274" s="50" t="s">
        <v>69</v>
      </c>
      <c r="AA274" s="50" t="s">
        <v>69</v>
      </c>
      <c r="AB274" s="50" t="s">
        <v>69</v>
      </c>
      <c r="AC274" s="34" t="str">
        <f t="shared" ref="AC274:AP274" si="274">LET(
  skater, IFERROR(INDEX(AllProj, MATCH($E274, AllProjNames, 0), MATCH(AC$2, AllProjCats, 0) + 1), ""),
  goalie, IFERROR(INDEX(AllGProj, MATCH($E274, AllGProjNames, 0), MATCH(AC$2, AllGProjCats, 0) + 1), ""),
  val, IF(skater &lt;&gt; "", skater, goalie),
  IF(OR($E274="", AC$2="", val=""), "", val * AC$1)
)</f>
        <v/>
      </c>
      <c r="AD274" s="34" t="str">
        <f t="shared" si="274"/>
        <v/>
      </c>
      <c r="AE274" s="34" t="str">
        <f t="shared" si="274"/>
        <v/>
      </c>
      <c r="AF274" s="34" t="str">
        <f t="shared" si="274"/>
        <v/>
      </c>
      <c r="AG274" s="34" t="str">
        <f t="shared" si="274"/>
        <v/>
      </c>
      <c r="AH274" s="34" t="str">
        <f t="shared" si="274"/>
        <v/>
      </c>
      <c r="AI274" s="34" t="str">
        <f t="shared" si="274"/>
        <v/>
      </c>
      <c r="AJ274" s="34" t="str">
        <f t="shared" si="274"/>
        <v/>
      </c>
      <c r="AK274" s="34" t="str">
        <f t="shared" si="274"/>
        <v/>
      </c>
      <c r="AL274" s="34" t="str">
        <f t="shared" si="274"/>
        <v/>
      </c>
      <c r="AM274" s="34" t="str">
        <f t="shared" si="274"/>
        <v/>
      </c>
      <c r="AN274" s="34" t="str">
        <f t="shared" si="274"/>
        <v/>
      </c>
      <c r="AO274" s="34" t="str">
        <f t="shared" si="274"/>
        <v/>
      </c>
      <c r="AP274" s="34" t="str">
        <f t="shared" si="274"/>
        <v/>
      </c>
      <c r="AQ274" s="76" t="s">
        <v>313</v>
      </c>
      <c r="AR274" s="77"/>
      <c r="AS274" s="77"/>
      <c r="AT274" s="77"/>
      <c r="AU274" s="77"/>
      <c r="AV274" s="77"/>
      <c r="AW274" s="77"/>
      <c r="AX274" s="77"/>
      <c r="AY274" s="77"/>
      <c r="AZ274" s="77"/>
      <c r="BA274" s="77"/>
      <c r="BB274" s="77"/>
      <c r="BC274" s="77"/>
      <c r="BD274" s="77"/>
      <c r="BE274" s="77"/>
      <c r="BF274" s="77"/>
      <c r="BG274" s="77"/>
      <c r="BH274" s="77"/>
      <c r="BI274" s="77"/>
      <c r="BJ274" s="77"/>
      <c r="BK274" s="77"/>
      <c r="BL274" s="77"/>
      <c r="BM274" s="78"/>
    </row>
    <row r="275">
      <c r="A275" s="41">
        <v>2.642857142857143</v>
      </c>
      <c r="B275" s="41" t="b">
        <v>0</v>
      </c>
      <c r="C275" s="41" t="b">
        <f t="shared" si="3"/>
        <v>0</v>
      </c>
      <c r="D275" s="42" t="s">
        <v>1565</v>
      </c>
      <c r="E275" s="43" t="s">
        <v>1116</v>
      </c>
      <c r="F275" s="44" t="s">
        <v>854</v>
      </c>
      <c r="G275" s="29" t="s">
        <v>837</v>
      </c>
      <c r="H275" s="32">
        <v>-5.764001871370269</v>
      </c>
      <c r="I275" s="32">
        <v>-0.23414309944136757</v>
      </c>
      <c r="J275" s="45" t="s">
        <v>1904</v>
      </c>
      <c r="K275" s="29">
        <v>25.6</v>
      </c>
      <c r="L275" s="41">
        <v>83.0</v>
      </c>
      <c r="M275" s="46">
        <v>16.0</v>
      </c>
      <c r="N275" s="46">
        <v>6.0</v>
      </c>
      <c r="O275" s="47">
        <v>-2.1539739435291736</v>
      </c>
      <c r="P275" s="47">
        <v>-1.3770513943836846</v>
      </c>
      <c r="Q275" s="47">
        <v>-0.1796982144347585</v>
      </c>
      <c r="R275" s="47">
        <v>2.0482898440738997</v>
      </c>
      <c r="S275" s="47">
        <v>-1.72461069241107</v>
      </c>
      <c r="T275" s="47">
        <v>-0.16952108464970286</v>
      </c>
      <c r="U275" s="47">
        <v>-2.2551760502492333</v>
      </c>
      <c r="V275" s="47">
        <v>0.0</v>
      </c>
      <c r="W275" s="47">
        <v>0.26901525983498153</v>
      </c>
      <c r="X275" s="47">
        <v>-0.22127559562152754</v>
      </c>
      <c r="Y275" s="50" t="s">
        <v>69</v>
      </c>
      <c r="Z275" s="50" t="s">
        <v>69</v>
      </c>
      <c r="AA275" s="50" t="s">
        <v>69</v>
      </c>
      <c r="AB275" s="50" t="s">
        <v>69</v>
      </c>
      <c r="AC275" s="34" t="str">
        <f t="shared" ref="AC275:AP275" si="275">LET(
  skater, IFERROR(INDEX(AllProj, MATCH($E275, AllProjNames, 0), MATCH(AC$2, AllProjCats, 0) + 1), ""),
  goalie, IFERROR(INDEX(AllGProj, MATCH($E275, AllGProjNames, 0), MATCH(AC$2, AllGProjCats, 0) + 1), ""),
  val, IF(skater &lt;&gt; "", skater, goalie),
  IF(OR($E275="", AC$2="", val=""), "", val * AC$1)
)</f>
        <v/>
      </c>
      <c r="AD275" s="34" t="str">
        <f t="shared" si="275"/>
        <v/>
      </c>
      <c r="AE275" s="34" t="str">
        <f t="shared" si="275"/>
        <v/>
      </c>
      <c r="AF275" s="34" t="str">
        <f t="shared" si="275"/>
        <v/>
      </c>
      <c r="AG275" s="34" t="str">
        <f t="shared" si="275"/>
        <v/>
      </c>
      <c r="AH275" s="34" t="str">
        <f t="shared" si="275"/>
        <v/>
      </c>
      <c r="AI275" s="34" t="str">
        <f t="shared" si="275"/>
        <v/>
      </c>
      <c r="AJ275" s="34" t="str">
        <f t="shared" si="275"/>
        <v/>
      </c>
      <c r="AK275" s="34" t="str">
        <f t="shared" si="275"/>
        <v/>
      </c>
      <c r="AL275" s="34" t="str">
        <f t="shared" si="275"/>
        <v/>
      </c>
      <c r="AM275" s="34" t="str">
        <f t="shared" si="275"/>
        <v/>
      </c>
      <c r="AN275" s="34" t="str">
        <f t="shared" si="275"/>
        <v/>
      </c>
      <c r="AO275" s="34" t="str">
        <f t="shared" si="275"/>
        <v/>
      </c>
      <c r="AP275" s="34" t="str">
        <f t="shared" si="275"/>
        <v/>
      </c>
      <c r="AQ275" s="76" t="s">
        <v>314</v>
      </c>
      <c r="AR275" s="77"/>
      <c r="AS275" s="77"/>
      <c r="AT275" s="77"/>
      <c r="AU275" s="77"/>
      <c r="AV275" s="77"/>
      <c r="AW275" s="77"/>
      <c r="AX275" s="77"/>
      <c r="AY275" s="77"/>
      <c r="AZ275" s="77"/>
      <c r="BA275" s="77"/>
      <c r="BB275" s="77"/>
      <c r="BC275" s="77"/>
      <c r="BD275" s="77"/>
      <c r="BE275" s="77"/>
      <c r="BF275" s="77"/>
      <c r="BG275" s="77"/>
      <c r="BH275" s="77"/>
      <c r="BI275" s="77"/>
      <c r="BJ275" s="77"/>
      <c r="BK275" s="77"/>
      <c r="BL275" s="77"/>
      <c r="BM275" s="78"/>
    </row>
    <row r="276">
      <c r="A276" s="79" t="s">
        <v>69</v>
      </c>
      <c r="B276" s="79" t="b">
        <v>0</v>
      </c>
      <c r="C276" s="79" t="b">
        <f t="shared" si="3"/>
        <v>1</v>
      </c>
      <c r="D276" s="80" t="s">
        <v>824</v>
      </c>
      <c r="E276" s="81" t="s">
        <v>1905</v>
      </c>
      <c r="F276" s="82" t="s">
        <v>1482</v>
      </c>
      <c r="G276" s="35" t="s">
        <v>835</v>
      </c>
      <c r="H276" s="37">
        <v>-5.82889911679528</v>
      </c>
      <c r="I276" s="37">
        <v>-0.4410189918825411</v>
      </c>
      <c r="J276" s="83" t="s">
        <v>1906</v>
      </c>
      <c r="K276" s="35">
        <v>23.9</v>
      </c>
      <c r="L276" s="79">
        <v>81.01750000000001</v>
      </c>
      <c r="M276" s="84">
        <v>27.0</v>
      </c>
      <c r="N276" s="84">
        <v>6.0</v>
      </c>
      <c r="O276" s="85">
        <v>-0.2200374735136028</v>
      </c>
      <c r="P276" s="85">
        <v>0.4691277053890067</v>
      </c>
      <c r="Q276" s="85">
        <v>-2.69713150621774</v>
      </c>
      <c r="R276" s="85">
        <v>-0.9940672151432846</v>
      </c>
      <c r="S276" s="85">
        <v>0.39424883309791103</v>
      </c>
      <c r="T276" s="85">
        <v>-0.36711542837070016</v>
      </c>
      <c r="U276" s="85">
        <v>0.09491528454274036</v>
      </c>
      <c r="V276" s="85">
        <v>0.0</v>
      </c>
      <c r="W276" s="85">
        <v>-1.3376513827296932</v>
      </c>
      <c r="X276" s="85">
        <v>-1.1711879338499174</v>
      </c>
      <c r="Y276" s="50" t="s">
        <v>69</v>
      </c>
      <c r="Z276" s="50" t="s">
        <v>69</v>
      </c>
      <c r="AA276" s="50" t="s">
        <v>69</v>
      </c>
      <c r="AB276" s="50" t="s">
        <v>69</v>
      </c>
      <c r="AC276" s="34" t="str">
        <f t="shared" ref="AC276:AP276" si="276">LET(
  skater, IFERROR(INDEX(AllProj, MATCH($E276, AllProjNames, 0), MATCH(AC$2, AllProjCats, 0) + 1), ""),
  goalie, IFERROR(INDEX(AllGProj, MATCH($E276, AllGProjNames, 0), MATCH(AC$2, AllGProjCats, 0) + 1), ""),
  val, IF(skater &lt;&gt; "", skater, goalie),
  IF(OR($E276="", AC$2="", val=""), "", val * AC$1)
)</f>
        <v/>
      </c>
      <c r="AD276" s="34" t="str">
        <f t="shared" si="276"/>
        <v/>
      </c>
      <c r="AE276" s="34" t="str">
        <f t="shared" si="276"/>
        <v/>
      </c>
      <c r="AF276" s="34" t="str">
        <f t="shared" si="276"/>
        <v/>
      </c>
      <c r="AG276" s="34" t="str">
        <f t="shared" si="276"/>
        <v/>
      </c>
      <c r="AH276" s="34" t="str">
        <f t="shared" si="276"/>
        <v/>
      </c>
      <c r="AI276" s="34" t="str">
        <f t="shared" si="276"/>
        <v/>
      </c>
      <c r="AJ276" s="34" t="str">
        <f t="shared" si="276"/>
        <v/>
      </c>
      <c r="AK276" s="34" t="str">
        <f t="shared" si="276"/>
        <v/>
      </c>
      <c r="AL276" s="34" t="str">
        <f t="shared" si="276"/>
        <v/>
      </c>
      <c r="AM276" s="34" t="str">
        <f t="shared" si="276"/>
        <v/>
      </c>
      <c r="AN276" s="34" t="str">
        <f t="shared" si="276"/>
        <v/>
      </c>
      <c r="AO276" s="34" t="str">
        <f t="shared" si="276"/>
        <v/>
      </c>
      <c r="AP276" s="34" t="str">
        <f t="shared" si="276"/>
        <v/>
      </c>
      <c r="AQ276" s="76" t="s">
        <v>315</v>
      </c>
      <c r="AR276" s="77"/>
      <c r="AS276" s="77"/>
      <c r="AT276" s="77"/>
      <c r="AU276" s="77"/>
      <c r="AV276" s="77"/>
      <c r="AW276" s="77"/>
      <c r="AX276" s="77"/>
      <c r="AY276" s="77"/>
      <c r="AZ276" s="77"/>
      <c r="BA276" s="77"/>
      <c r="BB276" s="77"/>
      <c r="BC276" s="77"/>
      <c r="BD276" s="77"/>
      <c r="BE276" s="77"/>
      <c r="BF276" s="77"/>
      <c r="BG276" s="77"/>
      <c r="BH276" s="77"/>
      <c r="BI276" s="77"/>
      <c r="BJ276" s="77"/>
      <c r="BK276" s="77"/>
      <c r="BL276" s="77"/>
      <c r="BM276" s="78"/>
    </row>
    <row r="277">
      <c r="A277" s="41" t="s">
        <v>69</v>
      </c>
      <c r="B277" s="41" t="b">
        <v>0</v>
      </c>
      <c r="C277" s="41" t="b">
        <f t="shared" si="3"/>
        <v>1</v>
      </c>
      <c r="D277" s="42" t="s">
        <v>502</v>
      </c>
      <c r="E277" s="43" t="s">
        <v>1907</v>
      </c>
      <c r="F277" s="44" t="s">
        <v>1401</v>
      </c>
      <c r="G277" s="29" t="s">
        <v>835</v>
      </c>
      <c r="H277" s="32">
        <v>-5.843946906204819</v>
      </c>
      <c r="I277" s="32">
        <v>-0.4560667812920798</v>
      </c>
      <c r="J277" s="45" t="s">
        <v>1908</v>
      </c>
      <c r="K277" s="29">
        <v>18.7</v>
      </c>
      <c r="L277" s="41">
        <v>79.64285714285714</v>
      </c>
      <c r="M277" s="46">
        <v>25.0</v>
      </c>
      <c r="N277" s="46">
        <v>7.0</v>
      </c>
      <c r="O277" s="47">
        <v>-0.2298821459128556</v>
      </c>
      <c r="P277" s="47">
        <v>0.2550387013202941</v>
      </c>
      <c r="Q277" s="47">
        <v>-0.6278718307746903</v>
      </c>
      <c r="R277" s="47">
        <v>-0.7502923611115666</v>
      </c>
      <c r="S277" s="47">
        <v>0.0683890782514067</v>
      </c>
      <c r="T277" s="47">
        <v>-0.7871777123417198</v>
      </c>
      <c r="U277" s="47">
        <v>-0.0732510534582072</v>
      </c>
      <c r="V277" s="47">
        <v>0.0</v>
      </c>
      <c r="W277" s="47">
        <v>-1.885838582146494</v>
      </c>
      <c r="X277" s="47">
        <v>-1.8130610000309866</v>
      </c>
      <c r="Y277" s="50" t="s">
        <v>69</v>
      </c>
      <c r="Z277" s="50" t="s">
        <v>69</v>
      </c>
      <c r="AA277" s="50" t="s">
        <v>69</v>
      </c>
      <c r="AB277" s="50" t="s">
        <v>69</v>
      </c>
      <c r="AC277" s="34" t="str">
        <f t="shared" ref="AC277:AP277" si="277">LET(
  skater, IFERROR(INDEX(AllProj, MATCH($E277, AllProjNames, 0), MATCH(AC$2, AllProjCats, 0) + 1), ""),
  goalie, IFERROR(INDEX(AllGProj, MATCH($E277, AllGProjNames, 0), MATCH(AC$2, AllGProjCats, 0) + 1), ""),
  val, IF(skater &lt;&gt; "", skater, goalie),
  IF(OR($E277="", AC$2="", val=""), "", val * AC$1)
)</f>
        <v/>
      </c>
      <c r="AD277" s="34" t="str">
        <f t="shared" si="277"/>
        <v/>
      </c>
      <c r="AE277" s="34" t="str">
        <f t="shared" si="277"/>
        <v/>
      </c>
      <c r="AF277" s="34" t="str">
        <f t="shared" si="277"/>
        <v/>
      </c>
      <c r="AG277" s="34" t="str">
        <f t="shared" si="277"/>
        <v/>
      </c>
      <c r="AH277" s="34" t="str">
        <f t="shared" si="277"/>
        <v/>
      </c>
      <c r="AI277" s="34" t="str">
        <f t="shared" si="277"/>
        <v/>
      </c>
      <c r="AJ277" s="34" t="str">
        <f t="shared" si="277"/>
        <v/>
      </c>
      <c r="AK277" s="34" t="str">
        <f t="shared" si="277"/>
        <v/>
      </c>
      <c r="AL277" s="34" t="str">
        <f t="shared" si="277"/>
        <v/>
      </c>
      <c r="AM277" s="34" t="str">
        <f t="shared" si="277"/>
        <v/>
      </c>
      <c r="AN277" s="34" t="str">
        <f t="shared" si="277"/>
        <v/>
      </c>
      <c r="AO277" s="34" t="str">
        <f t="shared" si="277"/>
        <v/>
      </c>
      <c r="AP277" s="34" t="str">
        <f t="shared" si="277"/>
        <v/>
      </c>
      <c r="AQ277" s="76" t="s">
        <v>316</v>
      </c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77"/>
      <c r="BD277" s="77"/>
      <c r="BE277" s="77"/>
      <c r="BF277" s="77"/>
      <c r="BG277" s="77"/>
      <c r="BH277" s="77"/>
      <c r="BI277" s="77"/>
      <c r="BJ277" s="77"/>
      <c r="BK277" s="77"/>
      <c r="BL277" s="77"/>
      <c r="BM277" s="78"/>
    </row>
    <row r="278">
      <c r="A278" s="79">
        <v>2.5</v>
      </c>
      <c r="B278" s="79" t="b">
        <v>0</v>
      </c>
      <c r="C278" s="79" t="b">
        <f t="shared" si="3"/>
        <v>0</v>
      </c>
      <c r="D278" s="80" t="s">
        <v>1565</v>
      </c>
      <c r="E278" s="81" t="s">
        <v>923</v>
      </c>
      <c r="F278" s="82" t="s">
        <v>1563</v>
      </c>
      <c r="G278" s="35" t="s">
        <v>284</v>
      </c>
      <c r="H278" s="37">
        <v>-5.854196415274475</v>
      </c>
      <c r="I278" s="37">
        <v>-0.8161303950913901</v>
      </c>
      <c r="J278" s="83" t="s">
        <v>1909</v>
      </c>
      <c r="K278" s="35">
        <v>27.6</v>
      </c>
      <c r="L278" s="79">
        <v>79.97294117647058</v>
      </c>
      <c r="M278" s="84">
        <v>29.0</v>
      </c>
      <c r="N278" s="84">
        <v>6.0</v>
      </c>
      <c r="O278" s="85">
        <v>-0.5861827377116025</v>
      </c>
      <c r="P278" s="85">
        <v>-0.7403586664717313</v>
      </c>
      <c r="Q278" s="85">
        <v>0.22305237623629728</v>
      </c>
      <c r="R278" s="85">
        <v>-1.3282348819062233</v>
      </c>
      <c r="S278" s="85">
        <v>-1.0054120105131827</v>
      </c>
      <c r="T278" s="85">
        <v>-0.19050483266402662</v>
      </c>
      <c r="U278" s="85">
        <v>-1.0711388344767172</v>
      </c>
      <c r="V278" s="85">
        <v>0.7820706798945346</v>
      </c>
      <c r="W278" s="85">
        <v>-0.776644483918991</v>
      </c>
      <c r="X278" s="85">
        <v>-1.1608430237428322</v>
      </c>
      <c r="Y278" s="50" t="s">
        <v>69</v>
      </c>
      <c r="Z278" s="50" t="s">
        <v>69</v>
      </c>
      <c r="AA278" s="50" t="s">
        <v>69</v>
      </c>
      <c r="AB278" s="50" t="s">
        <v>69</v>
      </c>
      <c r="AC278" s="34" t="str">
        <f t="shared" ref="AC278:AP278" si="278">LET(
  skater, IFERROR(INDEX(AllProj, MATCH($E278, AllProjNames, 0), MATCH(AC$2, AllProjCats, 0) + 1), ""),
  goalie, IFERROR(INDEX(AllGProj, MATCH($E278, AllGProjNames, 0), MATCH(AC$2, AllGProjCats, 0) + 1), ""),
  val, IF(skater &lt;&gt; "", skater, goalie),
  IF(OR($E278="", AC$2="", val=""), "", val * AC$1)
)</f>
        <v/>
      </c>
      <c r="AD278" s="34" t="str">
        <f t="shared" si="278"/>
        <v/>
      </c>
      <c r="AE278" s="34" t="str">
        <f t="shared" si="278"/>
        <v/>
      </c>
      <c r="AF278" s="34" t="str">
        <f t="shared" si="278"/>
        <v/>
      </c>
      <c r="AG278" s="34" t="str">
        <f t="shared" si="278"/>
        <v/>
      </c>
      <c r="AH278" s="34" t="str">
        <f t="shared" si="278"/>
        <v/>
      </c>
      <c r="AI278" s="34" t="str">
        <f t="shared" si="278"/>
        <v/>
      </c>
      <c r="AJ278" s="34" t="str">
        <f t="shared" si="278"/>
        <v/>
      </c>
      <c r="AK278" s="34" t="str">
        <f t="shared" si="278"/>
        <v/>
      </c>
      <c r="AL278" s="34" t="str">
        <f t="shared" si="278"/>
        <v/>
      </c>
      <c r="AM278" s="34" t="str">
        <f t="shared" si="278"/>
        <v/>
      </c>
      <c r="AN278" s="34" t="str">
        <f t="shared" si="278"/>
        <v/>
      </c>
      <c r="AO278" s="34" t="str">
        <f t="shared" si="278"/>
        <v/>
      </c>
      <c r="AP278" s="34" t="str">
        <f t="shared" si="278"/>
        <v/>
      </c>
      <c r="AQ278" s="76" t="s">
        <v>317</v>
      </c>
      <c r="AR278" s="77"/>
      <c r="AS278" s="77"/>
      <c r="AT278" s="77"/>
      <c r="AU278" s="77"/>
      <c r="AV278" s="77"/>
      <c r="AW278" s="77"/>
      <c r="AX278" s="77"/>
      <c r="AY278" s="77"/>
      <c r="AZ278" s="77"/>
      <c r="BA278" s="77"/>
      <c r="BB278" s="77"/>
      <c r="BC278" s="77"/>
      <c r="BD278" s="77"/>
      <c r="BE278" s="77"/>
      <c r="BF278" s="77"/>
      <c r="BG278" s="77"/>
      <c r="BH278" s="77"/>
      <c r="BI278" s="77"/>
      <c r="BJ278" s="77"/>
      <c r="BK278" s="77"/>
      <c r="BL278" s="77"/>
      <c r="BM278" s="78"/>
    </row>
    <row r="279">
      <c r="A279" s="41" t="s">
        <v>69</v>
      </c>
      <c r="B279" s="41" t="b">
        <v>0</v>
      </c>
      <c r="C279" s="41" t="b">
        <f t="shared" si="3"/>
        <v>1</v>
      </c>
      <c r="D279" s="42" t="s">
        <v>825</v>
      </c>
      <c r="E279" s="43" t="s">
        <v>1910</v>
      </c>
      <c r="F279" s="44" t="s">
        <v>1482</v>
      </c>
      <c r="G279" s="29" t="s">
        <v>836</v>
      </c>
      <c r="H279" s="32">
        <v>-5.873396559650053</v>
      </c>
      <c r="I279" s="32">
        <v>-0.4312589509221958</v>
      </c>
      <c r="J279" s="45" t="s">
        <v>1911</v>
      </c>
      <c r="K279" s="29">
        <v>38.7</v>
      </c>
      <c r="L279" s="41">
        <v>83.24516666666666</v>
      </c>
      <c r="M279" s="46">
        <v>27.0</v>
      </c>
      <c r="N279" s="46">
        <v>6.0</v>
      </c>
      <c r="O279" s="47">
        <v>-0.8308438802137024</v>
      </c>
      <c r="P279" s="47">
        <v>-0.07059255345083788</v>
      </c>
      <c r="Q279" s="47">
        <v>-0.14557196414781423</v>
      </c>
      <c r="R279" s="47">
        <v>-1.5515754847697716</v>
      </c>
      <c r="S279" s="47">
        <v>-0.17774134764280144</v>
      </c>
      <c r="T279" s="47">
        <v>-0.32313812393396013</v>
      </c>
      <c r="U279" s="47">
        <v>-0.7343587237082617</v>
      </c>
      <c r="V279" s="47">
        <v>1.2225373300084763</v>
      </c>
      <c r="W279" s="47">
        <v>-1.4521934065215703</v>
      </c>
      <c r="X279" s="47">
        <v>-1.8099184052698094</v>
      </c>
      <c r="Y279" s="50" t="s">
        <v>69</v>
      </c>
      <c r="Z279" s="50" t="s">
        <v>69</v>
      </c>
      <c r="AA279" s="50" t="s">
        <v>69</v>
      </c>
      <c r="AB279" s="50" t="s">
        <v>69</v>
      </c>
      <c r="AC279" s="34" t="str">
        <f t="shared" ref="AC279:AP279" si="279">LET(
  skater, IFERROR(INDEX(AllProj, MATCH($E279, AllProjNames, 0), MATCH(AC$2, AllProjCats, 0) + 1), ""),
  goalie, IFERROR(INDEX(AllGProj, MATCH($E279, AllGProjNames, 0), MATCH(AC$2, AllGProjCats, 0) + 1), ""),
  val, IF(skater &lt;&gt; "", skater, goalie),
  IF(OR($E279="", AC$2="", val=""), "", val * AC$1)
)</f>
        <v/>
      </c>
      <c r="AD279" s="34" t="str">
        <f t="shared" si="279"/>
        <v/>
      </c>
      <c r="AE279" s="34" t="str">
        <f t="shared" si="279"/>
        <v/>
      </c>
      <c r="AF279" s="34" t="str">
        <f t="shared" si="279"/>
        <v/>
      </c>
      <c r="AG279" s="34" t="str">
        <f t="shared" si="279"/>
        <v/>
      </c>
      <c r="AH279" s="34" t="str">
        <f t="shared" si="279"/>
        <v/>
      </c>
      <c r="AI279" s="34" t="str">
        <f t="shared" si="279"/>
        <v/>
      </c>
      <c r="AJ279" s="34" t="str">
        <f t="shared" si="279"/>
        <v/>
      </c>
      <c r="AK279" s="34" t="str">
        <f t="shared" si="279"/>
        <v/>
      </c>
      <c r="AL279" s="34" t="str">
        <f t="shared" si="279"/>
        <v/>
      </c>
      <c r="AM279" s="34" t="str">
        <f t="shared" si="279"/>
        <v/>
      </c>
      <c r="AN279" s="34" t="str">
        <f t="shared" si="279"/>
        <v/>
      </c>
      <c r="AO279" s="34" t="str">
        <f t="shared" si="279"/>
        <v/>
      </c>
      <c r="AP279" s="34" t="str">
        <f t="shared" si="279"/>
        <v/>
      </c>
      <c r="AQ279" s="76" t="s">
        <v>318</v>
      </c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77"/>
      <c r="BD279" s="77"/>
      <c r="BE279" s="77"/>
      <c r="BF279" s="77"/>
      <c r="BG279" s="77"/>
      <c r="BH279" s="77"/>
      <c r="BI279" s="77"/>
      <c r="BJ279" s="77"/>
      <c r="BK279" s="77"/>
      <c r="BL279" s="77"/>
      <c r="BM279" s="78"/>
    </row>
    <row r="280">
      <c r="A280" s="79">
        <v>2.5714285714285716</v>
      </c>
      <c r="B280" s="79" t="b">
        <v>0</v>
      </c>
      <c r="C280" s="79" t="b">
        <f t="shared" si="3"/>
        <v>0</v>
      </c>
      <c r="D280" s="80" t="s">
        <v>1565</v>
      </c>
      <c r="E280" s="81" t="s">
        <v>976</v>
      </c>
      <c r="F280" s="82" t="s">
        <v>854</v>
      </c>
      <c r="G280" s="35" t="s">
        <v>284</v>
      </c>
      <c r="H280" s="37">
        <v>-5.892549283432686</v>
      </c>
      <c r="I280" s="37">
        <v>-0.8544832632496009</v>
      </c>
      <c r="J280" s="83" t="s">
        <v>1912</v>
      </c>
      <c r="K280" s="35">
        <v>34.8</v>
      </c>
      <c r="L280" s="79">
        <v>80.41775</v>
      </c>
      <c r="M280" s="84">
        <v>16.0</v>
      </c>
      <c r="N280" s="84">
        <v>6.0</v>
      </c>
      <c r="O280" s="85">
        <v>-1.3169301203438502</v>
      </c>
      <c r="P280" s="85">
        <v>-0.9037948950110266</v>
      </c>
      <c r="Q280" s="85">
        <v>-0.0015176976545827508</v>
      </c>
      <c r="R280" s="85">
        <v>0.38827475563876923</v>
      </c>
      <c r="S280" s="85">
        <v>-1.5969449047747184</v>
      </c>
      <c r="T280" s="85">
        <v>-0.01635788250113692</v>
      </c>
      <c r="U280" s="85">
        <v>-1.3200720472585674</v>
      </c>
      <c r="V280" s="85">
        <v>0.7162746874165603</v>
      </c>
      <c r="W280" s="85">
        <v>-0.2961259114605618</v>
      </c>
      <c r="X280" s="85">
        <v>-1.5453552674835707</v>
      </c>
      <c r="Y280" s="50" t="s">
        <v>69</v>
      </c>
      <c r="Z280" s="50" t="s">
        <v>69</v>
      </c>
      <c r="AA280" s="50" t="s">
        <v>69</v>
      </c>
      <c r="AB280" s="50" t="s">
        <v>69</v>
      </c>
      <c r="AC280" s="34" t="str">
        <f t="shared" ref="AC280:AP280" si="280">LET(
  skater, IFERROR(INDEX(AllProj, MATCH($E280, AllProjNames, 0), MATCH(AC$2, AllProjCats, 0) + 1), ""),
  goalie, IFERROR(INDEX(AllGProj, MATCH($E280, AllGProjNames, 0), MATCH(AC$2, AllGProjCats, 0) + 1), ""),
  val, IF(skater &lt;&gt; "", skater, goalie),
  IF(OR($E280="", AC$2="", val=""), "", val * AC$1)
)</f>
        <v/>
      </c>
      <c r="AD280" s="34" t="str">
        <f t="shared" si="280"/>
        <v/>
      </c>
      <c r="AE280" s="34" t="str">
        <f t="shared" si="280"/>
        <v/>
      </c>
      <c r="AF280" s="34" t="str">
        <f t="shared" si="280"/>
        <v/>
      </c>
      <c r="AG280" s="34" t="str">
        <f t="shared" si="280"/>
        <v/>
      </c>
      <c r="AH280" s="34" t="str">
        <f t="shared" si="280"/>
        <v/>
      </c>
      <c r="AI280" s="34" t="str">
        <f t="shared" si="280"/>
        <v/>
      </c>
      <c r="AJ280" s="34" t="str">
        <f t="shared" si="280"/>
        <v/>
      </c>
      <c r="AK280" s="34" t="str">
        <f t="shared" si="280"/>
        <v/>
      </c>
      <c r="AL280" s="34" t="str">
        <f t="shared" si="280"/>
        <v/>
      </c>
      <c r="AM280" s="34" t="str">
        <f t="shared" si="280"/>
        <v/>
      </c>
      <c r="AN280" s="34" t="str">
        <f t="shared" si="280"/>
        <v/>
      </c>
      <c r="AO280" s="34" t="str">
        <f t="shared" si="280"/>
        <v/>
      </c>
      <c r="AP280" s="34" t="str">
        <f t="shared" si="280"/>
        <v/>
      </c>
      <c r="AQ280" s="76" t="s">
        <v>319</v>
      </c>
      <c r="AR280" s="77"/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77"/>
      <c r="BD280" s="77"/>
      <c r="BE280" s="77"/>
      <c r="BF280" s="77"/>
      <c r="BG280" s="77"/>
      <c r="BH280" s="77"/>
      <c r="BI280" s="77"/>
      <c r="BJ280" s="77"/>
      <c r="BK280" s="77"/>
      <c r="BL280" s="77"/>
      <c r="BM280" s="78"/>
    </row>
    <row r="281">
      <c r="A281" s="41">
        <v>2.5</v>
      </c>
      <c r="B281" s="41" t="b">
        <v>0</v>
      </c>
      <c r="C281" s="41" t="b">
        <f t="shared" si="3"/>
        <v>0</v>
      </c>
      <c r="D281" s="42" t="s">
        <v>1565</v>
      </c>
      <c r="E281" s="43" t="s">
        <v>916</v>
      </c>
      <c r="F281" s="44" t="s">
        <v>1489</v>
      </c>
      <c r="G281" s="29" t="s">
        <v>830</v>
      </c>
      <c r="H281" s="32">
        <v>-5.897013992685899</v>
      </c>
      <c r="I281" s="32">
        <v>-0.5091338677731603</v>
      </c>
      <c r="J281" s="45" t="s">
        <v>1913</v>
      </c>
      <c r="K281" s="29">
        <v>32.3</v>
      </c>
      <c r="L281" s="41">
        <v>76.97538461538463</v>
      </c>
      <c r="M281" s="46">
        <v>28.0</v>
      </c>
      <c r="N281" s="46">
        <v>7.0</v>
      </c>
      <c r="O281" s="47">
        <v>-1.0054393084827464</v>
      </c>
      <c r="P281" s="47">
        <v>-1.518307497093919</v>
      </c>
      <c r="Q281" s="47">
        <v>-1.6417291611058626</v>
      </c>
      <c r="R281" s="47">
        <v>-0.44246472941715537</v>
      </c>
      <c r="S281" s="47">
        <v>-1.5491457683498493</v>
      </c>
      <c r="T281" s="47">
        <v>1.2643683883224421</v>
      </c>
      <c r="U281" s="47">
        <v>-1.0811417744321068</v>
      </c>
      <c r="V281" s="47">
        <v>0.9092645954233636</v>
      </c>
      <c r="W281" s="47">
        <v>0.3383389272282344</v>
      </c>
      <c r="X281" s="47">
        <v>-1.170757664778299</v>
      </c>
      <c r="Y281" s="50" t="s">
        <v>69</v>
      </c>
      <c r="Z281" s="50" t="s">
        <v>69</v>
      </c>
      <c r="AA281" s="50" t="s">
        <v>69</v>
      </c>
      <c r="AB281" s="50" t="s">
        <v>69</v>
      </c>
      <c r="AC281" s="34" t="str">
        <f t="shared" ref="AC281:AP281" si="281">LET(
  skater, IFERROR(INDEX(AllProj, MATCH($E281, AllProjNames, 0), MATCH(AC$2, AllProjCats, 0) + 1), ""),
  goalie, IFERROR(INDEX(AllGProj, MATCH($E281, AllGProjNames, 0), MATCH(AC$2, AllGProjCats, 0) + 1), ""),
  val, IF(skater &lt;&gt; "", skater, goalie),
  IF(OR($E281="", AC$2="", val=""), "", val * AC$1)
)</f>
        <v/>
      </c>
      <c r="AD281" s="34" t="str">
        <f t="shared" si="281"/>
        <v/>
      </c>
      <c r="AE281" s="34" t="str">
        <f t="shared" si="281"/>
        <v/>
      </c>
      <c r="AF281" s="34" t="str">
        <f t="shared" si="281"/>
        <v/>
      </c>
      <c r="AG281" s="34" t="str">
        <f t="shared" si="281"/>
        <v/>
      </c>
      <c r="AH281" s="34" t="str">
        <f t="shared" si="281"/>
        <v/>
      </c>
      <c r="AI281" s="34" t="str">
        <f t="shared" si="281"/>
        <v/>
      </c>
      <c r="AJ281" s="34" t="str">
        <f t="shared" si="281"/>
        <v/>
      </c>
      <c r="AK281" s="34" t="str">
        <f t="shared" si="281"/>
        <v/>
      </c>
      <c r="AL281" s="34" t="str">
        <f t="shared" si="281"/>
        <v/>
      </c>
      <c r="AM281" s="34" t="str">
        <f t="shared" si="281"/>
        <v/>
      </c>
      <c r="AN281" s="34" t="str">
        <f t="shared" si="281"/>
        <v/>
      </c>
      <c r="AO281" s="34" t="str">
        <f t="shared" si="281"/>
        <v/>
      </c>
      <c r="AP281" s="34" t="str">
        <f t="shared" si="281"/>
        <v/>
      </c>
      <c r="AQ281" s="76" t="s">
        <v>320</v>
      </c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77"/>
      <c r="BD281" s="77"/>
      <c r="BE281" s="77"/>
      <c r="BF281" s="77"/>
      <c r="BG281" s="77"/>
      <c r="BH281" s="77"/>
      <c r="BI281" s="77"/>
      <c r="BJ281" s="77"/>
      <c r="BK281" s="77"/>
      <c r="BL281" s="77"/>
      <c r="BM281" s="78"/>
    </row>
    <row r="282">
      <c r="A282" s="79">
        <v>2.5714285714285716</v>
      </c>
      <c r="B282" s="79" t="b">
        <v>0</v>
      </c>
      <c r="C282" s="79" t="b">
        <f t="shared" si="3"/>
        <v>0</v>
      </c>
      <c r="D282" s="80" t="s">
        <v>1565</v>
      </c>
      <c r="E282" s="81" t="s">
        <v>1037</v>
      </c>
      <c r="F282" s="82" t="s">
        <v>1436</v>
      </c>
      <c r="G282" s="35" t="s">
        <v>284</v>
      </c>
      <c r="H282" s="37">
        <v>-5.9810654042610585</v>
      </c>
      <c r="I282" s="37">
        <v>-0.9429993840779733</v>
      </c>
      <c r="J282" s="83" t="s">
        <v>1914</v>
      </c>
      <c r="K282" s="35">
        <v>33.5</v>
      </c>
      <c r="L282" s="79">
        <v>79.72395833333333</v>
      </c>
      <c r="M282" s="84">
        <v>26.0</v>
      </c>
      <c r="N282" s="84">
        <v>5.0</v>
      </c>
      <c r="O282" s="85">
        <v>-1.3219025547476198</v>
      </c>
      <c r="P282" s="85">
        <v>-1.2042484812477396</v>
      </c>
      <c r="Q282" s="85">
        <v>-1.0917755449902649</v>
      </c>
      <c r="R282" s="85">
        <v>-0.6902384526325144</v>
      </c>
      <c r="S282" s="85">
        <v>-1.6557867163943585</v>
      </c>
      <c r="T282" s="85">
        <v>0.3117033371947014</v>
      </c>
      <c r="U282" s="85">
        <v>-1.684882543082913</v>
      </c>
      <c r="V282" s="85">
        <v>1.5981822323645472</v>
      </c>
      <c r="W282" s="85">
        <v>0.6857292925774251</v>
      </c>
      <c r="X282" s="85">
        <v>-0.9278459733023222</v>
      </c>
      <c r="Y282" s="50" t="s">
        <v>69</v>
      </c>
      <c r="Z282" s="50" t="s">
        <v>69</v>
      </c>
      <c r="AA282" s="50" t="s">
        <v>69</v>
      </c>
      <c r="AB282" s="50" t="s">
        <v>69</v>
      </c>
      <c r="AC282" s="34" t="str">
        <f t="shared" ref="AC282:AP282" si="282">LET(
  skater, IFERROR(INDEX(AllProj, MATCH($E282, AllProjNames, 0), MATCH(AC$2, AllProjCats, 0) + 1), ""),
  goalie, IFERROR(INDEX(AllGProj, MATCH($E282, AllGProjNames, 0), MATCH(AC$2, AllGProjCats, 0) + 1), ""),
  val, IF(skater &lt;&gt; "", skater, goalie),
  IF(OR($E282="", AC$2="", val=""), "", val * AC$1)
)</f>
        <v/>
      </c>
      <c r="AD282" s="34" t="str">
        <f t="shared" si="282"/>
        <v/>
      </c>
      <c r="AE282" s="34" t="str">
        <f t="shared" si="282"/>
        <v/>
      </c>
      <c r="AF282" s="34" t="str">
        <f t="shared" si="282"/>
        <v/>
      </c>
      <c r="AG282" s="34" t="str">
        <f t="shared" si="282"/>
        <v/>
      </c>
      <c r="AH282" s="34" t="str">
        <f t="shared" si="282"/>
        <v/>
      </c>
      <c r="AI282" s="34" t="str">
        <f t="shared" si="282"/>
        <v/>
      </c>
      <c r="AJ282" s="34" t="str">
        <f t="shared" si="282"/>
        <v/>
      </c>
      <c r="AK282" s="34" t="str">
        <f t="shared" si="282"/>
        <v/>
      </c>
      <c r="AL282" s="34" t="str">
        <f t="shared" si="282"/>
        <v/>
      </c>
      <c r="AM282" s="34" t="str">
        <f t="shared" si="282"/>
        <v/>
      </c>
      <c r="AN282" s="34" t="str">
        <f t="shared" si="282"/>
        <v/>
      </c>
      <c r="AO282" s="34" t="str">
        <f t="shared" si="282"/>
        <v/>
      </c>
      <c r="AP282" s="34" t="str">
        <f t="shared" si="282"/>
        <v/>
      </c>
      <c r="AQ282" s="76" t="s">
        <v>321</v>
      </c>
      <c r="AR282" s="77"/>
      <c r="AS282" s="77"/>
      <c r="AT282" s="77"/>
      <c r="AU282" s="77"/>
      <c r="AV282" s="77"/>
      <c r="AW282" s="77"/>
      <c r="AX282" s="77"/>
      <c r="AY282" s="77"/>
      <c r="AZ282" s="77"/>
      <c r="BA282" s="77"/>
      <c r="BB282" s="77"/>
      <c r="BC282" s="77"/>
      <c r="BD282" s="77"/>
      <c r="BE282" s="77"/>
      <c r="BF282" s="77"/>
      <c r="BG282" s="77"/>
      <c r="BH282" s="77"/>
      <c r="BI282" s="77"/>
      <c r="BJ282" s="77"/>
      <c r="BK282" s="77"/>
      <c r="BL282" s="77"/>
      <c r="BM282" s="78"/>
    </row>
    <row r="283">
      <c r="A283" s="41">
        <v>2.5</v>
      </c>
      <c r="B283" s="41" t="b">
        <v>0</v>
      </c>
      <c r="C283" s="41" t="b">
        <f t="shared" si="3"/>
        <v>0</v>
      </c>
      <c r="D283" s="42" t="s">
        <v>1565</v>
      </c>
      <c r="E283" s="43" t="s">
        <v>891</v>
      </c>
      <c r="F283" s="44" t="s">
        <v>279</v>
      </c>
      <c r="G283" s="29" t="s">
        <v>830</v>
      </c>
      <c r="H283" s="32">
        <v>-5.98967369527129</v>
      </c>
      <c r="I283" s="32">
        <v>-0.6017935703585513</v>
      </c>
      <c r="J283" s="45" t="s">
        <v>1915</v>
      </c>
      <c r="K283" s="29">
        <v>27.3</v>
      </c>
      <c r="L283" s="41">
        <v>83.111</v>
      </c>
      <c r="M283" s="46">
        <v>34.0</v>
      </c>
      <c r="N283" s="46">
        <v>7.0</v>
      </c>
      <c r="O283" s="47">
        <v>-1.0416633900942487</v>
      </c>
      <c r="P283" s="47">
        <v>-1.6038355526709862</v>
      </c>
      <c r="Q283" s="47">
        <v>0.3748556250368978</v>
      </c>
      <c r="R283" s="47">
        <v>-0.9906463859184347</v>
      </c>
      <c r="S283" s="47">
        <v>-1.6683973139546129</v>
      </c>
      <c r="T283" s="47">
        <v>0.3912571024770273</v>
      </c>
      <c r="U283" s="47">
        <v>-1.5532466616707774</v>
      </c>
      <c r="V283" s="47">
        <v>0.0</v>
      </c>
      <c r="W283" s="47">
        <v>0.8748114585473683</v>
      </c>
      <c r="X283" s="47">
        <v>-0.7728085770235238</v>
      </c>
      <c r="Y283" s="50" t="s">
        <v>69</v>
      </c>
      <c r="Z283" s="50" t="s">
        <v>69</v>
      </c>
      <c r="AA283" s="50" t="s">
        <v>69</v>
      </c>
      <c r="AB283" s="50" t="s">
        <v>69</v>
      </c>
      <c r="AC283" s="34" t="str">
        <f t="shared" ref="AC283:AP283" si="283">LET(
  skater, IFERROR(INDEX(AllProj, MATCH($E283, AllProjNames, 0), MATCH(AC$2, AllProjCats, 0) + 1), ""),
  goalie, IFERROR(INDEX(AllGProj, MATCH($E283, AllGProjNames, 0), MATCH(AC$2, AllGProjCats, 0) + 1), ""),
  val, IF(skater &lt;&gt; "", skater, goalie),
  IF(OR($E283="", AC$2="", val=""), "", val * AC$1)
)</f>
        <v/>
      </c>
      <c r="AD283" s="34" t="str">
        <f t="shared" si="283"/>
        <v/>
      </c>
      <c r="AE283" s="34" t="str">
        <f t="shared" si="283"/>
        <v/>
      </c>
      <c r="AF283" s="34" t="str">
        <f t="shared" si="283"/>
        <v/>
      </c>
      <c r="AG283" s="34" t="str">
        <f t="shared" si="283"/>
        <v/>
      </c>
      <c r="AH283" s="34" t="str">
        <f t="shared" si="283"/>
        <v/>
      </c>
      <c r="AI283" s="34" t="str">
        <f t="shared" si="283"/>
        <v/>
      </c>
      <c r="AJ283" s="34" t="str">
        <f t="shared" si="283"/>
        <v/>
      </c>
      <c r="AK283" s="34" t="str">
        <f t="shared" si="283"/>
        <v/>
      </c>
      <c r="AL283" s="34" t="str">
        <f t="shared" si="283"/>
        <v/>
      </c>
      <c r="AM283" s="34" t="str">
        <f t="shared" si="283"/>
        <v/>
      </c>
      <c r="AN283" s="34" t="str">
        <f t="shared" si="283"/>
        <v/>
      </c>
      <c r="AO283" s="34" t="str">
        <f t="shared" si="283"/>
        <v/>
      </c>
      <c r="AP283" s="34" t="str">
        <f t="shared" si="283"/>
        <v/>
      </c>
      <c r="AQ283" s="76" t="s">
        <v>322</v>
      </c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77"/>
      <c r="BD283" s="77"/>
      <c r="BE283" s="77"/>
      <c r="BF283" s="77"/>
      <c r="BG283" s="77"/>
      <c r="BH283" s="77"/>
      <c r="BI283" s="77"/>
      <c r="BJ283" s="77"/>
      <c r="BK283" s="77"/>
      <c r="BL283" s="77"/>
      <c r="BM283" s="78"/>
    </row>
    <row r="284">
      <c r="A284" s="79" t="s">
        <v>69</v>
      </c>
      <c r="B284" s="79" t="b">
        <v>0</v>
      </c>
      <c r="C284" s="79" t="b">
        <f t="shared" si="3"/>
        <v>1</v>
      </c>
      <c r="D284" s="80" t="s">
        <v>827</v>
      </c>
      <c r="E284" s="81" t="s">
        <v>1916</v>
      </c>
      <c r="F284" s="82" t="s">
        <v>1411</v>
      </c>
      <c r="G284" s="35" t="s">
        <v>837</v>
      </c>
      <c r="H284" s="37">
        <v>-6.008578577162603</v>
      </c>
      <c r="I284" s="37">
        <v>-0.47871980523370183</v>
      </c>
      <c r="J284" s="83" t="s">
        <v>1917</v>
      </c>
      <c r="K284" s="35">
        <v>20.2</v>
      </c>
      <c r="L284" s="79">
        <v>77.94117647058823</v>
      </c>
      <c r="M284" s="84">
        <v>33.0</v>
      </c>
      <c r="N284" s="84">
        <v>8.0</v>
      </c>
      <c r="O284" s="85">
        <v>-1.233316738156891</v>
      </c>
      <c r="P284" s="85">
        <v>-0.0788613220088603</v>
      </c>
      <c r="Q284" s="85">
        <v>-1.153490877122997</v>
      </c>
      <c r="R284" s="85">
        <v>-0.4095267165144303</v>
      </c>
      <c r="S284" s="85">
        <v>0.13583688598695337</v>
      </c>
      <c r="T284" s="85">
        <v>-0.7837106830724182</v>
      </c>
      <c r="U284" s="85">
        <v>-0.7917900360743662</v>
      </c>
      <c r="V284" s="85">
        <v>0.0</v>
      </c>
      <c r="W284" s="85">
        <v>-0.878810685127403</v>
      </c>
      <c r="X284" s="85">
        <v>-0.8149084050721903</v>
      </c>
      <c r="Y284" s="50" t="s">
        <v>69</v>
      </c>
      <c r="Z284" s="50" t="s">
        <v>69</v>
      </c>
      <c r="AA284" s="50" t="s">
        <v>69</v>
      </c>
      <c r="AB284" s="50" t="s">
        <v>69</v>
      </c>
      <c r="AC284" s="34" t="str">
        <f t="shared" ref="AC284:AP284" si="284">LET(
  skater, IFERROR(INDEX(AllProj, MATCH($E284, AllProjNames, 0), MATCH(AC$2, AllProjCats, 0) + 1), ""),
  goalie, IFERROR(INDEX(AllGProj, MATCH($E284, AllGProjNames, 0), MATCH(AC$2, AllGProjCats, 0) + 1), ""),
  val, IF(skater &lt;&gt; "", skater, goalie),
  IF(OR($E284="", AC$2="", val=""), "", val * AC$1)
)</f>
        <v/>
      </c>
      <c r="AD284" s="34" t="str">
        <f t="shared" si="284"/>
        <v/>
      </c>
      <c r="AE284" s="34" t="str">
        <f t="shared" si="284"/>
        <v/>
      </c>
      <c r="AF284" s="34" t="str">
        <f t="shared" si="284"/>
        <v/>
      </c>
      <c r="AG284" s="34" t="str">
        <f t="shared" si="284"/>
        <v/>
      </c>
      <c r="AH284" s="34" t="str">
        <f t="shared" si="284"/>
        <v/>
      </c>
      <c r="AI284" s="34" t="str">
        <f t="shared" si="284"/>
        <v/>
      </c>
      <c r="AJ284" s="34" t="str">
        <f t="shared" si="284"/>
        <v/>
      </c>
      <c r="AK284" s="34" t="str">
        <f t="shared" si="284"/>
        <v/>
      </c>
      <c r="AL284" s="34" t="str">
        <f t="shared" si="284"/>
        <v/>
      </c>
      <c r="AM284" s="34" t="str">
        <f t="shared" si="284"/>
        <v/>
      </c>
      <c r="AN284" s="34" t="str">
        <f t="shared" si="284"/>
        <v/>
      </c>
      <c r="AO284" s="34" t="str">
        <f t="shared" si="284"/>
        <v/>
      </c>
      <c r="AP284" s="34" t="str">
        <f t="shared" si="284"/>
        <v/>
      </c>
      <c r="AQ284" s="76" t="s">
        <v>323</v>
      </c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77"/>
      <c r="BD284" s="77"/>
      <c r="BE284" s="77"/>
      <c r="BF284" s="77"/>
      <c r="BG284" s="77"/>
      <c r="BH284" s="77"/>
      <c r="BI284" s="77"/>
      <c r="BJ284" s="77"/>
      <c r="BK284" s="77"/>
      <c r="BL284" s="77"/>
      <c r="BM284" s="78"/>
    </row>
    <row r="285">
      <c r="A285" s="41">
        <v>2.5</v>
      </c>
      <c r="B285" s="41" t="b">
        <v>0</v>
      </c>
      <c r="C285" s="41" t="b">
        <f t="shared" si="3"/>
        <v>0</v>
      </c>
      <c r="D285" s="42" t="s">
        <v>1565</v>
      </c>
      <c r="E285" s="43" t="s">
        <v>907</v>
      </c>
      <c r="F285" s="44" t="s">
        <v>1512</v>
      </c>
      <c r="G285" s="29" t="s">
        <v>835</v>
      </c>
      <c r="H285" s="32">
        <v>-6.052561888936882</v>
      </c>
      <c r="I285" s="32">
        <v>-0.6646817640241434</v>
      </c>
      <c r="J285" s="45" t="s">
        <v>1918</v>
      </c>
      <c r="K285" s="29">
        <v>25.7</v>
      </c>
      <c r="L285" s="41">
        <v>81.6094117647059</v>
      </c>
      <c r="M285" s="46">
        <v>21.0</v>
      </c>
      <c r="N285" s="46">
        <v>7.0</v>
      </c>
      <c r="O285" s="47">
        <v>-0.2503705841727103</v>
      </c>
      <c r="P285" s="47">
        <v>-0.32595264848891964</v>
      </c>
      <c r="Q285" s="47">
        <v>-0.9196436183429955</v>
      </c>
      <c r="R285" s="47">
        <v>-0.7104086582894704</v>
      </c>
      <c r="S285" s="47">
        <v>-0.8273377564855965</v>
      </c>
      <c r="T285" s="47">
        <v>0.31936063844134593</v>
      </c>
      <c r="U285" s="47">
        <v>-0.343752105656833</v>
      </c>
      <c r="V285" s="47">
        <v>0.13318005267815927</v>
      </c>
      <c r="W285" s="47">
        <v>-1.7262409989593874</v>
      </c>
      <c r="X285" s="47">
        <v>-1.4013962096604757</v>
      </c>
      <c r="Y285" s="50" t="s">
        <v>69</v>
      </c>
      <c r="Z285" s="50" t="s">
        <v>69</v>
      </c>
      <c r="AA285" s="50" t="s">
        <v>69</v>
      </c>
      <c r="AB285" s="50" t="s">
        <v>69</v>
      </c>
      <c r="AC285" s="34" t="str">
        <f t="shared" ref="AC285:AP285" si="285">LET(
  skater, IFERROR(INDEX(AllProj, MATCH($E285, AllProjNames, 0), MATCH(AC$2, AllProjCats, 0) + 1), ""),
  goalie, IFERROR(INDEX(AllGProj, MATCH($E285, AllGProjNames, 0), MATCH(AC$2, AllGProjCats, 0) + 1), ""),
  val, IF(skater &lt;&gt; "", skater, goalie),
  IF(OR($E285="", AC$2="", val=""), "", val * AC$1)
)</f>
        <v/>
      </c>
      <c r="AD285" s="34" t="str">
        <f t="shared" si="285"/>
        <v/>
      </c>
      <c r="AE285" s="34" t="str">
        <f t="shared" si="285"/>
        <v/>
      </c>
      <c r="AF285" s="34" t="str">
        <f t="shared" si="285"/>
        <v/>
      </c>
      <c r="AG285" s="34" t="str">
        <f t="shared" si="285"/>
        <v/>
      </c>
      <c r="AH285" s="34" t="str">
        <f t="shared" si="285"/>
        <v/>
      </c>
      <c r="AI285" s="34" t="str">
        <f t="shared" si="285"/>
        <v/>
      </c>
      <c r="AJ285" s="34" t="str">
        <f t="shared" si="285"/>
        <v/>
      </c>
      <c r="AK285" s="34" t="str">
        <f t="shared" si="285"/>
        <v/>
      </c>
      <c r="AL285" s="34" t="str">
        <f t="shared" si="285"/>
        <v/>
      </c>
      <c r="AM285" s="34" t="str">
        <f t="shared" si="285"/>
        <v/>
      </c>
      <c r="AN285" s="34" t="str">
        <f t="shared" si="285"/>
        <v/>
      </c>
      <c r="AO285" s="34" t="str">
        <f t="shared" si="285"/>
        <v/>
      </c>
      <c r="AP285" s="34" t="str">
        <f t="shared" si="285"/>
        <v/>
      </c>
      <c r="AQ285" s="76" t="s">
        <v>324</v>
      </c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8"/>
    </row>
    <row r="286">
      <c r="A286" s="79">
        <v>2.5714285714285716</v>
      </c>
      <c r="B286" s="79" t="b">
        <v>0</v>
      </c>
      <c r="C286" s="79" t="b">
        <f t="shared" si="3"/>
        <v>0</v>
      </c>
      <c r="D286" s="80" t="s">
        <v>1565</v>
      </c>
      <c r="E286" s="81" t="s">
        <v>960</v>
      </c>
      <c r="F286" s="82" t="s">
        <v>1043</v>
      </c>
      <c r="G286" s="35" t="s">
        <v>830</v>
      </c>
      <c r="H286" s="37">
        <v>-6.071034706848666</v>
      </c>
      <c r="I286" s="37">
        <v>-0.683154581935927</v>
      </c>
      <c r="J286" s="83" t="s">
        <v>1919</v>
      </c>
      <c r="K286" s="35">
        <v>28.5</v>
      </c>
      <c r="L286" s="79">
        <v>78.89178571428572</v>
      </c>
      <c r="M286" s="84">
        <v>28.0</v>
      </c>
      <c r="N286" s="84">
        <v>6.0</v>
      </c>
      <c r="O286" s="85">
        <v>-0.391286771097284</v>
      </c>
      <c r="P286" s="85">
        <v>-1.3179185020257658</v>
      </c>
      <c r="Q286" s="85">
        <v>-0.15839709611610275</v>
      </c>
      <c r="R286" s="85">
        <v>-0.027109429088128436</v>
      </c>
      <c r="S286" s="85">
        <v>-1.3074027538121515</v>
      </c>
      <c r="T286" s="85">
        <v>-0.2669051270038321</v>
      </c>
      <c r="U286" s="85">
        <v>-1.3714691684435107</v>
      </c>
      <c r="V286" s="85">
        <v>0.35468720625695493</v>
      </c>
      <c r="W286" s="85">
        <v>-0.09383776278959828</v>
      </c>
      <c r="X286" s="85">
        <v>-1.491395302729247</v>
      </c>
      <c r="Y286" s="50" t="s">
        <v>69</v>
      </c>
      <c r="Z286" s="50" t="s">
        <v>69</v>
      </c>
      <c r="AA286" s="50" t="s">
        <v>69</v>
      </c>
      <c r="AB286" s="50" t="s">
        <v>69</v>
      </c>
      <c r="AC286" s="34" t="str">
        <f t="shared" ref="AC286:AP286" si="286">LET(
  skater, IFERROR(INDEX(AllProj, MATCH($E286, AllProjNames, 0), MATCH(AC$2, AllProjCats, 0) + 1), ""),
  goalie, IFERROR(INDEX(AllGProj, MATCH($E286, AllGProjNames, 0), MATCH(AC$2, AllGProjCats, 0) + 1), ""),
  val, IF(skater &lt;&gt; "", skater, goalie),
  IF(OR($E286="", AC$2="", val=""), "", val * AC$1)
)</f>
        <v/>
      </c>
      <c r="AD286" s="34" t="str">
        <f t="shared" si="286"/>
        <v/>
      </c>
      <c r="AE286" s="34" t="str">
        <f t="shared" si="286"/>
        <v/>
      </c>
      <c r="AF286" s="34" t="str">
        <f t="shared" si="286"/>
        <v/>
      </c>
      <c r="AG286" s="34" t="str">
        <f t="shared" si="286"/>
        <v/>
      </c>
      <c r="AH286" s="34" t="str">
        <f t="shared" si="286"/>
        <v/>
      </c>
      <c r="AI286" s="34" t="str">
        <f t="shared" si="286"/>
        <v/>
      </c>
      <c r="AJ286" s="34" t="str">
        <f t="shared" si="286"/>
        <v/>
      </c>
      <c r="AK286" s="34" t="str">
        <f t="shared" si="286"/>
        <v/>
      </c>
      <c r="AL286" s="34" t="str">
        <f t="shared" si="286"/>
        <v/>
      </c>
      <c r="AM286" s="34" t="str">
        <f t="shared" si="286"/>
        <v/>
      </c>
      <c r="AN286" s="34" t="str">
        <f t="shared" si="286"/>
        <v/>
      </c>
      <c r="AO286" s="34" t="str">
        <f t="shared" si="286"/>
        <v/>
      </c>
      <c r="AP286" s="34" t="str">
        <f t="shared" si="286"/>
        <v/>
      </c>
      <c r="AQ286" s="76" t="s">
        <v>325</v>
      </c>
      <c r="AR286" s="77"/>
      <c r="AS286" s="77"/>
      <c r="AT286" s="77"/>
      <c r="AU286" s="77"/>
      <c r="AV286" s="77"/>
      <c r="AW286" s="77"/>
      <c r="AX286" s="77"/>
      <c r="AY286" s="77"/>
      <c r="AZ286" s="77"/>
      <c r="BA286" s="77"/>
      <c r="BB286" s="77"/>
      <c r="BC286" s="77"/>
      <c r="BD286" s="77"/>
      <c r="BE286" s="77"/>
      <c r="BF286" s="77"/>
      <c r="BG286" s="77"/>
      <c r="BH286" s="77"/>
      <c r="BI286" s="77"/>
      <c r="BJ286" s="77"/>
      <c r="BK286" s="77"/>
      <c r="BL286" s="77"/>
      <c r="BM286" s="78"/>
    </row>
    <row r="287">
      <c r="A287" s="41">
        <v>2.5714285714285716</v>
      </c>
      <c r="B287" s="41" t="b">
        <v>0</v>
      </c>
      <c r="C287" s="41" t="b">
        <f t="shared" si="3"/>
        <v>0</v>
      </c>
      <c r="D287" s="42" t="s">
        <v>1565</v>
      </c>
      <c r="E287" s="43" t="s">
        <v>945</v>
      </c>
      <c r="F287" s="44" t="s">
        <v>930</v>
      </c>
      <c r="G287" s="29" t="s">
        <v>837</v>
      </c>
      <c r="H287" s="32">
        <v>-6.084517821401082</v>
      </c>
      <c r="I287" s="32">
        <v>-0.554659049472181</v>
      </c>
      <c r="J287" s="45" t="s">
        <v>1920</v>
      </c>
      <c r="K287" s="29">
        <v>30.4</v>
      </c>
      <c r="L287" s="41">
        <v>78.71428571428571</v>
      </c>
      <c r="M287" s="46">
        <v>29.0</v>
      </c>
      <c r="N287" s="46">
        <v>7.0</v>
      </c>
      <c r="O287" s="47">
        <v>-2.1360085672675835</v>
      </c>
      <c r="P287" s="47">
        <v>-1.6183269735638037</v>
      </c>
      <c r="Q287" s="47">
        <v>0.3200021235348846</v>
      </c>
      <c r="R287" s="47">
        <v>0.6183573304754862</v>
      </c>
      <c r="S287" s="47">
        <v>-1.6546020245760928</v>
      </c>
      <c r="T287" s="47">
        <v>-0.16952108464970286</v>
      </c>
      <c r="U287" s="47">
        <v>-1.7754154334849415</v>
      </c>
      <c r="V287" s="47">
        <v>0.0</v>
      </c>
      <c r="W287" s="47">
        <v>0.1255730125084059</v>
      </c>
      <c r="X287" s="47">
        <v>0.20542379562226504</v>
      </c>
      <c r="Y287" s="50" t="s">
        <v>69</v>
      </c>
      <c r="Z287" s="50" t="s">
        <v>69</v>
      </c>
      <c r="AA287" s="50" t="s">
        <v>69</v>
      </c>
      <c r="AB287" s="50" t="s">
        <v>69</v>
      </c>
      <c r="AC287" s="34" t="str">
        <f t="shared" ref="AC287:AP287" si="287">LET(
  skater, IFERROR(INDEX(AllProj, MATCH($E287, AllProjNames, 0), MATCH(AC$2, AllProjCats, 0) + 1), ""),
  goalie, IFERROR(INDEX(AllGProj, MATCH($E287, AllGProjNames, 0), MATCH(AC$2, AllGProjCats, 0) + 1), ""),
  val, IF(skater &lt;&gt; "", skater, goalie),
  IF(OR($E287="", AC$2="", val=""), "", val * AC$1)
)</f>
        <v/>
      </c>
      <c r="AD287" s="34" t="str">
        <f t="shared" si="287"/>
        <v/>
      </c>
      <c r="AE287" s="34" t="str">
        <f t="shared" si="287"/>
        <v/>
      </c>
      <c r="AF287" s="34" t="str">
        <f t="shared" si="287"/>
        <v/>
      </c>
      <c r="AG287" s="34" t="str">
        <f t="shared" si="287"/>
        <v/>
      </c>
      <c r="AH287" s="34" t="str">
        <f t="shared" si="287"/>
        <v/>
      </c>
      <c r="AI287" s="34" t="str">
        <f t="shared" si="287"/>
        <v/>
      </c>
      <c r="AJ287" s="34" t="str">
        <f t="shared" si="287"/>
        <v/>
      </c>
      <c r="AK287" s="34" t="str">
        <f t="shared" si="287"/>
        <v/>
      </c>
      <c r="AL287" s="34" t="str">
        <f t="shared" si="287"/>
        <v/>
      </c>
      <c r="AM287" s="34" t="str">
        <f t="shared" si="287"/>
        <v/>
      </c>
      <c r="AN287" s="34" t="str">
        <f t="shared" si="287"/>
        <v/>
      </c>
      <c r="AO287" s="34" t="str">
        <f t="shared" si="287"/>
        <v/>
      </c>
      <c r="AP287" s="34" t="str">
        <f t="shared" si="287"/>
        <v/>
      </c>
      <c r="AQ287" s="76" t="s">
        <v>326</v>
      </c>
      <c r="AR287" s="77"/>
      <c r="AS287" s="77"/>
      <c r="AT287" s="77"/>
      <c r="AU287" s="77"/>
      <c r="AV287" s="77"/>
      <c r="AW287" s="77"/>
      <c r="AX287" s="77"/>
      <c r="AY287" s="77"/>
      <c r="AZ287" s="77"/>
      <c r="BA287" s="77"/>
      <c r="BB287" s="77"/>
      <c r="BC287" s="77"/>
      <c r="BD287" s="77"/>
      <c r="BE287" s="77"/>
      <c r="BF287" s="77"/>
      <c r="BG287" s="77"/>
      <c r="BH287" s="77"/>
      <c r="BI287" s="77"/>
      <c r="BJ287" s="77"/>
      <c r="BK287" s="77"/>
      <c r="BL287" s="77"/>
      <c r="BM287" s="78"/>
    </row>
    <row r="288">
      <c r="A288" s="79">
        <v>2.5714285714285716</v>
      </c>
      <c r="B288" s="79" t="b">
        <v>0</v>
      </c>
      <c r="C288" s="79" t="b">
        <f t="shared" si="3"/>
        <v>0</v>
      </c>
      <c r="D288" s="80" t="s">
        <v>1565</v>
      </c>
      <c r="E288" s="81" t="s">
        <v>926</v>
      </c>
      <c r="F288" s="82" t="s">
        <v>1548</v>
      </c>
      <c r="G288" s="35" t="s">
        <v>837</v>
      </c>
      <c r="H288" s="37">
        <v>-6.096710362672154</v>
      </c>
      <c r="I288" s="37">
        <v>-0.5668515907432532</v>
      </c>
      <c r="J288" s="83" t="s">
        <v>1921</v>
      </c>
      <c r="K288" s="35">
        <v>25.5</v>
      </c>
      <c r="L288" s="79">
        <v>78.0</v>
      </c>
      <c r="M288" s="84">
        <v>34.0</v>
      </c>
      <c r="N288" s="84">
        <v>7.0</v>
      </c>
      <c r="O288" s="85">
        <v>-2.1539739435291736</v>
      </c>
      <c r="P288" s="85">
        <v>-1.6206469310559204</v>
      </c>
      <c r="Q288" s="96" t="s">
        <v>69</v>
      </c>
      <c r="R288" s="85">
        <v>0.05881852080654187</v>
      </c>
      <c r="S288" s="96" t="s">
        <v>69</v>
      </c>
      <c r="T288" s="96" t="s">
        <v>69</v>
      </c>
      <c r="U288" s="85">
        <v>-2.2091716075458083</v>
      </c>
      <c r="V288" s="96" t="s">
        <v>69</v>
      </c>
      <c r="W288" s="85">
        <v>-0.4891794760340609</v>
      </c>
      <c r="X288" s="85">
        <v>0.31744307468626687</v>
      </c>
      <c r="Y288" s="50" t="s">
        <v>69</v>
      </c>
      <c r="Z288" s="50" t="s">
        <v>69</v>
      </c>
      <c r="AA288" s="50" t="s">
        <v>69</v>
      </c>
      <c r="AB288" s="50" t="s">
        <v>69</v>
      </c>
      <c r="AC288" s="34" t="str">
        <f t="shared" ref="AC288:AP288" si="288">LET(
  skater, IFERROR(INDEX(AllProj, MATCH($E288, AllProjNames, 0), MATCH(AC$2, AllProjCats, 0) + 1), ""),
  goalie, IFERROR(INDEX(AllGProj, MATCH($E288, AllGProjNames, 0), MATCH(AC$2, AllGProjCats, 0) + 1), ""),
  val, IF(skater &lt;&gt; "", skater, goalie),
  IF(OR($E288="", AC$2="", val=""), "", val * AC$1)
)</f>
        <v/>
      </c>
      <c r="AD288" s="34" t="str">
        <f t="shared" si="288"/>
        <v/>
      </c>
      <c r="AE288" s="34" t="str">
        <f t="shared" si="288"/>
        <v/>
      </c>
      <c r="AF288" s="34" t="str">
        <f t="shared" si="288"/>
        <v/>
      </c>
      <c r="AG288" s="34" t="str">
        <f t="shared" si="288"/>
        <v/>
      </c>
      <c r="AH288" s="34" t="str">
        <f t="shared" si="288"/>
        <v/>
      </c>
      <c r="AI288" s="34" t="str">
        <f t="shared" si="288"/>
        <v/>
      </c>
      <c r="AJ288" s="34" t="str">
        <f t="shared" si="288"/>
        <v/>
      </c>
      <c r="AK288" s="34" t="str">
        <f t="shared" si="288"/>
        <v/>
      </c>
      <c r="AL288" s="34" t="str">
        <f t="shared" si="288"/>
        <v/>
      </c>
      <c r="AM288" s="34" t="str">
        <f t="shared" si="288"/>
        <v/>
      </c>
      <c r="AN288" s="34" t="str">
        <f t="shared" si="288"/>
        <v/>
      </c>
      <c r="AO288" s="34" t="str">
        <f t="shared" si="288"/>
        <v/>
      </c>
      <c r="AP288" s="34" t="str">
        <f t="shared" si="288"/>
        <v/>
      </c>
      <c r="AQ288" s="76" t="s">
        <v>327</v>
      </c>
      <c r="AR288" s="77"/>
      <c r="AS288" s="77"/>
      <c r="AT288" s="77"/>
      <c r="AU288" s="77"/>
      <c r="AV288" s="77"/>
      <c r="AW288" s="77"/>
      <c r="AX288" s="77"/>
      <c r="AY288" s="77"/>
      <c r="AZ288" s="77"/>
      <c r="BA288" s="77"/>
      <c r="BB288" s="77"/>
      <c r="BC288" s="77"/>
      <c r="BD288" s="77"/>
      <c r="BE288" s="77"/>
      <c r="BF288" s="77"/>
      <c r="BG288" s="77"/>
      <c r="BH288" s="77"/>
      <c r="BI288" s="77"/>
      <c r="BJ288" s="77"/>
      <c r="BK288" s="77"/>
      <c r="BL288" s="77"/>
      <c r="BM288" s="78"/>
    </row>
    <row r="289">
      <c r="A289" s="41" t="s">
        <v>69</v>
      </c>
      <c r="B289" s="41" t="b">
        <v>0</v>
      </c>
      <c r="C289" s="41" t="b">
        <f t="shared" si="3"/>
        <v>1</v>
      </c>
      <c r="D289" s="42" t="s">
        <v>825</v>
      </c>
      <c r="E289" s="43" t="s">
        <v>1922</v>
      </c>
      <c r="F289" s="44" t="s">
        <v>1710</v>
      </c>
      <c r="G289" s="29" t="s">
        <v>284</v>
      </c>
      <c r="H289" s="32">
        <v>-6.155613519820229</v>
      </c>
      <c r="I289" s="32">
        <v>-1.1175474996371442</v>
      </c>
      <c r="J289" s="45" t="s">
        <v>1923</v>
      </c>
      <c r="K289" s="29">
        <v>37.5</v>
      </c>
      <c r="L289" s="41">
        <v>82.4479411764706</v>
      </c>
      <c r="M289" s="46">
        <v>23.0</v>
      </c>
      <c r="N289" s="46">
        <v>6.0</v>
      </c>
      <c r="O289" s="47">
        <v>-0.7103465934813072</v>
      </c>
      <c r="P289" s="47">
        <v>-0.8980149807455167</v>
      </c>
      <c r="Q289" s="47">
        <v>-1.7842905314423176</v>
      </c>
      <c r="R289" s="47">
        <v>-1.452381234950561</v>
      </c>
      <c r="S289" s="47">
        <v>-1.26089445323259</v>
      </c>
      <c r="T289" s="47">
        <v>1.0348296365820415</v>
      </c>
      <c r="U289" s="47">
        <v>0.3226188521921522</v>
      </c>
      <c r="V289" s="47">
        <v>2.145576968515439</v>
      </c>
      <c r="W289" s="47">
        <v>-1.915532023670174</v>
      </c>
      <c r="X289" s="47">
        <v>-1.6371791595873966</v>
      </c>
      <c r="Y289" s="50" t="s">
        <v>69</v>
      </c>
      <c r="Z289" s="50" t="s">
        <v>69</v>
      </c>
      <c r="AA289" s="50" t="s">
        <v>69</v>
      </c>
      <c r="AB289" s="50" t="s">
        <v>69</v>
      </c>
      <c r="AC289" s="34" t="str">
        <f t="shared" ref="AC289:AP289" si="289">LET(
  skater, IFERROR(INDEX(AllProj, MATCH($E289, AllProjNames, 0), MATCH(AC$2, AllProjCats, 0) + 1), ""),
  goalie, IFERROR(INDEX(AllGProj, MATCH($E289, AllGProjNames, 0), MATCH(AC$2, AllGProjCats, 0) + 1), ""),
  val, IF(skater &lt;&gt; "", skater, goalie),
  IF(OR($E289="", AC$2="", val=""), "", val * AC$1)
)</f>
        <v/>
      </c>
      <c r="AD289" s="34" t="str">
        <f t="shared" si="289"/>
        <v/>
      </c>
      <c r="AE289" s="34" t="str">
        <f t="shared" si="289"/>
        <v/>
      </c>
      <c r="AF289" s="34" t="str">
        <f t="shared" si="289"/>
        <v/>
      </c>
      <c r="AG289" s="34" t="str">
        <f t="shared" si="289"/>
        <v/>
      </c>
      <c r="AH289" s="34" t="str">
        <f t="shared" si="289"/>
        <v/>
      </c>
      <c r="AI289" s="34" t="str">
        <f t="shared" si="289"/>
        <v/>
      </c>
      <c r="AJ289" s="34" t="str">
        <f t="shared" si="289"/>
        <v/>
      </c>
      <c r="AK289" s="34" t="str">
        <f t="shared" si="289"/>
        <v/>
      </c>
      <c r="AL289" s="34" t="str">
        <f t="shared" si="289"/>
        <v/>
      </c>
      <c r="AM289" s="34" t="str">
        <f t="shared" si="289"/>
        <v/>
      </c>
      <c r="AN289" s="34" t="str">
        <f t="shared" si="289"/>
        <v/>
      </c>
      <c r="AO289" s="34" t="str">
        <f t="shared" si="289"/>
        <v/>
      </c>
      <c r="AP289" s="34" t="str">
        <f t="shared" si="289"/>
        <v/>
      </c>
      <c r="AQ289" s="76" t="s">
        <v>328</v>
      </c>
      <c r="AR289" s="77"/>
      <c r="AS289" s="77"/>
      <c r="AT289" s="77"/>
      <c r="AU289" s="77"/>
      <c r="AV289" s="77"/>
      <c r="AW289" s="77"/>
      <c r="AX289" s="77"/>
      <c r="AY289" s="77"/>
      <c r="AZ289" s="77"/>
      <c r="BA289" s="77"/>
      <c r="BB289" s="77"/>
      <c r="BC289" s="77"/>
      <c r="BD289" s="77"/>
      <c r="BE289" s="77"/>
      <c r="BF289" s="77"/>
      <c r="BG289" s="77"/>
      <c r="BH289" s="77"/>
      <c r="BI289" s="77"/>
      <c r="BJ289" s="77"/>
      <c r="BK289" s="77"/>
      <c r="BL289" s="77"/>
      <c r="BM289" s="78"/>
    </row>
    <row r="290">
      <c r="A290" s="79" t="s">
        <v>69</v>
      </c>
      <c r="B290" s="79" t="b">
        <v>0</v>
      </c>
      <c r="C290" s="79" t="b">
        <f t="shared" si="3"/>
        <v>1</v>
      </c>
      <c r="D290" s="80" t="s">
        <v>254</v>
      </c>
      <c r="E290" s="81" t="s">
        <v>1924</v>
      </c>
      <c r="F290" s="82" t="s">
        <v>1489</v>
      </c>
      <c r="G290" s="35" t="s">
        <v>832</v>
      </c>
      <c r="H290" s="37">
        <v>-6.157183244163431</v>
      </c>
      <c r="I290" s="37">
        <v>-0.7150456354355734</v>
      </c>
      <c r="J290" s="83" t="s">
        <v>1925</v>
      </c>
      <c r="K290" s="35">
        <v>39.0</v>
      </c>
      <c r="L290" s="79">
        <v>78.15176470588234</v>
      </c>
      <c r="M290" s="84">
        <v>28.0</v>
      </c>
      <c r="N290" s="84">
        <v>7.0</v>
      </c>
      <c r="O290" s="85">
        <v>-0.4820634622965325</v>
      </c>
      <c r="P290" s="85">
        <v>0.6619238271266946</v>
      </c>
      <c r="Q290" s="85">
        <v>-0.9576413449029217</v>
      </c>
      <c r="R290" s="85">
        <v>-1.2159416093292048</v>
      </c>
      <c r="S290" s="85">
        <v>0.5333223309632845</v>
      </c>
      <c r="T290" s="85">
        <v>-0.784490537235814</v>
      </c>
      <c r="U290" s="85">
        <v>-0.3311672334409809</v>
      </c>
      <c r="V290" s="85">
        <v>0.0</v>
      </c>
      <c r="W290" s="85">
        <v>-2.0657142903978354</v>
      </c>
      <c r="X290" s="85">
        <v>-1.5154109246501206</v>
      </c>
      <c r="Y290" s="50" t="s">
        <v>69</v>
      </c>
      <c r="Z290" s="50" t="s">
        <v>69</v>
      </c>
      <c r="AA290" s="50" t="s">
        <v>69</v>
      </c>
      <c r="AB290" s="50" t="s">
        <v>69</v>
      </c>
      <c r="AC290" s="34" t="str">
        <f t="shared" ref="AC290:AP290" si="290">LET(
  skater, IFERROR(INDEX(AllProj, MATCH($E290, AllProjNames, 0), MATCH(AC$2, AllProjCats, 0) + 1), ""),
  goalie, IFERROR(INDEX(AllGProj, MATCH($E290, AllGProjNames, 0), MATCH(AC$2, AllGProjCats, 0) + 1), ""),
  val, IF(skater &lt;&gt; "", skater, goalie),
  IF(OR($E290="", AC$2="", val=""), "", val * AC$1)
)</f>
        <v/>
      </c>
      <c r="AD290" s="34" t="str">
        <f t="shared" si="290"/>
        <v/>
      </c>
      <c r="AE290" s="34" t="str">
        <f t="shared" si="290"/>
        <v/>
      </c>
      <c r="AF290" s="34" t="str">
        <f t="shared" si="290"/>
        <v/>
      </c>
      <c r="AG290" s="34" t="str">
        <f t="shared" si="290"/>
        <v/>
      </c>
      <c r="AH290" s="34" t="str">
        <f t="shared" si="290"/>
        <v/>
      </c>
      <c r="AI290" s="34" t="str">
        <f t="shared" si="290"/>
        <v/>
      </c>
      <c r="AJ290" s="34" t="str">
        <f t="shared" si="290"/>
        <v/>
      </c>
      <c r="AK290" s="34" t="str">
        <f t="shared" si="290"/>
        <v/>
      </c>
      <c r="AL290" s="34" t="str">
        <f t="shared" si="290"/>
        <v/>
      </c>
      <c r="AM290" s="34" t="str">
        <f t="shared" si="290"/>
        <v/>
      </c>
      <c r="AN290" s="34" t="str">
        <f t="shared" si="290"/>
        <v/>
      </c>
      <c r="AO290" s="34" t="str">
        <f t="shared" si="290"/>
        <v/>
      </c>
      <c r="AP290" s="34" t="str">
        <f t="shared" si="290"/>
        <v/>
      </c>
      <c r="AQ290" s="76" t="s">
        <v>329</v>
      </c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8"/>
    </row>
    <row r="291">
      <c r="A291" s="41">
        <v>2.5714285714285716</v>
      </c>
      <c r="B291" s="41" t="b">
        <v>0</v>
      </c>
      <c r="C291" s="41" t="b">
        <f t="shared" si="3"/>
        <v>0</v>
      </c>
      <c r="D291" s="42" t="s">
        <v>1565</v>
      </c>
      <c r="E291" s="43" t="s">
        <v>964</v>
      </c>
      <c r="F291" s="44" t="s">
        <v>1461</v>
      </c>
      <c r="G291" s="29" t="s">
        <v>835</v>
      </c>
      <c r="H291" s="32">
        <v>-6.177403314014343</v>
      </c>
      <c r="I291" s="32">
        <v>-0.7895231891016046</v>
      </c>
      <c r="J291" s="45" t="s">
        <v>1926</v>
      </c>
      <c r="K291" s="29">
        <v>26.0</v>
      </c>
      <c r="L291" s="41">
        <v>74.71529411764706</v>
      </c>
      <c r="M291" s="46">
        <v>23.0</v>
      </c>
      <c r="N291" s="46">
        <v>6.0</v>
      </c>
      <c r="O291" s="47">
        <v>-0.2713556288832174</v>
      </c>
      <c r="P291" s="47">
        <v>-1.2072571278434694</v>
      </c>
      <c r="Q291" s="47">
        <v>-0.6602597615836516</v>
      </c>
      <c r="R291" s="47">
        <v>0.393849591512895</v>
      </c>
      <c r="S291" s="47">
        <v>-0.6474121501398795</v>
      </c>
      <c r="T291" s="47">
        <v>-0.7855803644704893</v>
      </c>
      <c r="U291" s="47">
        <v>-0.8414072254618873</v>
      </c>
      <c r="V291" s="47">
        <v>0.0</v>
      </c>
      <c r="W291" s="47">
        <v>-0.5762173069549141</v>
      </c>
      <c r="X291" s="47">
        <v>-1.5817633401897295</v>
      </c>
      <c r="Y291" s="50" t="s">
        <v>69</v>
      </c>
      <c r="Z291" s="50" t="s">
        <v>69</v>
      </c>
      <c r="AA291" s="50" t="s">
        <v>69</v>
      </c>
      <c r="AB291" s="50" t="s">
        <v>69</v>
      </c>
      <c r="AC291" s="34" t="str">
        <f t="shared" ref="AC291:AP291" si="291">LET(
  skater, IFERROR(INDEX(AllProj, MATCH($E291, AllProjNames, 0), MATCH(AC$2, AllProjCats, 0) + 1), ""),
  goalie, IFERROR(INDEX(AllGProj, MATCH($E291, AllGProjNames, 0), MATCH(AC$2, AllGProjCats, 0) + 1), ""),
  val, IF(skater &lt;&gt; "", skater, goalie),
  IF(OR($E291="", AC$2="", val=""), "", val * AC$1)
)</f>
        <v/>
      </c>
      <c r="AD291" s="34" t="str">
        <f t="shared" si="291"/>
        <v/>
      </c>
      <c r="AE291" s="34" t="str">
        <f t="shared" si="291"/>
        <v/>
      </c>
      <c r="AF291" s="34" t="str">
        <f t="shared" si="291"/>
        <v/>
      </c>
      <c r="AG291" s="34" t="str">
        <f t="shared" si="291"/>
        <v/>
      </c>
      <c r="AH291" s="34" t="str">
        <f t="shared" si="291"/>
        <v/>
      </c>
      <c r="AI291" s="34" t="str">
        <f t="shared" si="291"/>
        <v/>
      </c>
      <c r="AJ291" s="34" t="str">
        <f t="shared" si="291"/>
        <v/>
      </c>
      <c r="AK291" s="34" t="str">
        <f t="shared" si="291"/>
        <v/>
      </c>
      <c r="AL291" s="34" t="str">
        <f t="shared" si="291"/>
        <v/>
      </c>
      <c r="AM291" s="34" t="str">
        <f t="shared" si="291"/>
        <v/>
      </c>
      <c r="AN291" s="34" t="str">
        <f t="shared" si="291"/>
        <v/>
      </c>
      <c r="AO291" s="34" t="str">
        <f t="shared" si="291"/>
        <v/>
      </c>
      <c r="AP291" s="34" t="str">
        <f t="shared" si="291"/>
        <v/>
      </c>
      <c r="AQ291" s="76" t="s">
        <v>330</v>
      </c>
      <c r="AR291" s="77"/>
      <c r="AS291" s="77"/>
      <c r="AT291" s="77"/>
      <c r="AU291" s="77"/>
      <c r="AV291" s="77"/>
      <c r="AW291" s="77"/>
      <c r="AX291" s="77"/>
      <c r="AY291" s="77"/>
      <c r="AZ291" s="77"/>
      <c r="BA291" s="77"/>
      <c r="BB291" s="77"/>
      <c r="BC291" s="77"/>
      <c r="BD291" s="77"/>
      <c r="BE291" s="77"/>
      <c r="BF291" s="77"/>
      <c r="BG291" s="77"/>
      <c r="BH291" s="77"/>
      <c r="BI291" s="77"/>
      <c r="BJ291" s="77"/>
      <c r="BK291" s="77"/>
      <c r="BL291" s="77"/>
      <c r="BM291" s="78"/>
    </row>
    <row r="292">
      <c r="A292" s="79" t="s">
        <v>69</v>
      </c>
      <c r="B292" s="79" t="b">
        <v>0</v>
      </c>
      <c r="C292" s="79" t="b">
        <f t="shared" si="3"/>
        <v>1</v>
      </c>
      <c r="D292" s="80" t="s">
        <v>827</v>
      </c>
      <c r="E292" s="81" t="s">
        <v>1927</v>
      </c>
      <c r="F292" s="82" t="s">
        <v>1299</v>
      </c>
      <c r="G292" s="35" t="s">
        <v>829</v>
      </c>
      <c r="H292" s="37">
        <v>-6.189271108619897</v>
      </c>
      <c r="I292" s="37">
        <v>-0.7471334998920396</v>
      </c>
      <c r="J292" s="83" t="s">
        <v>1928</v>
      </c>
      <c r="K292" s="35">
        <v>21.5</v>
      </c>
      <c r="L292" s="79">
        <v>77.63926470588235</v>
      </c>
      <c r="M292" s="84">
        <v>31.0</v>
      </c>
      <c r="N292" s="84">
        <v>7.0</v>
      </c>
      <c r="O292" s="85">
        <v>0.7945586686071048</v>
      </c>
      <c r="P292" s="85">
        <v>0.7014580417657509</v>
      </c>
      <c r="Q292" s="85">
        <v>-1.980881269159856</v>
      </c>
      <c r="R292" s="85">
        <v>-1.7096095529196207</v>
      </c>
      <c r="S292" s="85">
        <v>0.7243022150590068</v>
      </c>
      <c r="T292" s="85">
        <v>-0.7217502675405305</v>
      </c>
      <c r="U292" s="85">
        <v>0.4798234861445987</v>
      </c>
      <c r="V292" s="85">
        <v>0.0</v>
      </c>
      <c r="W292" s="85">
        <v>-2.257686320247857</v>
      </c>
      <c r="X292" s="85">
        <v>-2.2194861103284937</v>
      </c>
      <c r="Y292" s="50" t="s">
        <v>69</v>
      </c>
      <c r="Z292" s="50" t="s">
        <v>69</v>
      </c>
      <c r="AA292" s="50" t="s">
        <v>69</v>
      </c>
      <c r="AB292" s="50" t="s">
        <v>69</v>
      </c>
      <c r="AC292" s="34" t="str">
        <f t="shared" ref="AC292:AP292" si="292">LET(
  skater, IFERROR(INDEX(AllProj, MATCH($E292, AllProjNames, 0), MATCH(AC$2, AllProjCats, 0) + 1), ""),
  goalie, IFERROR(INDEX(AllGProj, MATCH($E292, AllGProjNames, 0), MATCH(AC$2, AllGProjCats, 0) + 1), ""),
  val, IF(skater &lt;&gt; "", skater, goalie),
  IF(OR($E292="", AC$2="", val=""), "", val * AC$1)
)</f>
        <v/>
      </c>
      <c r="AD292" s="34" t="str">
        <f t="shared" si="292"/>
        <v/>
      </c>
      <c r="AE292" s="34" t="str">
        <f t="shared" si="292"/>
        <v/>
      </c>
      <c r="AF292" s="34" t="str">
        <f t="shared" si="292"/>
        <v/>
      </c>
      <c r="AG292" s="34" t="str">
        <f t="shared" si="292"/>
        <v/>
      </c>
      <c r="AH292" s="34" t="str">
        <f t="shared" si="292"/>
        <v/>
      </c>
      <c r="AI292" s="34" t="str">
        <f t="shared" si="292"/>
        <v/>
      </c>
      <c r="AJ292" s="34" t="str">
        <f t="shared" si="292"/>
        <v/>
      </c>
      <c r="AK292" s="34" t="str">
        <f t="shared" si="292"/>
        <v/>
      </c>
      <c r="AL292" s="34" t="str">
        <f t="shared" si="292"/>
        <v/>
      </c>
      <c r="AM292" s="34" t="str">
        <f t="shared" si="292"/>
        <v/>
      </c>
      <c r="AN292" s="34" t="str">
        <f t="shared" si="292"/>
        <v/>
      </c>
      <c r="AO292" s="34" t="str">
        <f t="shared" si="292"/>
        <v/>
      </c>
      <c r="AP292" s="34" t="str">
        <f t="shared" si="292"/>
        <v/>
      </c>
      <c r="AQ292" s="76" t="s">
        <v>331</v>
      </c>
      <c r="AR292" s="77"/>
      <c r="AS292" s="77"/>
      <c r="AT292" s="77"/>
      <c r="AU292" s="77"/>
      <c r="AV292" s="77"/>
      <c r="AW292" s="77"/>
      <c r="AX292" s="77"/>
      <c r="AY292" s="77"/>
      <c r="AZ292" s="77"/>
      <c r="BA292" s="77"/>
      <c r="BB292" s="77"/>
      <c r="BC292" s="77"/>
      <c r="BD292" s="77"/>
      <c r="BE292" s="77"/>
      <c r="BF292" s="77"/>
      <c r="BG292" s="77"/>
      <c r="BH292" s="77"/>
      <c r="BI292" s="77"/>
      <c r="BJ292" s="77"/>
      <c r="BK292" s="77"/>
      <c r="BL292" s="77"/>
      <c r="BM292" s="78"/>
    </row>
    <row r="293">
      <c r="A293" s="41">
        <v>2.5714285714285716</v>
      </c>
      <c r="B293" s="41" t="b">
        <v>0</v>
      </c>
      <c r="C293" s="41" t="b">
        <f t="shared" si="3"/>
        <v>0</v>
      </c>
      <c r="D293" s="42" t="s">
        <v>1565</v>
      </c>
      <c r="E293" s="43" t="s">
        <v>975</v>
      </c>
      <c r="F293" s="44" t="s">
        <v>1043</v>
      </c>
      <c r="G293" s="29" t="s">
        <v>837</v>
      </c>
      <c r="H293" s="32">
        <v>-6.1994371519312566</v>
      </c>
      <c r="I293" s="32">
        <v>-0.6695783800023554</v>
      </c>
      <c r="J293" s="45" t="s">
        <v>1929</v>
      </c>
      <c r="K293" s="29">
        <v>29.6</v>
      </c>
      <c r="L293" s="41">
        <v>80.51808823529412</v>
      </c>
      <c r="M293" s="46">
        <v>28.0</v>
      </c>
      <c r="N293" s="46">
        <v>6.0</v>
      </c>
      <c r="O293" s="47">
        <v>-1.6730412769744551</v>
      </c>
      <c r="P293" s="47">
        <v>-0.45926378806878143</v>
      </c>
      <c r="Q293" s="47">
        <v>0.45524787896806146</v>
      </c>
      <c r="R293" s="47">
        <v>-1.7235122121097273</v>
      </c>
      <c r="S293" s="47">
        <v>-0.9016630307167492</v>
      </c>
      <c r="T293" s="47">
        <v>-0.6566698913897623</v>
      </c>
      <c r="U293" s="47">
        <v>-0.394896693944411</v>
      </c>
      <c r="V293" s="47">
        <v>0.0</v>
      </c>
      <c r="W293" s="47">
        <v>-1.7471186235932237</v>
      </c>
      <c r="X293" s="47">
        <v>0.9014804858977924</v>
      </c>
      <c r="Y293" s="50" t="s">
        <v>69</v>
      </c>
      <c r="Z293" s="50" t="s">
        <v>69</v>
      </c>
      <c r="AA293" s="50" t="s">
        <v>69</v>
      </c>
      <c r="AB293" s="50" t="s">
        <v>69</v>
      </c>
      <c r="AC293" s="34" t="str">
        <f t="shared" ref="AC293:AP293" si="293">LET(
  skater, IFERROR(INDEX(AllProj, MATCH($E293, AllProjNames, 0), MATCH(AC$2, AllProjCats, 0) + 1), ""),
  goalie, IFERROR(INDEX(AllGProj, MATCH($E293, AllGProjNames, 0), MATCH(AC$2, AllGProjCats, 0) + 1), ""),
  val, IF(skater &lt;&gt; "", skater, goalie),
  IF(OR($E293="", AC$2="", val=""), "", val * AC$1)
)</f>
        <v/>
      </c>
      <c r="AD293" s="34" t="str">
        <f t="shared" si="293"/>
        <v/>
      </c>
      <c r="AE293" s="34" t="str">
        <f t="shared" si="293"/>
        <v/>
      </c>
      <c r="AF293" s="34" t="str">
        <f t="shared" si="293"/>
        <v/>
      </c>
      <c r="AG293" s="34" t="str">
        <f t="shared" si="293"/>
        <v/>
      </c>
      <c r="AH293" s="34" t="str">
        <f t="shared" si="293"/>
        <v/>
      </c>
      <c r="AI293" s="34" t="str">
        <f t="shared" si="293"/>
        <v/>
      </c>
      <c r="AJ293" s="34" t="str">
        <f t="shared" si="293"/>
        <v/>
      </c>
      <c r="AK293" s="34" t="str">
        <f t="shared" si="293"/>
        <v/>
      </c>
      <c r="AL293" s="34" t="str">
        <f t="shared" si="293"/>
        <v/>
      </c>
      <c r="AM293" s="34" t="str">
        <f t="shared" si="293"/>
        <v/>
      </c>
      <c r="AN293" s="34" t="str">
        <f t="shared" si="293"/>
        <v/>
      </c>
      <c r="AO293" s="34" t="str">
        <f t="shared" si="293"/>
        <v/>
      </c>
      <c r="AP293" s="34" t="str">
        <f t="shared" si="293"/>
        <v/>
      </c>
      <c r="AQ293" s="76" t="s">
        <v>332</v>
      </c>
      <c r="AR293" s="77"/>
      <c r="AS293" s="77"/>
      <c r="AT293" s="77"/>
      <c r="AU293" s="77"/>
      <c r="AV293" s="77"/>
      <c r="AW293" s="77"/>
      <c r="AX293" s="77"/>
      <c r="AY293" s="77"/>
      <c r="AZ293" s="77"/>
      <c r="BA293" s="77"/>
      <c r="BB293" s="77"/>
      <c r="BC293" s="77"/>
      <c r="BD293" s="77"/>
      <c r="BE293" s="77"/>
      <c r="BF293" s="77"/>
      <c r="BG293" s="77"/>
      <c r="BH293" s="77"/>
      <c r="BI293" s="77"/>
      <c r="BJ293" s="77"/>
      <c r="BK293" s="77"/>
      <c r="BL293" s="77"/>
      <c r="BM293" s="78"/>
    </row>
    <row r="294">
      <c r="A294" s="79">
        <v>2.5</v>
      </c>
      <c r="B294" s="79" t="b">
        <v>0</v>
      </c>
      <c r="C294" s="79" t="b">
        <f t="shared" si="3"/>
        <v>0</v>
      </c>
      <c r="D294" s="80" t="s">
        <v>1565</v>
      </c>
      <c r="E294" s="81" t="s">
        <v>898</v>
      </c>
      <c r="F294" s="82" t="s">
        <v>1419</v>
      </c>
      <c r="G294" s="35" t="s">
        <v>837</v>
      </c>
      <c r="H294" s="37">
        <v>-6.212461576308817</v>
      </c>
      <c r="I294" s="37">
        <v>-0.6826028043799157</v>
      </c>
      <c r="J294" s="83" t="s">
        <v>1930</v>
      </c>
      <c r="K294" s="35">
        <v>32.4</v>
      </c>
      <c r="L294" s="79">
        <v>79.72645833333333</v>
      </c>
      <c r="M294" s="84">
        <v>23.0</v>
      </c>
      <c r="N294" s="84">
        <v>7.0</v>
      </c>
      <c r="O294" s="85">
        <v>-2.0707677450789728</v>
      </c>
      <c r="P294" s="85">
        <v>-0.9581821973475102</v>
      </c>
      <c r="Q294" s="85">
        <v>1.928325532861081</v>
      </c>
      <c r="R294" s="85">
        <v>-2.132113806257361</v>
      </c>
      <c r="S294" s="85">
        <v>-1.7185545545881828</v>
      </c>
      <c r="T294" s="85">
        <v>1.014666779148476</v>
      </c>
      <c r="U294" s="85">
        <v>-1.0716264378566773</v>
      </c>
      <c r="V294" s="85">
        <v>0.0</v>
      </c>
      <c r="W294" s="85">
        <v>-2.135859223056403</v>
      </c>
      <c r="X294" s="85">
        <v>0.9316500758667325</v>
      </c>
      <c r="Y294" s="50" t="s">
        <v>69</v>
      </c>
      <c r="Z294" s="50" t="s">
        <v>69</v>
      </c>
      <c r="AA294" s="50" t="s">
        <v>69</v>
      </c>
      <c r="AB294" s="50" t="s">
        <v>69</v>
      </c>
      <c r="AC294" s="34" t="str">
        <f t="shared" ref="AC294:AP294" si="294">LET(
  skater, IFERROR(INDEX(AllProj, MATCH($E294, AllProjNames, 0), MATCH(AC$2, AllProjCats, 0) + 1), ""),
  goalie, IFERROR(INDEX(AllGProj, MATCH($E294, AllGProjNames, 0), MATCH(AC$2, AllGProjCats, 0) + 1), ""),
  val, IF(skater &lt;&gt; "", skater, goalie),
  IF(OR($E294="", AC$2="", val=""), "", val * AC$1)
)</f>
        <v/>
      </c>
      <c r="AD294" s="34" t="str">
        <f t="shared" si="294"/>
        <v/>
      </c>
      <c r="AE294" s="34" t="str">
        <f t="shared" si="294"/>
        <v/>
      </c>
      <c r="AF294" s="34" t="str">
        <f t="shared" si="294"/>
        <v/>
      </c>
      <c r="AG294" s="34" t="str">
        <f t="shared" si="294"/>
        <v/>
      </c>
      <c r="AH294" s="34" t="str">
        <f t="shared" si="294"/>
        <v/>
      </c>
      <c r="AI294" s="34" t="str">
        <f t="shared" si="294"/>
        <v/>
      </c>
      <c r="AJ294" s="34" t="str">
        <f t="shared" si="294"/>
        <v/>
      </c>
      <c r="AK294" s="34" t="str">
        <f t="shared" si="294"/>
        <v/>
      </c>
      <c r="AL294" s="34" t="str">
        <f t="shared" si="294"/>
        <v/>
      </c>
      <c r="AM294" s="34" t="str">
        <f t="shared" si="294"/>
        <v/>
      </c>
      <c r="AN294" s="34" t="str">
        <f t="shared" si="294"/>
        <v/>
      </c>
      <c r="AO294" s="34" t="str">
        <f t="shared" si="294"/>
        <v/>
      </c>
      <c r="AP294" s="34" t="str">
        <f t="shared" si="294"/>
        <v/>
      </c>
      <c r="AQ294" s="76" t="s">
        <v>333</v>
      </c>
      <c r="AR294" s="77"/>
      <c r="AS294" s="77"/>
      <c r="AT294" s="77"/>
      <c r="AU294" s="77"/>
      <c r="AV294" s="77"/>
      <c r="AW294" s="77"/>
      <c r="AX294" s="77"/>
      <c r="AY294" s="77"/>
      <c r="AZ294" s="77"/>
      <c r="BA294" s="77"/>
      <c r="BB294" s="77"/>
      <c r="BC294" s="77"/>
      <c r="BD294" s="77"/>
      <c r="BE294" s="77"/>
      <c r="BF294" s="77"/>
      <c r="BG294" s="77"/>
      <c r="BH294" s="77"/>
      <c r="BI294" s="77"/>
      <c r="BJ294" s="77"/>
      <c r="BK294" s="77"/>
      <c r="BL294" s="77"/>
      <c r="BM294" s="78"/>
    </row>
    <row r="295">
      <c r="A295" s="41" t="s">
        <v>69</v>
      </c>
      <c r="B295" s="41" t="b">
        <v>0</v>
      </c>
      <c r="C295" s="41" t="b">
        <f t="shared" si="3"/>
        <v>1</v>
      </c>
      <c r="D295" s="42" t="s">
        <v>825</v>
      </c>
      <c r="E295" s="43" t="s">
        <v>1931</v>
      </c>
      <c r="F295" s="44" t="s">
        <v>1464</v>
      </c>
      <c r="G295" s="29" t="s">
        <v>832</v>
      </c>
      <c r="H295" s="32">
        <v>-6.213923272692453</v>
      </c>
      <c r="I295" s="32">
        <v>-0.7717856639645957</v>
      </c>
      <c r="J295" s="45" t="s">
        <v>1932</v>
      </c>
      <c r="K295" s="29">
        <v>32.0</v>
      </c>
      <c r="L295" s="41">
        <v>76.92323529411765</v>
      </c>
      <c r="M295" s="46">
        <v>24.0</v>
      </c>
      <c r="N295" s="46">
        <v>7.0</v>
      </c>
      <c r="O295" s="47">
        <v>0.3379723753591881</v>
      </c>
      <c r="P295" s="47">
        <v>-0.7015408207819535</v>
      </c>
      <c r="Q295" s="47">
        <v>-0.376932930585752</v>
      </c>
      <c r="R295" s="47">
        <v>-0.505112087288488</v>
      </c>
      <c r="S295" s="47">
        <v>-0.47814265062081884</v>
      </c>
      <c r="T295" s="47">
        <v>-0.7871777123417198</v>
      </c>
      <c r="U295" s="47">
        <v>-0.6905642261002202</v>
      </c>
      <c r="V295" s="47">
        <v>0.0</v>
      </c>
      <c r="W295" s="47">
        <v>-1.425973253533381</v>
      </c>
      <c r="X295" s="47">
        <v>-1.586451966799308</v>
      </c>
      <c r="Y295" s="50" t="s">
        <v>69</v>
      </c>
      <c r="Z295" s="50" t="s">
        <v>69</v>
      </c>
      <c r="AA295" s="50" t="s">
        <v>69</v>
      </c>
      <c r="AB295" s="50" t="s">
        <v>69</v>
      </c>
      <c r="AC295" s="34" t="str">
        <f t="shared" ref="AC295:AP295" si="295">LET(
  skater, IFERROR(INDEX(AllProj, MATCH($E295, AllProjNames, 0), MATCH(AC$2, AllProjCats, 0) + 1), ""),
  goalie, IFERROR(INDEX(AllGProj, MATCH($E295, AllGProjNames, 0), MATCH(AC$2, AllGProjCats, 0) + 1), ""),
  val, IF(skater &lt;&gt; "", skater, goalie),
  IF(OR($E295="", AC$2="", val=""), "", val * AC$1)
)</f>
        <v/>
      </c>
      <c r="AD295" s="34" t="str">
        <f t="shared" si="295"/>
        <v/>
      </c>
      <c r="AE295" s="34" t="str">
        <f t="shared" si="295"/>
        <v/>
      </c>
      <c r="AF295" s="34" t="str">
        <f t="shared" si="295"/>
        <v/>
      </c>
      <c r="AG295" s="34" t="str">
        <f t="shared" si="295"/>
        <v/>
      </c>
      <c r="AH295" s="34" t="str">
        <f t="shared" si="295"/>
        <v/>
      </c>
      <c r="AI295" s="34" t="str">
        <f t="shared" si="295"/>
        <v/>
      </c>
      <c r="AJ295" s="34" t="str">
        <f t="shared" si="295"/>
        <v/>
      </c>
      <c r="AK295" s="34" t="str">
        <f t="shared" si="295"/>
        <v/>
      </c>
      <c r="AL295" s="34" t="str">
        <f t="shared" si="295"/>
        <v/>
      </c>
      <c r="AM295" s="34" t="str">
        <f t="shared" si="295"/>
        <v/>
      </c>
      <c r="AN295" s="34" t="str">
        <f t="shared" si="295"/>
        <v/>
      </c>
      <c r="AO295" s="34" t="str">
        <f t="shared" si="295"/>
        <v/>
      </c>
      <c r="AP295" s="34" t="str">
        <f t="shared" si="295"/>
        <v/>
      </c>
      <c r="AQ295" s="76" t="s">
        <v>334</v>
      </c>
      <c r="AR295" s="77"/>
      <c r="AS295" s="77"/>
      <c r="AT295" s="77"/>
      <c r="AU295" s="77"/>
      <c r="AV295" s="77"/>
      <c r="AW295" s="77"/>
      <c r="AX295" s="77"/>
      <c r="AY295" s="77"/>
      <c r="AZ295" s="77"/>
      <c r="BA295" s="77"/>
      <c r="BB295" s="77"/>
      <c r="BC295" s="77"/>
      <c r="BD295" s="77"/>
      <c r="BE295" s="77"/>
      <c r="BF295" s="77"/>
      <c r="BG295" s="77"/>
      <c r="BH295" s="77"/>
      <c r="BI295" s="77"/>
      <c r="BJ295" s="77"/>
      <c r="BK295" s="77"/>
      <c r="BL295" s="77"/>
      <c r="BM295" s="78"/>
    </row>
    <row r="296">
      <c r="A296" s="79">
        <v>2.5</v>
      </c>
      <c r="B296" s="79" t="b">
        <v>0</v>
      </c>
      <c r="C296" s="79" t="b">
        <f t="shared" si="3"/>
        <v>0</v>
      </c>
      <c r="D296" s="80" t="s">
        <v>1565</v>
      </c>
      <c r="E296" s="81" t="s">
        <v>888</v>
      </c>
      <c r="F296" s="82" t="s">
        <v>1473</v>
      </c>
      <c r="G296" s="35" t="s">
        <v>832</v>
      </c>
      <c r="H296" s="37">
        <v>-6.218351205605333</v>
      </c>
      <c r="I296" s="37">
        <v>-0.7762135968774757</v>
      </c>
      <c r="J296" s="83" t="s">
        <v>1933</v>
      </c>
      <c r="K296" s="35">
        <v>35.6</v>
      </c>
      <c r="L296" s="79">
        <v>77.27867647058824</v>
      </c>
      <c r="M296" s="84">
        <v>25.0</v>
      </c>
      <c r="N296" s="84">
        <v>6.0</v>
      </c>
      <c r="O296" s="85">
        <v>0.30309835888496844</v>
      </c>
      <c r="P296" s="85">
        <v>-0.5435622235526406</v>
      </c>
      <c r="Q296" s="85">
        <v>-2.0167639763297536</v>
      </c>
      <c r="R296" s="85">
        <v>-1.4137176672066023</v>
      </c>
      <c r="S296" s="85">
        <v>0.07653048248467031</v>
      </c>
      <c r="T296" s="85">
        <v>-0.11014390831050927</v>
      </c>
      <c r="U296" s="85">
        <v>0.4154462128481566</v>
      </c>
      <c r="V296" s="85">
        <v>0.0</v>
      </c>
      <c r="W296" s="85">
        <v>-1.378247183330065</v>
      </c>
      <c r="X296" s="85">
        <v>-1.5509913010935577</v>
      </c>
      <c r="Y296" s="50" t="s">
        <v>69</v>
      </c>
      <c r="Z296" s="50" t="s">
        <v>69</v>
      </c>
      <c r="AA296" s="50" t="s">
        <v>69</v>
      </c>
      <c r="AB296" s="50" t="s">
        <v>69</v>
      </c>
      <c r="AC296" s="34" t="str">
        <f t="shared" ref="AC296:AP296" si="296">LET(
  skater, IFERROR(INDEX(AllProj, MATCH($E296, AllProjNames, 0), MATCH(AC$2, AllProjCats, 0) + 1), ""),
  goalie, IFERROR(INDEX(AllGProj, MATCH($E296, AllGProjNames, 0), MATCH(AC$2, AllGProjCats, 0) + 1), ""),
  val, IF(skater &lt;&gt; "", skater, goalie),
  IF(OR($E296="", AC$2="", val=""), "", val * AC$1)
)</f>
        <v/>
      </c>
      <c r="AD296" s="34" t="str">
        <f t="shared" si="296"/>
        <v/>
      </c>
      <c r="AE296" s="34" t="str">
        <f t="shared" si="296"/>
        <v/>
      </c>
      <c r="AF296" s="34" t="str">
        <f t="shared" si="296"/>
        <v/>
      </c>
      <c r="AG296" s="34" t="str">
        <f t="shared" si="296"/>
        <v/>
      </c>
      <c r="AH296" s="34" t="str">
        <f t="shared" si="296"/>
        <v/>
      </c>
      <c r="AI296" s="34" t="str">
        <f t="shared" si="296"/>
        <v/>
      </c>
      <c r="AJ296" s="34" t="str">
        <f t="shared" si="296"/>
        <v/>
      </c>
      <c r="AK296" s="34" t="str">
        <f t="shared" si="296"/>
        <v/>
      </c>
      <c r="AL296" s="34" t="str">
        <f t="shared" si="296"/>
        <v/>
      </c>
      <c r="AM296" s="34" t="str">
        <f t="shared" si="296"/>
        <v/>
      </c>
      <c r="AN296" s="34" t="str">
        <f t="shared" si="296"/>
        <v/>
      </c>
      <c r="AO296" s="34" t="str">
        <f t="shared" si="296"/>
        <v/>
      </c>
      <c r="AP296" s="34" t="str">
        <f t="shared" si="296"/>
        <v/>
      </c>
      <c r="AQ296" s="76" t="s">
        <v>335</v>
      </c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8"/>
    </row>
    <row r="297">
      <c r="A297" s="41">
        <v>2.5</v>
      </c>
      <c r="B297" s="41" t="b">
        <v>0</v>
      </c>
      <c r="C297" s="41" t="b">
        <f t="shared" si="3"/>
        <v>0</v>
      </c>
      <c r="D297" s="42" t="s">
        <v>1565</v>
      </c>
      <c r="E297" s="43" t="s">
        <v>883</v>
      </c>
      <c r="F297" s="44" t="s">
        <v>1411</v>
      </c>
      <c r="G297" s="29" t="s">
        <v>837</v>
      </c>
      <c r="H297" s="32">
        <v>-6.219082169384607</v>
      </c>
      <c r="I297" s="32">
        <v>-0.6892233974557058</v>
      </c>
      <c r="J297" s="45" t="s">
        <v>1934</v>
      </c>
      <c r="K297" s="29">
        <v>31.5</v>
      </c>
      <c r="L297" s="41">
        <v>82.0909090909091</v>
      </c>
      <c r="M297" s="46">
        <v>33.0</v>
      </c>
      <c r="N297" s="46">
        <v>8.0</v>
      </c>
      <c r="O297" s="47">
        <v>-2.2042769970616263</v>
      </c>
      <c r="P297" s="47">
        <v>-1.089165760134679</v>
      </c>
      <c r="Q297" s="47">
        <v>0.33501700289057307</v>
      </c>
      <c r="R297" s="47">
        <v>-1.3213772097101877</v>
      </c>
      <c r="S297" s="47">
        <v>-1.6675665926936811</v>
      </c>
      <c r="T297" s="47">
        <v>-0.16952108464970286</v>
      </c>
      <c r="U297" s="47">
        <v>-1.6115320746076747</v>
      </c>
      <c r="V297" s="47">
        <v>0.0</v>
      </c>
      <c r="W297" s="47">
        <v>-0.16578240933414534</v>
      </c>
      <c r="X297" s="47">
        <v>1.6751229559165166</v>
      </c>
      <c r="Y297" s="50" t="s">
        <v>69</v>
      </c>
      <c r="Z297" s="50" t="s">
        <v>69</v>
      </c>
      <c r="AA297" s="50" t="s">
        <v>69</v>
      </c>
      <c r="AB297" s="50" t="s">
        <v>69</v>
      </c>
      <c r="AC297" s="34" t="str">
        <f t="shared" ref="AC297:AP297" si="297">LET(
  skater, IFERROR(INDEX(AllProj, MATCH($E297, AllProjNames, 0), MATCH(AC$2, AllProjCats, 0) + 1), ""),
  goalie, IFERROR(INDEX(AllGProj, MATCH($E297, AllGProjNames, 0), MATCH(AC$2, AllGProjCats, 0) + 1), ""),
  val, IF(skater &lt;&gt; "", skater, goalie),
  IF(OR($E297="", AC$2="", val=""), "", val * AC$1)
)</f>
        <v/>
      </c>
      <c r="AD297" s="34" t="str">
        <f t="shared" si="297"/>
        <v/>
      </c>
      <c r="AE297" s="34" t="str">
        <f t="shared" si="297"/>
        <v/>
      </c>
      <c r="AF297" s="34" t="str">
        <f t="shared" si="297"/>
        <v/>
      </c>
      <c r="AG297" s="34" t="str">
        <f t="shared" si="297"/>
        <v/>
      </c>
      <c r="AH297" s="34" t="str">
        <f t="shared" si="297"/>
        <v/>
      </c>
      <c r="AI297" s="34" t="str">
        <f t="shared" si="297"/>
        <v/>
      </c>
      <c r="AJ297" s="34" t="str">
        <f t="shared" si="297"/>
        <v/>
      </c>
      <c r="AK297" s="34" t="str">
        <f t="shared" si="297"/>
        <v/>
      </c>
      <c r="AL297" s="34" t="str">
        <f t="shared" si="297"/>
        <v/>
      </c>
      <c r="AM297" s="34" t="str">
        <f t="shared" si="297"/>
        <v/>
      </c>
      <c r="AN297" s="34" t="str">
        <f t="shared" si="297"/>
        <v/>
      </c>
      <c r="AO297" s="34" t="str">
        <f t="shared" si="297"/>
        <v/>
      </c>
      <c r="AP297" s="34" t="str">
        <f t="shared" si="297"/>
        <v/>
      </c>
      <c r="AQ297" s="76" t="s">
        <v>336</v>
      </c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8"/>
    </row>
    <row r="298">
      <c r="A298" s="79">
        <v>2.5</v>
      </c>
      <c r="B298" s="79" t="b">
        <v>0</v>
      </c>
      <c r="C298" s="79" t="b">
        <f t="shared" si="3"/>
        <v>0</v>
      </c>
      <c r="D298" s="80" t="s">
        <v>1565</v>
      </c>
      <c r="E298" s="81" t="s">
        <v>910</v>
      </c>
      <c r="F298" s="82" t="s">
        <v>1512</v>
      </c>
      <c r="G298" s="35" t="s">
        <v>836</v>
      </c>
      <c r="H298" s="37">
        <v>-6.246324290193418</v>
      </c>
      <c r="I298" s="37">
        <v>-0.8041866814655609</v>
      </c>
      <c r="J298" s="83" t="s">
        <v>1935</v>
      </c>
      <c r="K298" s="35">
        <v>24.5</v>
      </c>
      <c r="L298" s="79">
        <v>79.74514705882353</v>
      </c>
      <c r="M298" s="84">
        <v>21.0</v>
      </c>
      <c r="N298" s="84">
        <v>7.0</v>
      </c>
      <c r="O298" s="85">
        <v>-0.2510202037174761</v>
      </c>
      <c r="P298" s="85">
        <v>-0.8068144286292841</v>
      </c>
      <c r="Q298" s="85">
        <v>-1.6320033314944435</v>
      </c>
      <c r="R298" s="85">
        <v>-0.2461095144403201</v>
      </c>
      <c r="S298" s="85">
        <v>-0.5905049644245567</v>
      </c>
      <c r="T298" s="85">
        <v>-0.7793156205336071</v>
      </c>
      <c r="U298" s="85">
        <v>-1.2620607094769405</v>
      </c>
      <c r="V298" s="85">
        <v>0.0</v>
      </c>
      <c r="W298" s="85">
        <v>0.658007049366638</v>
      </c>
      <c r="X298" s="85">
        <v>-1.3365025668434285</v>
      </c>
      <c r="Y298" s="50" t="s">
        <v>69</v>
      </c>
      <c r="Z298" s="50" t="s">
        <v>69</v>
      </c>
      <c r="AA298" s="50" t="s">
        <v>69</v>
      </c>
      <c r="AB298" s="50" t="s">
        <v>69</v>
      </c>
      <c r="AC298" s="34" t="str">
        <f t="shared" ref="AC298:AP298" si="298">LET(
  skater, IFERROR(INDEX(AllProj, MATCH($E298, AllProjNames, 0), MATCH(AC$2, AllProjCats, 0) + 1), ""),
  goalie, IFERROR(INDEX(AllGProj, MATCH($E298, AllGProjNames, 0), MATCH(AC$2, AllGProjCats, 0) + 1), ""),
  val, IF(skater &lt;&gt; "", skater, goalie),
  IF(OR($E298="", AC$2="", val=""), "", val * AC$1)
)</f>
        <v/>
      </c>
      <c r="AD298" s="34" t="str">
        <f t="shared" si="298"/>
        <v/>
      </c>
      <c r="AE298" s="34" t="str">
        <f t="shared" si="298"/>
        <v/>
      </c>
      <c r="AF298" s="34" t="str">
        <f t="shared" si="298"/>
        <v/>
      </c>
      <c r="AG298" s="34" t="str">
        <f t="shared" si="298"/>
        <v/>
      </c>
      <c r="AH298" s="34" t="str">
        <f t="shared" si="298"/>
        <v/>
      </c>
      <c r="AI298" s="34" t="str">
        <f t="shared" si="298"/>
        <v/>
      </c>
      <c r="AJ298" s="34" t="str">
        <f t="shared" si="298"/>
        <v/>
      </c>
      <c r="AK298" s="34" t="str">
        <f t="shared" si="298"/>
        <v/>
      </c>
      <c r="AL298" s="34" t="str">
        <f t="shared" si="298"/>
        <v/>
      </c>
      <c r="AM298" s="34" t="str">
        <f t="shared" si="298"/>
        <v/>
      </c>
      <c r="AN298" s="34" t="str">
        <f t="shared" si="298"/>
        <v/>
      </c>
      <c r="AO298" s="34" t="str">
        <f t="shared" si="298"/>
        <v/>
      </c>
      <c r="AP298" s="34" t="str">
        <f t="shared" si="298"/>
        <v/>
      </c>
      <c r="AQ298" s="76" t="s">
        <v>337</v>
      </c>
      <c r="AR298" s="77"/>
      <c r="AS298" s="77"/>
      <c r="AT298" s="77"/>
      <c r="AU298" s="77"/>
      <c r="AV298" s="77"/>
      <c r="AW298" s="77"/>
      <c r="AX298" s="77"/>
      <c r="AY298" s="77"/>
      <c r="AZ298" s="77"/>
      <c r="BA298" s="77"/>
      <c r="BB298" s="77"/>
      <c r="BC298" s="77"/>
      <c r="BD298" s="77"/>
      <c r="BE298" s="77"/>
      <c r="BF298" s="77"/>
      <c r="BG298" s="77"/>
      <c r="BH298" s="77"/>
      <c r="BI298" s="77"/>
      <c r="BJ298" s="77"/>
      <c r="BK298" s="77"/>
      <c r="BL298" s="77"/>
      <c r="BM298" s="78"/>
    </row>
    <row r="299">
      <c r="A299" s="41" t="s">
        <v>69</v>
      </c>
      <c r="B299" s="41" t="b">
        <v>0</v>
      </c>
      <c r="C299" s="41" t="b">
        <f t="shared" si="3"/>
        <v>1</v>
      </c>
      <c r="D299" s="42" t="s">
        <v>502</v>
      </c>
      <c r="E299" s="43" t="s">
        <v>1936</v>
      </c>
      <c r="F299" s="44" t="s">
        <v>1439</v>
      </c>
      <c r="G299" s="29" t="s">
        <v>829</v>
      </c>
      <c r="H299" s="32">
        <v>-6.264062268141103</v>
      </c>
      <c r="I299" s="32">
        <v>-0.8219246594132459</v>
      </c>
      <c r="J299" s="45" t="s">
        <v>1937</v>
      </c>
      <c r="K299" s="29">
        <v>35.7</v>
      </c>
      <c r="L299" s="41">
        <v>79.36338235294117</v>
      </c>
      <c r="M299" s="46">
        <v>25.0</v>
      </c>
      <c r="N299" s="46">
        <v>6.0</v>
      </c>
      <c r="O299" s="47">
        <v>0.033883669714207046</v>
      </c>
      <c r="P299" s="47">
        <v>0.275175782263837</v>
      </c>
      <c r="Q299" s="47">
        <v>-0.11188941942365813</v>
      </c>
      <c r="R299" s="47">
        <v>-2.004914889231756</v>
      </c>
      <c r="S299" s="47">
        <v>0.2357608661622895</v>
      </c>
      <c r="T299" s="47">
        <v>-0.7839910009620548</v>
      </c>
      <c r="U299" s="47">
        <v>-0.8072398407439518</v>
      </c>
      <c r="V299" s="47">
        <v>0.6533345638108096</v>
      </c>
      <c r="W299" s="47">
        <v>-1.9453356597652993</v>
      </c>
      <c r="X299" s="47">
        <v>-1.8088463399655255</v>
      </c>
      <c r="Y299" s="50" t="s">
        <v>69</v>
      </c>
      <c r="Z299" s="50" t="s">
        <v>69</v>
      </c>
      <c r="AA299" s="50" t="s">
        <v>69</v>
      </c>
      <c r="AB299" s="50" t="s">
        <v>69</v>
      </c>
      <c r="AC299" s="34" t="str">
        <f t="shared" ref="AC299:AP299" si="299">LET(
  skater, IFERROR(INDEX(AllProj, MATCH($E299, AllProjNames, 0), MATCH(AC$2, AllProjCats, 0) + 1), ""),
  goalie, IFERROR(INDEX(AllGProj, MATCH($E299, AllGProjNames, 0), MATCH(AC$2, AllGProjCats, 0) + 1), ""),
  val, IF(skater &lt;&gt; "", skater, goalie),
  IF(OR($E299="", AC$2="", val=""), "", val * AC$1)
)</f>
        <v/>
      </c>
      <c r="AD299" s="34" t="str">
        <f t="shared" si="299"/>
        <v/>
      </c>
      <c r="AE299" s="34" t="str">
        <f t="shared" si="299"/>
        <v/>
      </c>
      <c r="AF299" s="34" t="str">
        <f t="shared" si="299"/>
        <v/>
      </c>
      <c r="AG299" s="34" t="str">
        <f t="shared" si="299"/>
        <v/>
      </c>
      <c r="AH299" s="34" t="str">
        <f t="shared" si="299"/>
        <v/>
      </c>
      <c r="AI299" s="34" t="str">
        <f t="shared" si="299"/>
        <v/>
      </c>
      <c r="AJ299" s="34" t="str">
        <f t="shared" si="299"/>
        <v/>
      </c>
      <c r="AK299" s="34" t="str">
        <f t="shared" si="299"/>
        <v/>
      </c>
      <c r="AL299" s="34" t="str">
        <f t="shared" si="299"/>
        <v/>
      </c>
      <c r="AM299" s="34" t="str">
        <f t="shared" si="299"/>
        <v/>
      </c>
      <c r="AN299" s="34" t="str">
        <f t="shared" si="299"/>
        <v/>
      </c>
      <c r="AO299" s="34" t="str">
        <f t="shared" si="299"/>
        <v/>
      </c>
      <c r="AP299" s="34" t="str">
        <f t="shared" si="299"/>
        <v/>
      </c>
      <c r="AQ299" s="76" t="s">
        <v>338</v>
      </c>
      <c r="AR299" s="77"/>
      <c r="AS299" s="77"/>
      <c r="AT299" s="77"/>
      <c r="AU299" s="77"/>
      <c r="AV299" s="77"/>
      <c r="AW299" s="77"/>
      <c r="AX299" s="77"/>
      <c r="AY299" s="77"/>
      <c r="AZ299" s="77"/>
      <c r="BA299" s="77"/>
      <c r="BB299" s="77"/>
      <c r="BC299" s="77"/>
      <c r="BD299" s="77"/>
      <c r="BE299" s="77"/>
      <c r="BF299" s="77"/>
      <c r="BG299" s="77"/>
      <c r="BH299" s="77"/>
      <c r="BI299" s="77"/>
      <c r="BJ299" s="77"/>
      <c r="BK299" s="77"/>
      <c r="BL299" s="77"/>
      <c r="BM299" s="78"/>
    </row>
    <row r="300">
      <c r="A300" s="79">
        <v>2.5</v>
      </c>
      <c r="B300" s="79" t="b">
        <v>0</v>
      </c>
      <c r="C300" s="79" t="b">
        <f t="shared" si="3"/>
        <v>0</v>
      </c>
      <c r="D300" s="80" t="s">
        <v>1565</v>
      </c>
      <c r="E300" s="81" t="s">
        <v>879</v>
      </c>
      <c r="F300" s="82" t="s">
        <v>1429</v>
      </c>
      <c r="G300" s="35" t="s">
        <v>284</v>
      </c>
      <c r="H300" s="37">
        <v>-6.2719998228217735</v>
      </c>
      <c r="I300" s="37">
        <v>-1.2339338026386883</v>
      </c>
      <c r="J300" s="83" t="s">
        <v>1938</v>
      </c>
      <c r="K300" s="35">
        <v>21.9</v>
      </c>
      <c r="L300" s="79">
        <v>80.0</v>
      </c>
      <c r="M300" s="84">
        <v>24.0</v>
      </c>
      <c r="N300" s="84">
        <v>7.0</v>
      </c>
      <c r="O300" s="85">
        <v>-1.3994281405423823</v>
      </c>
      <c r="P300" s="85">
        <v>-1.3770513943836846</v>
      </c>
      <c r="Q300" s="96" t="s">
        <v>69</v>
      </c>
      <c r="R300" s="85">
        <v>0.1209894996586468</v>
      </c>
      <c r="S300" s="96" t="s">
        <v>69</v>
      </c>
      <c r="T300" s="96" t="s">
        <v>69</v>
      </c>
      <c r="U300" s="85">
        <v>-0.9210472118499012</v>
      </c>
      <c r="V300" s="96" t="s">
        <v>69</v>
      </c>
      <c r="W300" s="85">
        <v>-0.858030969159541</v>
      </c>
      <c r="X300" s="85">
        <v>-1.8374316065449108</v>
      </c>
      <c r="Y300" s="50" t="s">
        <v>69</v>
      </c>
      <c r="Z300" s="50" t="s">
        <v>69</v>
      </c>
      <c r="AA300" s="50" t="s">
        <v>69</v>
      </c>
      <c r="AB300" s="50" t="s">
        <v>69</v>
      </c>
      <c r="AC300" s="34" t="str">
        <f t="shared" ref="AC300:AP300" si="300">LET(
  skater, IFERROR(INDEX(AllProj, MATCH($E300, AllProjNames, 0), MATCH(AC$2, AllProjCats, 0) + 1), ""),
  goalie, IFERROR(INDEX(AllGProj, MATCH($E300, AllGProjNames, 0), MATCH(AC$2, AllGProjCats, 0) + 1), ""),
  val, IF(skater &lt;&gt; "", skater, goalie),
  IF(OR($E300="", AC$2="", val=""), "", val * AC$1)
)</f>
        <v/>
      </c>
      <c r="AD300" s="34" t="str">
        <f t="shared" si="300"/>
        <v/>
      </c>
      <c r="AE300" s="34" t="str">
        <f t="shared" si="300"/>
        <v/>
      </c>
      <c r="AF300" s="34" t="str">
        <f t="shared" si="300"/>
        <v/>
      </c>
      <c r="AG300" s="34" t="str">
        <f t="shared" si="300"/>
        <v/>
      </c>
      <c r="AH300" s="34" t="str">
        <f t="shared" si="300"/>
        <v/>
      </c>
      <c r="AI300" s="34" t="str">
        <f t="shared" si="300"/>
        <v/>
      </c>
      <c r="AJ300" s="34" t="str">
        <f t="shared" si="300"/>
        <v/>
      </c>
      <c r="AK300" s="34" t="str">
        <f t="shared" si="300"/>
        <v/>
      </c>
      <c r="AL300" s="34" t="str">
        <f t="shared" si="300"/>
        <v/>
      </c>
      <c r="AM300" s="34" t="str">
        <f t="shared" si="300"/>
        <v/>
      </c>
      <c r="AN300" s="34" t="str">
        <f t="shared" si="300"/>
        <v/>
      </c>
      <c r="AO300" s="34" t="str">
        <f t="shared" si="300"/>
        <v/>
      </c>
      <c r="AP300" s="34" t="str">
        <f t="shared" si="300"/>
        <v/>
      </c>
      <c r="AQ300" s="76" t="s">
        <v>339</v>
      </c>
      <c r="AR300" s="77"/>
      <c r="AS300" s="77"/>
      <c r="AT300" s="77"/>
      <c r="AU300" s="77"/>
      <c r="AV300" s="77"/>
      <c r="AW300" s="77"/>
      <c r="AX300" s="77"/>
      <c r="AY300" s="77"/>
      <c r="AZ300" s="77"/>
      <c r="BA300" s="77"/>
      <c r="BB300" s="77"/>
      <c r="BC300" s="77"/>
      <c r="BD300" s="77"/>
      <c r="BE300" s="77"/>
      <c r="BF300" s="77"/>
      <c r="BG300" s="77"/>
      <c r="BH300" s="77"/>
      <c r="BI300" s="77"/>
      <c r="BJ300" s="77"/>
      <c r="BK300" s="77"/>
      <c r="BL300" s="77"/>
      <c r="BM300" s="78"/>
    </row>
    <row r="301">
      <c r="A301" s="41">
        <v>2.5714285714285716</v>
      </c>
      <c r="B301" s="41" t="b">
        <v>0</v>
      </c>
      <c r="C301" s="41" t="b">
        <f t="shared" si="3"/>
        <v>0</v>
      </c>
      <c r="D301" s="42" t="s">
        <v>1565</v>
      </c>
      <c r="E301" s="43" t="s">
        <v>962</v>
      </c>
      <c r="F301" s="44" t="s">
        <v>1416</v>
      </c>
      <c r="G301" s="29" t="s">
        <v>832</v>
      </c>
      <c r="H301" s="32">
        <v>-6.3311480318113205</v>
      </c>
      <c r="I301" s="32">
        <v>-0.8890104230834632</v>
      </c>
      <c r="J301" s="45" t="s">
        <v>1939</v>
      </c>
      <c r="K301" s="29">
        <v>23.6</v>
      </c>
      <c r="L301" s="41">
        <v>78.33735294117648</v>
      </c>
      <c r="M301" s="46">
        <v>29.0</v>
      </c>
      <c r="N301" s="46">
        <v>7.0</v>
      </c>
      <c r="O301" s="47">
        <v>-0.5861692456839607</v>
      </c>
      <c r="P301" s="47">
        <v>-1.0979922827315964</v>
      </c>
      <c r="Q301" s="47">
        <v>-0.20477337152512104</v>
      </c>
      <c r="R301" s="47">
        <v>-0.9659055041140797</v>
      </c>
      <c r="S301" s="47">
        <v>-0.7648931428595026</v>
      </c>
      <c r="T301" s="47">
        <v>-0.78466850880438</v>
      </c>
      <c r="U301" s="47">
        <v>-1.0815814812289803</v>
      </c>
      <c r="V301" s="47">
        <v>0.0</v>
      </c>
      <c r="W301" s="47">
        <v>0.5236370632062821</v>
      </c>
      <c r="X301" s="47">
        <v>-1.368801558069982</v>
      </c>
      <c r="Y301" s="50" t="s">
        <v>69</v>
      </c>
      <c r="Z301" s="50" t="s">
        <v>69</v>
      </c>
      <c r="AA301" s="50" t="s">
        <v>69</v>
      </c>
      <c r="AB301" s="50" t="s">
        <v>69</v>
      </c>
      <c r="AC301" s="34" t="str">
        <f t="shared" ref="AC301:AP301" si="301">LET(
  skater, IFERROR(INDEX(AllProj, MATCH($E301, AllProjNames, 0), MATCH(AC$2, AllProjCats, 0) + 1), ""),
  goalie, IFERROR(INDEX(AllGProj, MATCH($E301, AllGProjNames, 0), MATCH(AC$2, AllGProjCats, 0) + 1), ""),
  val, IF(skater &lt;&gt; "", skater, goalie),
  IF(OR($E301="", AC$2="", val=""), "", val * AC$1)
)</f>
        <v/>
      </c>
      <c r="AD301" s="34" t="str">
        <f t="shared" si="301"/>
        <v/>
      </c>
      <c r="AE301" s="34" t="str">
        <f t="shared" si="301"/>
        <v/>
      </c>
      <c r="AF301" s="34" t="str">
        <f t="shared" si="301"/>
        <v/>
      </c>
      <c r="AG301" s="34" t="str">
        <f t="shared" si="301"/>
        <v/>
      </c>
      <c r="AH301" s="34" t="str">
        <f t="shared" si="301"/>
        <v/>
      </c>
      <c r="AI301" s="34" t="str">
        <f t="shared" si="301"/>
        <v/>
      </c>
      <c r="AJ301" s="34" t="str">
        <f t="shared" si="301"/>
        <v/>
      </c>
      <c r="AK301" s="34" t="str">
        <f t="shared" si="301"/>
        <v/>
      </c>
      <c r="AL301" s="34" t="str">
        <f t="shared" si="301"/>
        <v/>
      </c>
      <c r="AM301" s="34" t="str">
        <f t="shared" si="301"/>
        <v/>
      </c>
      <c r="AN301" s="34" t="str">
        <f t="shared" si="301"/>
        <v/>
      </c>
      <c r="AO301" s="34" t="str">
        <f t="shared" si="301"/>
        <v/>
      </c>
      <c r="AP301" s="34" t="str">
        <f t="shared" si="301"/>
        <v/>
      </c>
      <c r="AQ301" s="76" t="s">
        <v>340</v>
      </c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7"/>
      <c r="BC301" s="77"/>
      <c r="BD301" s="77"/>
      <c r="BE301" s="77"/>
      <c r="BF301" s="77"/>
      <c r="BG301" s="77"/>
      <c r="BH301" s="77"/>
      <c r="BI301" s="77"/>
      <c r="BJ301" s="77"/>
      <c r="BK301" s="77"/>
      <c r="BL301" s="77"/>
      <c r="BM301" s="78"/>
    </row>
    <row r="302">
      <c r="A302" s="79">
        <v>2.5714285714285716</v>
      </c>
      <c r="B302" s="79" t="b">
        <v>0</v>
      </c>
      <c r="C302" s="79" t="b">
        <f t="shared" si="3"/>
        <v>0</v>
      </c>
      <c r="D302" s="80" t="s">
        <v>1565</v>
      </c>
      <c r="E302" s="81" t="s">
        <v>996</v>
      </c>
      <c r="F302" s="82" t="s">
        <v>849</v>
      </c>
      <c r="G302" s="35" t="s">
        <v>837</v>
      </c>
      <c r="H302" s="37">
        <v>-6.3481660768429204</v>
      </c>
      <c r="I302" s="37">
        <v>-0.8183073049140193</v>
      </c>
      <c r="J302" s="83" t="s">
        <v>1940</v>
      </c>
      <c r="K302" s="35">
        <v>33.5</v>
      </c>
      <c r="L302" s="79">
        <v>76.57142857142857</v>
      </c>
      <c r="M302" s="84">
        <v>29.0</v>
      </c>
      <c r="N302" s="84">
        <v>6.0</v>
      </c>
      <c r="O302" s="85">
        <v>-2.1216362662583115</v>
      </c>
      <c r="P302" s="85">
        <v>-1.6322467185165028</v>
      </c>
      <c r="Q302" s="85">
        <v>-1.038391575754247</v>
      </c>
      <c r="R302" s="85">
        <v>0.946975361550898</v>
      </c>
      <c r="S302" s="85">
        <v>-1.72461069241107</v>
      </c>
      <c r="T302" s="85">
        <v>-0.16952108464970286</v>
      </c>
      <c r="U302" s="85">
        <v>-2.0731298984085367</v>
      </c>
      <c r="V302" s="85">
        <v>0.0</v>
      </c>
      <c r="W302" s="85">
        <v>-0.304168250910804</v>
      </c>
      <c r="X302" s="85">
        <v>1.7685630485153576</v>
      </c>
      <c r="Y302" s="50" t="s">
        <v>69</v>
      </c>
      <c r="Z302" s="50" t="s">
        <v>69</v>
      </c>
      <c r="AA302" s="50" t="s">
        <v>69</v>
      </c>
      <c r="AB302" s="50" t="s">
        <v>69</v>
      </c>
      <c r="AC302" s="34" t="str">
        <f t="shared" ref="AC302:AP302" si="302">LET(
  skater, IFERROR(INDEX(AllProj, MATCH($E302, AllProjNames, 0), MATCH(AC$2, AllProjCats, 0) + 1), ""),
  goalie, IFERROR(INDEX(AllGProj, MATCH($E302, AllGProjNames, 0), MATCH(AC$2, AllGProjCats, 0) + 1), ""),
  val, IF(skater &lt;&gt; "", skater, goalie),
  IF(OR($E302="", AC$2="", val=""), "", val * AC$1)
)</f>
        <v/>
      </c>
      <c r="AD302" s="34" t="str">
        <f t="shared" si="302"/>
        <v/>
      </c>
      <c r="AE302" s="34" t="str">
        <f t="shared" si="302"/>
        <v/>
      </c>
      <c r="AF302" s="34" t="str">
        <f t="shared" si="302"/>
        <v/>
      </c>
      <c r="AG302" s="34" t="str">
        <f t="shared" si="302"/>
        <v/>
      </c>
      <c r="AH302" s="34" t="str">
        <f t="shared" si="302"/>
        <v/>
      </c>
      <c r="AI302" s="34" t="str">
        <f t="shared" si="302"/>
        <v/>
      </c>
      <c r="AJ302" s="34" t="str">
        <f t="shared" si="302"/>
        <v/>
      </c>
      <c r="AK302" s="34" t="str">
        <f t="shared" si="302"/>
        <v/>
      </c>
      <c r="AL302" s="34" t="str">
        <f t="shared" si="302"/>
        <v/>
      </c>
      <c r="AM302" s="34" t="str">
        <f t="shared" si="302"/>
        <v/>
      </c>
      <c r="AN302" s="34" t="str">
        <f t="shared" si="302"/>
        <v/>
      </c>
      <c r="AO302" s="34" t="str">
        <f t="shared" si="302"/>
        <v/>
      </c>
      <c r="AP302" s="34" t="str">
        <f t="shared" si="302"/>
        <v/>
      </c>
      <c r="AQ302" s="76" t="s">
        <v>341</v>
      </c>
      <c r="AR302" s="77"/>
      <c r="AS302" s="77"/>
      <c r="AT302" s="77"/>
      <c r="AU302" s="77"/>
      <c r="AV302" s="77"/>
      <c r="AW302" s="77"/>
      <c r="AX302" s="77"/>
      <c r="AY302" s="77"/>
      <c r="AZ302" s="77"/>
      <c r="BA302" s="77"/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8"/>
    </row>
    <row r="303">
      <c r="A303" s="41">
        <v>2.642857142857143</v>
      </c>
      <c r="B303" s="41" t="b">
        <v>0</v>
      </c>
      <c r="C303" s="41" t="b">
        <f t="shared" si="3"/>
        <v>0</v>
      </c>
      <c r="D303" s="42" t="s">
        <v>1565</v>
      </c>
      <c r="E303" s="43" t="s">
        <v>1096</v>
      </c>
      <c r="F303" s="44" t="s">
        <v>1426</v>
      </c>
      <c r="G303" s="29" t="s">
        <v>837</v>
      </c>
      <c r="H303" s="32">
        <v>-6.349019851434023</v>
      </c>
      <c r="I303" s="32">
        <v>-0.8191610795051218</v>
      </c>
      <c r="J303" s="45" t="s">
        <v>1941</v>
      </c>
      <c r="K303" s="29">
        <v>31.4</v>
      </c>
      <c r="L303" s="41">
        <v>71.0</v>
      </c>
      <c r="M303" s="46">
        <v>23.0</v>
      </c>
      <c r="N303" s="46">
        <v>6.0</v>
      </c>
      <c r="O303" s="47">
        <v>-2.330034630892758</v>
      </c>
      <c r="P303" s="47">
        <v>-1.7668042530592618</v>
      </c>
      <c r="Q303" s="47">
        <v>-0.5251990259941328</v>
      </c>
      <c r="R303" s="47">
        <v>0.45671278546001337</v>
      </c>
      <c r="S303" s="47">
        <v>-1.72461069241107</v>
      </c>
      <c r="T303" s="47">
        <v>-0.16952108464970286</v>
      </c>
      <c r="U303" s="47">
        <v>-2.549604483551155</v>
      </c>
      <c r="V303" s="47">
        <v>0.0</v>
      </c>
      <c r="W303" s="47">
        <v>1.7690113318786005</v>
      </c>
      <c r="X303" s="47">
        <v>0.49103020178544493</v>
      </c>
      <c r="Y303" s="50" t="s">
        <v>69</v>
      </c>
      <c r="Z303" s="50" t="s">
        <v>69</v>
      </c>
      <c r="AA303" s="50" t="s">
        <v>69</v>
      </c>
      <c r="AB303" s="50" t="s">
        <v>69</v>
      </c>
      <c r="AC303" s="34" t="str">
        <f t="shared" ref="AC303:AP303" si="303">LET(
  skater, IFERROR(INDEX(AllProj, MATCH($E303, AllProjNames, 0), MATCH(AC$2, AllProjCats, 0) + 1), ""),
  goalie, IFERROR(INDEX(AllGProj, MATCH($E303, AllGProjNames, 0), MATCH(AC$2, AllGProjCats, 0) + 1), ""),
  val, IF(skater &lt;&gt; "", skater, goalie),
  IF(OR($E303="", AC$2="", val=""), "", val * AC$1)
)</f>
        <v/>
      </c>
      <c r="AD303" s="34" t="str">
        <f t="shared" si="303"/>
        <v/>
      </c>
      <c r="AE303" s="34" t="str">
        <f t="shared" si="303"/>
        <v/>
      </c>
      <c r="AF303" s="34" t="str">
        <f t="shared" si="303"/>
        <v/>
      </c>
      <c r="AG303" s="34" t="str">
        <f t="shared" si="303"/>
        <v/>
      </c>
      <c r="AH303" s="34" t="str">
        <f t="shared" si="303"/>
        <v/>
      </c>
      <c r="AI303" s="34" t="str">
        <f t="shared" si="303"/>
        <v/>
      </c>
      <c r="AJ303" s="34" t="str">
        <f t="shared" si="303"/>
        <v/>
      </c>
      <c r="AK303" s="34" t="str">
        <f t="shared" si="303"/>
        <v/>
      </c>
      <c r="AL303" s="34" t="str">
        <f t="shared" si="303"/>
        <v/>
      </c>
      <c r="AM303" s="34" t="str">
        <f t="shared" si="303"/>
        <v/>
      </c>
      <c r="AN303" s="34" t="str">
        <f t="shared" si="303"/>
        <v/>
      </c>
      <c r="AO303" s="34" t="str">
        <f t="shared" si="303"/>
        <v/>
      </c>
      <c r="AP303" s="34" t="str">
        <f t="shared" si="303"/>
        <v/>
      </c>
      <c r="AQ303" s="76" t="s">
        <v>342</v>
      </c>
      <c r="AR303" s="77"/>
      <c r="AS303" s="77"/>
      <c r="AT303" s="77"/>
      <c r="AU303" s="77"/>
      <c r="AV303" s="77"/>
      <c r="AW303" s="77"/>
      <c r="AX303" s="77"/>
      <c r="AY303" s="77"/>
      <c r="AZ303" s="77"/>
      <c r="BA303" s="77"/>
      <c r="BB303" s="77"/>
      <c r="BC303" s="77"/>
      <c r="BD303" s="77"/>
      <c r="BE303" s="77"/>
      <c r="BF303" s="77"/>
      <c r="BG303" s="77"/>
      <c r="BH303" s="77"/>
      <c r="BI303" s="77"/>
      <c r="BJ303" s="77"/>
      <c r="BK303" s="77"/>
      <c r="BL303" s="77"/>
      <c r="BM303" s="78"/>
    </row>
    <row r="304">
      <c r="A304" s="79">
        <v>2.5714285714285716</v>
      </c>
      <c r="B304" s="79" t="b">
        <v>0</v>
      </c>
      <c r="C304" s="79" t="b">
        <f t="shared" si="3"/>
        <v>0</v>
      </c>
      <c r="D304" s="80" t="s">
        <v>1565</v>
      </c>
      <c r="E304" s="97" t="s">
        <v>958</v>
      </c>
      <c r="F304" s="82" t="s">
        <v>1444</v>
      </c>
      <c r="G304" s="35" t="s">
        <v>836</v>
      </c>
      <c r="H304" s="37">
        <v>-6.368738669396807</v>
      </c>
      <c r="I304" s="37">
        <v>-0.9266010606689496</v>
      </c>
      <c r="J304" s="83" t="s">
        <v>1942</v>
      </c>
      <c r="K304" s="35">
        <v>27.4</v>
      </c>
      <c r="L304" s="79">
        <v>80.5</v>
      </c>
      <c r="M304" s="84">
        <v>33.0</v>
      </c>
      <c r="N304" s="84">
        <v>6.0</v>
      </c>
      <c r="O304" s="85">
        <v>-0.582003520640025</v>
      </c>
      <c r="P304" s="85">
        <v>-1.133455857711449</v>
      </c>
      <c r="Q304" s="85">
        <v>-3.0761230606103633</v>
      </c>
      <c r="R304" s="85">
        <v>-1.2856288968702274</v>
      </c>
      <c r="S304" s="85">
        <v>-0.44111844876981776</v>
      </c>
      <c r="T304" s="85">
        <v>-0.16952108464970286</v>
      </c>
      <c r="U304" s="85">
        <v>-0.58176444691214</v>
      </c>
      <c r="V304" s="85">
        <v>0.0</v>
      </c>
      <c r="W304" s="85">
        <v>1.3653238644023806</v>
      </c>
      <c r="X304" s="85">
        <v>-0.4644472176354625</v>
      </c>
      <c r="Y304" s="50" t="s">
        <v>69</v>
      </c>
      <c r="Z304" s="50" t="s">
        <v>69</v>
      </c>
      <c r="AA304" s="50" t="s">
        <v>69</v>
      </c>
      <c r="AB304" s="50" t="s">
        <v>69</v>
      </c>
      <c r="AC304" s="34" t="str">
        <f t="shared" ref="AC304:AP304" si="304">LET(
  skater, IFERROR(INDEX(AllProj, MATCH($E304, AllProjNames, 0), MATCH(AC$2, AllProjCats, 0) + 1), ""),
  goalie, IFERROR(INDEX(AllGProj, MATCH($E304, AllGProjNames, 0), MATCH(AC$2, AllGProjCats, 0) + 1), ""),
  val, IF(skater &lt;&gt; "", skater, goalie),
  IF(OR($E304="", AC$2="", val=""), "", val * AC$1)
)</f>
        <v/>
      </c>
      <c r="AD304" s="34" t="str">
        <f t="shared" si="304"/>
        <v/>
      </c>
      <c r="AE304" s="34" t="str">
        <f t="shared" si="304"/>
        <v/>
      </c>
      <c r="AF304" s="34" t="str">
        <f t="shared" si="304"/>
        <v/>
      </c>
      <c r="AG304" s="34" t="str">
        <f t="shared" si="304"/>
        <v/>
      </c>
      <c r="AH304" s="34" t="str">
        <f t="shared" si="304"/>
        <v/>
      </c>
      <c r="AI304" s="34" t="str">
        <f t="shared" si="304"/>
        <v/>
      </c>
      <c r="AJ304" s="34" t="str">
        <f t="shared" si="304"/>
        <v/>
      </c>
      <c r="AK304" s="34" t="str">
        <f t="shared" si="304"/>
        <v/>
      </c>
      <c r="AL304" s="34" t="str">
        <f t="shared" si="304"/>
        <v/>
      </c>
      <c r="AM304" s="34" t="str">
        <f t="shared" si="304"/>
        <v/>
      </c>
      <c r="AN304" s="34" t="str">
        <f t="shared" si="304"/>
        <v/>
      </c>
      <c r="AO304" s="34" t="str">
        <f t="shared" si="304"/>
        <v/>
      </c>
      <c r="AP304" s="34" t="str">
        <f t="shared" si="304"/>
        <v/>
      </c>
      <c r="AQ304" s="76" t="s">
        <v>343</v>
      </c>
      <c r="AR304" s="77"/>
      <c r="AS304" s="77"/>
      <c r="AT304" s="77"/>
      <c r="AU304" s="77"/>
      <c r="AV304" s="77"/>
      <c r="AW304" s="77"/>
      <c r="AX304" s="77"/>
      <c r="AY304" s="77"/>
      <c r="AZ304" s="77"/>
      <c r="BA304" s="77"/>
      <c r="BB304" s="77"/>
      <c r="BC304" s="77"/>
      <c r="BD304" s="77"/>
      <c r="BE304" s="77"/>
      <c r="BF304" s="77"/>
      <c r="BG304" s="77"/>
      <c r="BH304" s="77"/>
      <c r="BI304" s="77"/>
      <c r="BJ304" s="77"/>
      <c r="BK304" s="77"/>
      <c r="BL304" s="77"/>
      <c r="BM304" s="78"/>
    </row>
    <row r="305">
      <c r="A305" s="41">
        <v>2.5714285714285716</v>
      </c>
      <c r="B305" s="41" t="b">
        <v>0</v>
      </c>
      <c r="C305" s="41" t="b">
        <f t="shared" si="3"/>
        <v>0</v>
      </c>
      <c r="D305" s="42" t="s">
        <v>1565</v>
      </c>
      <c r="E305" s="43" t="s">
        <v>1073</v>
      </c>
      <c r="F305" s="44" t="s">
        <v>1594</v>
      </c>
      <c r="G305" s="29" t="s">
        <v>284</v>
      </c>
      <c r="H305" s="32">
        <v>-6.372783591115489</v>
      </c>
      <c r="I305" s="32">
        <v>-1.334717570932404</v>
      </c>
      <c r="J305" s="45" t="s">
        <v>1943</v>
      </c>
      <c r="K305" s="29">
        <v>23.9</v>
      </c>
      <c r="L305" s="41">
        <v>82.74058823529411</v>
      </c>
      <c r="M305" s="46">
        <v>26.0</v>
      </c>
      <c r="N305" s="46">
        <v>6.0</v>
      </c>
      <c r="O305" s="47">
        <v>0.11576622609514217</v>
      </c>
      <c r="P305" s="47">
        <v>-0.11037076708121374</v>
      </c>
      <c r="Q305" s="47">
        <v>-2.7031060220860383</v>
      </c>
      <c r="R305" s="47">
        <v>-1.5933425243791295</v>
      </c>
      <c r="S305" s="47">
        <v>-0.1283705552801101</v>
      </c>
      <c r="T305" s="47">
        <v>-0.6658703835687689</v>
      </c>
      <c r="U305" s="47">
        <v>-0.2672975811441681</v>
      </c>
      <c r="V305" s="47">
        <v>1.4701840614065929</v>
      </c>
      <c r="W305" s="47">
        <v>-1.8537894568353217</v>
      </c>
      <c r="X305" s="47">
        <v>-0.6365865882424729</v>
      </c>
      <c r="Y305" s="50" t="s">
        <v>69</v>
      </c>
      <c r="Z305" s="50" t="s">
        <v>69</v>
      </c>
      <c r="AA305" s="50" t="s">
        <v>69</v>
      </c>
      <c r="AB305" s="50" t="s">
        <v>69</v>
      </c>
      <c r="AC305" s="34" t="str">
        <f t="shared" ref="AC305:AP305" si="305">LET(
  skater, IFERROR(INDEX(AllProj, MATCH($E305, AllProjNames, 0), MATCH(AC$2, AllProjCats, 0) + 1), ""),
  goalie, IFERROR(INDEX(AllGProj, MATCH($E305, AllGProjNames, 0), MATCH(AC$2, AllGProjCats, 0) + 1), ""),
  val, IF(skater &lt;&gt; "", skater, goalie),
  IF(OR($E305="", AC$2="", val=""), "", val * AC$1)
)</f>
        <v/>
      </c>
      <c r="AD305" s="34" t="str">
        <f t="shared" si="305"/>
        <v/>
      </c>
      <c r="AE305" s="34" t="str">
        <f t="shared" si="305"/>
        <v/>
      </c>
      <c r="AF305" s="34" t="str">
        <f t="shared" si="305"/>
        <v/>
      </c>
      <c r="AG305" s="34" t="str">
        <f t="shared" si="305"/>
        <v/>
      </c>
      <c r="AH305" s="34" t="str">
        <f t="shared" si="305"/>
        <v/>
      </c>
      <c r="AI305" s="34" t="str">
        <f t="shared" si="305"/>
        <v/>
      </c>
      <c r="AJ305" s="34" t="str">
        <f t="shared" si="305"/>
        <v/>
      </c>
      <c r="AK305" s="34" t="str">
        <f t="shared" si="305"/>
        <v/>
      </c>
      <c r="AL305" s="34" t="str">
        <f t="shared" si="305"/>
        <v/>
      </c>
      <c r="AM305" s="34" t="str">
        <f t="shared" si="305"/>
        <v/>
      </c>
      <c r="AN305" s="34" t="str">
        <f t="shared" si="305"/>
        <v/>
      </c>
      <c r="AO305" s="34" t="str">
        <f t="shared" si="305"/>
        <v/>
      </c>
      <c r="AP305" s="34" t="str">
        <f t="shared" si="305"/>
        <v/>
      </c>
      <c r="AQ305" s="76" t="s">
        <v>344</v>
      </c>
      <c r="AR305" s="77"/>
      <c r="AS305" s="77"/>
      <c r="AT305" s="77"/>
      <c r="AU305" s="77"/>
      <c r="AV305" s="77"/>
      <c r="AW305" s="77"/>
      <c r="AX305" s="77"/>
      <c r="AY305" s="77"/>
      <c r="AZ305" s="77"/>
      <c r="BA305" s="77"/>
      <c r="BB305" s="77"/>
      <c r="BC305" s="77"/>
      <c r="BD305" s="77"/>
      <c r="BE305" s="77"/>
      <c r="BF305" s="77"/>
      <c r="BG305" s="77"/>
      <c r="BH305" s="77"/>
      <c r="BI305" s="77"/>
      <c r="BJ305" s="77"/>
      <c r="BK305" s="77"/>
      <c r="BL305" s="77"/>
      <c r="BM305" s="78"/>
    </row>
    <row r="306">
      <c r="A306" s="79">
        <v>2.4285714285714284</v>
      </c>
      <c r="B306" s="79" t="b">
        <v>0</v>
      </c>
      <c r="C306" s="79" t="b">
        <f t="shared" si="3"/>
        <v>0</v>
      </c>
      <c r="D306" s="80" t="s">
        <v>1565</v>
      </c>
      <c r="E306" s="81" t="s">
        <v>871</v>
      </c>
      <c r="F306" s="82" t="s">
        <v>1436</v>
      </c>
      <c r="G306" s="35" t="s">
        <v>831</v>
      </c>
      <c r="H306" s="37">
        <v>-6.4388852512329215</v>
      </c>
      <c r="I306" s="37">
        <v>-0.9967476425050643</v>
      </c>
      <c r="J306" s="83" t="s">
        <v>1944</v>
      </c>
      <c r="K306" s="35">
        <v>24.7</v>
      </c>
      <c r="L306" s="79">
        <v>78.90205882352942</v>
      </c>
      <c r="M306" s="84">
        <v>26.0</v>
      </c>
      <c r="N306" s="84">
        <v>5.0</v>
      </c>
      <c r="O306" s="85">
        <v>-0.08761139002429921</v>
      </c>
      <c r="P306" s="85">
        <v>-0.22511218484554818</v>
      </c>
      <c r="Q306" s="85">
        <v>-0.9160356830394645</v>
      </c>
      <c r="R306" s="85">
        <v>-1.5172596951326545</v>
      </c>
      <c r="S306" s="85">
        <v>-0.08825787572847102</v>
      </c>
      <c r="T306" s="85">
        <v>-0.7854821573249496</v>
      </c>
      <c r="U306" s="85">
        <v>0.013092817859772607</v>
      </c>
      <c r="V306" s="85">
        <v>0.0</v>
      </c>
      <c r="W306" s="85">
        <v>-1.3460913347476051</v>
      </c>
      <c r="X306" s="85">
        <v>-1.4861277482497022</v>
      </c>
      <c r="Y306" s="50" t="s">
        <v>69</v>
      </c>
      <c r="Z306" s="50" t="s">
        <v>69</v>
      </c>
      <c r="AA306" s="50" t="s">
        <v>69</v>
      </c>
      <c r="AB306" s="50" t="s">
        <v>69</v>
      </c>
      <c r="AC306" s="34" t="str">
        <f t="shared" ref="AC306:AP306" si="306">LET(
  skater, IFERROR(INDEX(AllProj, MATCH($E306, AllProjNames, 0), MATCH(AC$2, AllProjCats, 0) + 1), ""),
  goalie, IFERROR(INDEX(AllGProj, MATCH($E306, AllGProjNames, 0), MATCH(AC$2, AllGProjCats, 0) + 1), ""),
  val, IF(skater &lt;&gt; "", skater, goalie),
  IF(OR($E306="", AC$2="", val=""), "", val * AC$1)
)</f>
        <v/>
      </c>
      <c r="AD306" s="34" t="str">
        <f t="shared" si="306"/>
        <v/>
      </c>
      <c r="AE306" s="34" t="str">
        <f t="shared" si="306"/>
        <v/>
      </c>
      <c r="AF306" s="34" t="str">
        <f t="shared" si="306"/>
        <v/>
      </c>
      <c r="AG306" s="34" t="str">
        <f t="shared" si="306"/>
        <v/>
      </c>
      <c r="AH306" s="34" t="str">
        <f t="shared" si="306"/>
        <v/>
      </c>
      <c r="AI306" s="34" t="str">
        <f t="shared" si="306"/>
        <v/>
      </c>
      <c r="AJ306" s="34" t="str">
        <f t="shared" si="306"/>
        <v/>
      </c>
      <c r="AK306" s="34" t="str">
        <f t="shared" si="306"/>
        <v/>
      </c>
      <c r="AL306" s="34" t="str">
        <f t="shared" si="306"/>
        <v/>
      </c>
      <c r="AM306" s="34" t="str">
        <f t="shared" si="306"/>
        <v/>
      </c>
      <c r="AN306" s="34" t="str">
        <f t="shared" si="306"/>
        <v/>
      </c>
      <c r="AO306" s="34" t="str">
        <f t="shared" si="306"/>
        <v/>
      </c>
      <c r="AP306" s="34" t="str">
        <f t="shared" si="306"/>
        <v/>
      </c>
      <c r="AQ306" s="76" t="s">
        <v>345</v>
      </c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8"/>
    </row>
    <row r="307">
      <c r="A307" s="41">
        <v>2.642857142857143</v>
      </c>
      <c r="B307" s="41" t="b">
        <v>0</v>
      </c>
      <c r="C307" s="41" t="b">
        <f t="shared" si="3"/>
        <v>0</v>
      </c>
      <c r="D307" s="42" t="s">
        <v>1565</v>
      </c>
      <c r="E307" s="43" t="s">
        <v>1106</v>
      </c>
      <c r="F307" s="44" t="s">
        <v>1426</v>
      </c>
      <c r="G307" s="29" t="s">
        <v>284</v>
      </c>
      <c r="H307" s="32">
        <v>-6.445946054754646</v>
      </c>
      <c r="I307" s="32">
        <v>-1.4078800345715612</v>
      </c>
      <c r="J307" s="45" t="s">
        <v>1945</v>
      </c>
      <c r="K307" s="29">
        <v>26.8</v>
      </c>
      <c r="L307" s="41">
        <v>70.75</v>
      </c>
      <c r="M307" s="46">
        <v>23.0</v>
      </c>
      <c r="N307" s="46">
        <v>6.0</v>
      </c>
      <c r="O307" s="47">
        <v>-1.100753760193444</v>
      </c>
      <c r="P307" s="47">
        <v>-1.6510963731399497</v>
      </c>
      <c r="Q307" s="47">
        <v>-0.42250629688485963</v>
      </c>
      <c r="R307" s="47">
        <v>-0.39192107587121894</v>
      </c>
      <c r="S307" s="47">
        <v>-1.1412051271195918</v>
      </c>
      <c r="T307" s="47">
        <v>-0.7871777123417198</v>
      </c>
      <c r="U307" s="47">
        <v>-1.7031227378081304</v>
      </c>
      <c r="V307" s="47">
        <v>0.0</v>
      </c>
      <c r="W307" s="47">
        <v>2.241346160575396</v>
      </c>
      <c r="X307" s="47">
        <v>-1.4895091319711269</v>
      </c>
      <c r="Y307" s="50" t="s">
        <v>69</v>
      </c>
      <c r="Z307" s="50" t="s">
        <v>69</v>
      </c>
      <c r="AA307" s="50" t="s">
        <v>69</v>
      </c>
      <c r="AB307" s="50" t="s">
        <v>69</v>
      </c>
      <c r="AC307" s="34" t="str">
        <f t="shared" ref="AC307:AP307" si="307">LET(
  skater, IFERROR(INDEX(AllProj, MATCH($E307, AllProjNames, 0), MATCH(AC$2, AllProjCats, 0) + 1), ""),
  goalie, IFERROR(INDEX(AllGProj, MATCH($E307, AllGProjNames, 0), MATCH(AC$2, AllGProjCats, 0) + 1), ""),
  val, IF(skater &lt;&gt; "", skater, goalie),
  IF(OR($E307="", AC$2="", val=""), "", val * AC$1)
)</f>
        <v/>
      </c>
      <c r="AD307" s="34" t="str">
        <f t="shared" si="307"/>
        <v/>
      </c>
      <c r="AE307" s="34" t="str">
        <f t="shared" si="307"/>
        <v/>
      </c>
      <c r="AF307" s="34" t="str">
        <f t="shared" si="307"/>
        <v/>
      </c>
      <c r="AG307" s="34" t="str">
        <f t="shared" si="307"/>
        <v/>
      </c>
      <c r="AH307" s="34" t="str">
        <f t="shared" si="307"/>
        <v/>
      </c>
      <c r="AI307" s="34" t="str">
        <f t="shared" si="307"/>
        <v/>
      </c>
      <c r="AJ307" s="34" t="str">
        <f t="shared" si="307"/>
        <v/>
      </c>
      <c r="AK307" s="34" t="str">
        <f t="shared" si="307"/>
        <v/>
      </c>
      <c r="AL307" s="34" t="str">
        <f t="shared" si="307"/>
        <v/>
      </c>
      <c r="AM307" s="34" t="str">
        <f t="shared" si="307"/>
        <v/>
      </c>
      <c r="AN307" s="34" t="str">
        <f t="shared" si="307"/>
        <v/>
      </c>
      <c r="AO307" s="34" t="str">
        <f t="shared" si="307"/>
        <v/>
      </c>
      <c r="AP307" s="34" t="str">
        <f t="shared" si="307"/>
        <v/>
      </c>
      <c r="AQ307" s="76" t="s">
        <v>346</v>
      </c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8"/>
    </row>
    <row r="308">
      <c r="A308" s="79" t="s">
        <v>69</v>
      </c>
      <c r="B308" s="79" t="b">
        <v>0</v>
      </c>
      <c r="C308" s="79" t="b">
        <f t="shared" si="3"/>
        <v>1</v>
      </c>
      <c r="D308" s="80" t="s">
        <v>502</v>
      </c>
      <c r="E308" s="81" t="s">
        <v>1946</v>
      </c>
      <c r="F308" s="82" t="s">
        <v>1517</v>
      </c>
      <c r="G308" s="35" t="s">
        <v>832</v>
      </c>
      <c r="H308" s="37">
        <v>-6.491893122701674</v>
      </c>
      <c r="I308" s="37">
        <v>-1.0497555139738166</v>
      </c>
      <c r="J308" s="83" t="s">
        <v>1947</v>
      </c>
      <c r="K308" s="35">
        <v>24.6</v>
      </c>
      <c r="L308" s="79">
        <v>80.89308823529412</v>
      </c>
      <c r="M308" s="84">
        <v>18.0</v>
      </c>
      <c r="N308" s="84">
        <v>6.0</v>
      </c>
      <c r="O308" s="85">
        <v>-0.5007793805106984</v>
      </c>
      <c r="P308" s="85">
        <v>0.6620667140169918</v>
      </c>
      <c r="Q308" s="85">
        <v>-1.0758964830486346</v>
      </c>
      <c r="R308" s="85">
        <v>-1.2265581940618524</v>
      </c>
      <c r="S308" s="85">
        <v>0.051582042843888835</v>
      </c>
      <c r="T308" s="85">
        <v>-0.7845029949699509</v>
      </c>
      <c r="U308" s="85">
        <v>0.4319270943341803</v>
      </c>
      <c r="V308" s="85">
        <v>0.0</v>
      </c>
      <c r="W308" s="85">
        <v>-2.055708512197195</v>
      </c>
      <c r="X308" s="85">
        <v>-1.994023409108403</v>
      </c>
      <c r="Y308" s="50" t="s">
        <v>69</v>
      </c>
      <c r="Z308" s="50" t="s">
        <v>69</v>
      </c>
      <c r="AA308" s="50" t="s">
        <v>69</v>
      </c>
      <c r="AB308" s="50" t="s">
        <v>69</v>
      </c>
      <c r="AC308" s="34" t="str">
        <f t="shared" ref="AC308:AP308" si="308">LET(
  skater, IFERROR(INDEX(AllProj, MATCH($E308, AllProjNames, 0), MATCH(AC$2, AllProjCats, 0) + 1), ""),
  goalie, IFERROR(INDEX(AllGProj, MATCH($E308, AllGProjNames, 0), MATCH(AC$2, AllGProjCats, 0) + 1), ""),
  val, IF(skater &lt;&gt; "", skater, goalie),
  IF(OR($E308="", AC$2="", val=""), "", val * AC$1)
)</f>
        <v/>
      </c>
      <c r="AD308" s="34" t="str">
        <f t="shared" si="308"/>
        <v/>
      </c>
      <c r="AE308" s="34" t="str">
        <f t="shared" si="308"/>
        <v/>
      </c>
      <c r="AF308" s="34" t="str">
        <f t="shared" si="308"/>
        <v/>
      </c>
      <c r="AG308" s="34" t="str">
        <f t="shared" si="308"/>
        <v/>
      </c>
      <c r="AH308" s="34" t="str">
        <f t="shared" si="308"/>
        <v/>
      </c>
      <c r="AI308" s="34" t="str">
        <f t="shared" si="308"/>
        <v/>
      </c>
      <c r="AJ308" s="34" t="str">
        <f t="shared" si="308"/>
        <v/>
      </c>
      <c r="AK308" s="34" t="str">
        <f t="shared" si="308"/>
        <v/>
      </c>
      <c r="AL308" s="34" t="str">
        <f t="shared" si="308"/>
        <v/>
      </c>
      <c r="AM308" s="34" t="str">
        <f t="shared" si="308"/>
        <v/>
      </c>
      <c r="AN308" s="34" t="str">
        <f t="shared" si="308"/>
        <v/>
      </c>
      <c r="AO308" s="34" t="str">
        <f t="shared" si="308"/>
        <v/>
      </c>
      <c r="AP308" s="34" t="str">
        <f t="shared" si="308"/>
        <v/>
      </c>
      <c r="AQ308" s="76" t="s">
        <v>347</v>
      </c>
      <c r="AR308" s="77"/>
      <c r="AS308" s="77"/>
      <c r="AT308" s="77"/>
      <c r="AU308" s="77"/>
      <c r="AV308" s="77"/>
      <c r="AW308" s="77"/>
      <c r="AX308" s="77"/>
      <c r="AY308" s="77"/>
      <c r="AZ308" s="77"/>
      <c r="BA308" s="77"/>
      <c r="BB308" s="77"/>
      <c r="BC308" s="77"/>
      <c r="BD308" s="77"/>
      <c r="BE308" s="77"/>
      <c r="BF308" s="77"/>
      <c r="BG308" s="77"/>
      <c r="BH308" s="77"/>
      <c r="BI308" s="77"/>
      <c r="BJ308" s="77"/>
      <c r="BK308" s="77"/>
      <c r="BL308" s="77"/>
      <c r="BM308" s="78"/>
    </row>
    <row r="309">
      <c r="A309" s="41">
        <v>2.5714285714285716</v>
      </c>
      <c r="B309" s="41" t="b">
        <v>0</v>
      </c>
      <c r="C309" s="41" t="b">
        <f t="shared" si="3"/>
        <v>0</v>
      </c>
      <c r="D309" s="42" t="s">
        <v>1565</v>
      </c>
      <c r="E309" s="43" t="s">
        <v>925</v>
      </c>
      <c r="F309" s="44" t="s">
        <v>1489</v>
      </c>
      <c r="G309" s="29" t="s">
        <v>837</v>
      </c>
      <c r="H309" s="32">
        <v>-6.503807083297226</v>
      </c>
      <c r="I309" s="32">
        <v>-0.9739483113683249</v>
      </c>
      <c r="J309" s="45" t="s">
        <v>1948</v>
      </c>
      <c r="K309" s="29">
        <v>36.8</v>
      </c>
      <c r="L309" s="41">
        <v>76.78323529411765</v>
      </c>
      <c r="M309" s="46">
        <v>28.0</v>
      </c>
      <c r="N309" s="46">
        <v>7.0</v>
      </c>
      <c r="O309" s="47">
        <v>-1.7553569368410318</v>
      </c>
      <c r="P309" s="47">
        <v>-0.7729207857475302</v>
      </c>
      <c r="Q309" s="47">
        <v>0.11947985540997198</v>
      </c>
      <c r="R309" s="47">
        <v>-0.1484237903476972</v>
      </c>
      <c r="S309" s="47">
        <v>-0.9600226318474316</v>
      </c>
      <c r="T309" s="47">
        <v>-0.3583929423899625</v>
      </c>
      <c r="U309" s="47">
        <v>-1.373521238048045</v>
      </c>
      <c r="V309" s="47">
        <v>0.0</v>
      </c>
      <c r="W309" s="47">
        <v>-1.4052497214539839</v>
      </c>
      <c r="X309" s="47">
        <v>0.15060110796848442</v>
      </c>
      <c r="Y309" s="50" t="s">
        <v>69</v>
      </c>
      <c r="Z309" s="50" t="s">
        <v>69</v>
      </c>
      <c r="AA309" s="50" t="s">
        <v>69</v>
      </c>
      <c r="AB309" s="50" t="s">
        <v>69</v>
      </c>
      <c r="AC309" s="34" t="str">
        <f t="shared" ref="AC309:AP309" si="309">LET(
  skater, IFERROR(INDEX(AllProj, MATCH($E309, AllProjNames, 0), MATCH(AC$2, AllProjCats, 0) + 1), ""),
  goalie, IFERROR(INDEX(AllGProj, MATCH($E309, AllGProjNames, 0), MATCH(AC$2, AllGProjCats, 0) + 1), ""),
  val, IF(skater &lt;&gt; "", skater, goalie),
  IF(OR($E309="", AC$2="", val=""), "", val * AC$1)
)</f>
        <v/>
      </c>
      <c r="AD309" s="34" t="str">
        <f t="shared" si="309"/>
        <v/>
      </c>
      <c r="AE309" s="34" t="str">
        <f t="shared" si="309"/>
        <v/>
      </c>
      <c r="AF309" s="34" t="str">
        <f t="shared" si="309"/>
        <v/>
      </c>
      <c r="AG309" s="34" t="str">
        <f t="shared" si="309"/>
        <v/>
      </c>
      <c r="AH309" s="34" t="str">
        <f t="shared" si="309"/>
        <v/>
      </c>
      <c r="AI309" s="34" t="str">
        <f t="shared" si="309"/>
        <v/>
      </c>
      <c r="AJ309" s="34" t="str">
        <f t="shared" si="309"/>
        <v/>
      </c>
      <c r="AK309" s="34" t="str">
        <f t="shared" si="309"/>
        <v/>
      </c>
      <c r="AL309" s="34" t="str">
        <f t="shared" si="309"/>
        <v/>
      </c>
      <c r="AM309" s="34" t="str">
        <f t="shared" si="309"/>
        <v/>
      </c>
      <c r="AN309" s="34" t="str">
        <f t="shared" si="309"/>
        <v/>
      </c>
      <c r="AO309" s="34" t="str">
        <f t="shared" si="309"/>
        <v/>
      </c>
      <c r="AP309" s="34" t="str">
        <f t="shared" si="309"/>
        <v/>
      </c>
      <c r="AQ309" s="76" t="s">
        <v>348</v>
      </c>
      <c r="AR309" s="77"/>
      <c r="AS309" s="77"/>
      <c r="AT309" s="77"/>
      <c r="AU309" s="77"/>
      <c r="AV309" s="77"/>
      <c r="AW309" s="77"/>
      <c r="AX309" s="77"/>
      <c r="AY309" s="77"/>
      <c r="AZ309" s="77"/>
      <c r="BA309" s="77"/>
      <c r="BB309" s="77"/>
      <c r="BC309" s="77"/>
      <c r="BD309" s="77"/>
      <c r="BE309" s="77"/>
      <c r="BF309" s="77"/>
      <c r="BG309" s="77"/>
      <c r="BH309" s="77"/>
      <c r="BI309" s="77"/>
      <c r="BJ309" s="77"/>
      <c r="BK309" s="77"/>
      <c r="BL309" s="77"/>
      <c r="BM309" s="78"/>
    </row>
    <row r="310">
      <c r="A310" s="79">
        <v>2.5</v>
      </c>
      <c r="B310" s="79" t="b">
        <v>0</v>
      </c>
      <c r="C310" s="79" t="b">
        <f t="shared" si="3"/>
        <v>0</v>
      </c>
      <c r="D310" s="80" t="s">
        <v>1565</v>
      </c>
      <c r="E310" s="81" t="s">
        <v>903</v>
      </c>
      <c r="F310" s="82" t="s">
        <v>1498</v>
      </c>
      <c r="G310" s="35" t="s">
        <v>284</v>
      </c>
      <c r="H310" s="37">
        <v>-6.5158925210422005</v>
      </c>
      <c r="I310" s="37">
        <v>-1.4778265008591154</v>
      </c>
      <c r="J310" s="83" t="s">
        <v>1949</v>
      </c>
      <c r="K310" s="35">
        <v>19.4</v>
      </c>
      <c r="L310" s="79">
        <v>81.391</v>
      </c>
      <c r="M310" s="84">
        <v>28.0</v>
      </c>
      <c r="N310" s="84">
        <v>7.0</v>
      </c>
      <c r="O310" s="85">
        <v>-0.1418929633429592</v>
      </c>
      <c r="P310" s="85">
        <v>-0.833515320448183</v>
      </c>
      <c r="Q310" s="85">
        <v>-1.3343464981834656</v>
      </c>
      <c r="R310" s="85">
        <v>-1.5486570370501465</v>
      </c>
      <c r="S310" s="85">
        <v>-0.4785190360769676</v>
      </c>
      <c r="T310" s="85">
        <v>0.37118670179477586</v>
      </c>
      <c r="U310" s="85">
        <v>-0.11226436404374651</v>
      </c>
      <c r="V310" s="85">
        <v>0.3582460887072574</v>
      </c>
      <c r="W310" s="85">
        <v>-1.9153533287431606</v>
      </c>
      <c r="X310" s="85">
        <v>-0.8807767636556041</v>
      </c>
      <c r="Y310" s="50" t="s">
        <v>69</v>
      </c>
      <c r="Z310" s="50" t="s">
        <v>69</v>
      </c>
      <c r="AA310" s="50" t="s">
        <v>69</v>
      </c>
      <c r="AB310" s="50" t="s">
        <v>69</v>
      </c>
      <c r="AC310" s="34" t="str">
        <f t="shared" ref="AC310:AP310" si="310">LET(
  skater, IFERROR(INDEX(AllProj, MATCH($E310, AllProjNames, 0), MATCH(AC$2, AllProjCats, 0) + 1), ""),
  goalie, IFERROR(INDEX(AllGProj, MATCH($E310, AllGProjNames, 0), MATCH(AC$2, AllGProjCats, 0) + 1), ""),
  val, IF(skater &lt;&gt; "", skater, goalie),
  IF(OR($E310="", AC$2="", val=""), "", val * AC$1)
)</f>
        <v/>
      </c>
      <c r="AD310" s="34" t="str">
        <f t="shared" si="310"/>
        <v/>
      </c>
      <c r="AE310" s="34" t="str">
        <f t="shared" si="310"/>
        <v/>
      </c>
      <c r="AF310" s="34" t="str">
        <f t="shared" si="310"/>
        <v/>
      </c>
      <c r="AG310" s="34" t="str">
        <f t="shared" si="310"/>
        <v/>
      </c>
      <c r="AH310" s="34" t="str">
        <f t="shared" si="310"/>
        <v/>
      </c>
      <c r="AI310" s="34" t="str">
        <f t="shared" si="310"/>
        <v/>
      </c>
      <c r="AJ310" s="34" t="str">
        <f t="shared" si="310"/>
        <v/>
      </c>
      <c r="AK310" s="34" t="str">
        <f t="shared" si="310"/>
        <v/>
      </c>
      <c r="AL310" s="34" t="str">
        <f t="shared" si="310"/>
        <v/>
      </c>
      <c r="AM310" s="34" t="str">
        <f t="shared" si="310"/>
        <v/>
      </c>
      <c r="AN310" s="34" t="str">
        <f t="shared" si="310"/>
        <v/>
      </c>
      <c r="AO310" s="34" t="str">
        <f t="shared" si="310"/>
        <v/>
      </c>
      <c r="AP310" s="34" t="str">
        <f t="shared" si="310"/>
        <v/>
      </c>
      <c r="AQ310" s="76" t="s">
        <v>349</v>
      </c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8"/>
    </row>
    <row r="311">
      <c r="A311" s="41">
        <v>2.642857142857143</v>
      </c>
      <c r="B311" s="41" t="b">
        <v>0</v>
      </c>
      <c r="C311" s="41" t="b">
        <f t="shared" si="3"/>
        <v>0</v>
      </c>
      <c r="D311" s="42" t="s">
        <v>1565</v>
      </c>
      <c r="E311" s="43" t="s">
        <v>1142</v>
      </c>
      <c r="F311" s="44" t="s">
        <v>1563</v>
      </c>
      <c r="G311" s="29" t="s">
        <v>284</v>
      </c>
      <c r="H311" s="32">
        <v>-6.5171599777957585</v>
      </c>
      <c r="I311" s="32">
        <v>-1.4790939576126734</v>
      </c>
      <c r="J311" s="45" t="s">
        <v>1950</v>
      </c>
      <c r="K311" s="29">
        <v>30.6</v>
      </c>
      <c r="L311" s="41">
        <v>79.90735294117647</v>
      </c>
      <c r="M311" s="46">
        <v>29.0</v>
      </c>
      <c r="N311" s="46">
        <v>6.0</v>
      </c>
      <c r="O311" s="47">
        <v>-0.6010114284503327</v>
      </c>
      <c r="P311" s="47">
        <v>-0.47864231920381795</v>
      </c>
      <c r="Q311" s="47">
        <v>-0.7441263840561335</v>
      </c>
      <c r="R311" s="47">
        <v>-1.4790551624196997</v>
      </c>
      <c r="S311" s="47">
        <v>-1.0416957797992346</v>
      </c>
      <c r="T311" s="47">
        <v>-0.2985346351771294</v>
      </c>
      <c r="U311" s="47">
        <v>-0.7691082894138394</v>
      </c>
      <c r="V311" s="47">
        <v>1.5806611458877362</v>
      </c>
      <c r="W311" s="47">
        <v>-1.7961276577199152</v>
      </c>
      <c r="X311" s="47">
        <v>-0.8895194674433924</v>
      </c>
      <c r="Y311" s="50" t="s">
        <v>69</v>
      </c>
      <c r="Z311" s="50" t="s">
        <v>69</v>
      </c>
      <c r="AA311" s="50" t="s">
        <v>69</v>
      </c>
      <c r="AB311" s="50" t="s">
        <v>69</v>
      </c>
      <c r="AC311" s="34" t="str">
        <f t="shared" ref="AC311:AP311" si="311">LET(
  skater, IFERROR(INDEX(AllProj, MATCH($E311, AllProjNames, 0), MATCH(AC$2, AllProjCats, 0) + 1), ""),
  goalie, IFERROR(INDEX(AllGProj, MATCH($E311, AllGProjNames, 0), MATCH(AC$2, AllGProjCats, 0) + 1), ""),
  val, IF(skater &lt;&gt; "", skater, goalie),
  IF(OR($E311="", AC$2="", val=""), "", val * AC$1)
)</f>
        <v/>
      </c>
      <c r="AD311" s="34" t="str">
        <f t="shared" si="311"/>
        <v/>
      </c>
      <c r="AE311" s="34" t="str">
        <f t="shared" si="311"/>
        <v/>
      </c>
      <c r="AF311" s="34" t="str">
        <f t="shared" si="311"/>
        <v/>
      </c>
      <c r="AG311" s="34" t="str">
        <f t="shared" si="311"/>
        <v/>
      </c>
      <c r="AH311" s="34" t="str">
        <f t="shared" si="311"/>
        <v/>
      </c>
      <c r="AI311" s="34" t="str">
        <f t="shared" si="311"/>
        <v/>
      </c>
      <c r="AJ311" s="34" t="str">
        <f t="shared" si="311"/>
        <v/>
      </c>
      <c r="AK311" s="34" t="str">
        <f t="shared" si="311"/>
        <v/>
      </c>
      <c r="AL311" s="34" t="str">
        <f t="shared" si="311"/>
        <v/>
      </c>
      <c r="AM311" s="34" t="str">
        <f t="shared" si="311"/>
        <v/>
      </c>
      <c r="AN311" s="34" t="str">
        <f t="shared" si="311"/>
        <v/>
      </c>
      <c r="AO311" s="34" t="str">
        <f t="shared" si="311"/>
        <v/>
      </c>
      <c r="AP311" s="34" t="str">
        <f t="shared" si="311"/>
        <v/>
      </c>
      <c r="AQ311" s="76" t="s">
        <v>350</v>
      </c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8"/>
    </row>
    <row r="312">
      <c r="A312" s="79">
        <v>2.5714285714285716</v>
      </c>
      <c r="B312" s="79" t="b">
        <v>0</v>
      </c>
      <c r="C312" s="79" t="b">
        <f t="shared" si="3"/>
        <v>0</v>
      </c>
      <c r="D312" s="80" t="s">
        <v>1565</v>
      </c>
      <c r="E312" s="81" t="s">
        <v>1034</v>
      </c>
      <c r="F312" s="82" t="s">
        <v>1517</v>
      </c>
      <c r="G312" s="35" t="s">
        <v>830</v>
      </c>
      <c r="H312" s="37">
        <v>-6.520463671216207</v>
      </c>
      <c r="I312" s="37">
        <v>-1.1325835463034686</v>
      </c>
      <c r="J312" s="83" t="s">
        <v>1951</v>
      </c>
      <c r="K312" s="35">
        <v>30.0</v>
      </c>
      <c r="L312" s="79">
        <v>78.29617647058824</v>
      </c>
      <c r="M312" s="84">
        <v>18.0</v>
      </c>
      <c r="N312" s="84">
        <v>6.0</v>
      </c>
      <c r="O312" s="85">
        <v>-0.6701676459669793</v>
      </c>
      <c r="P312" s="85">
        <v>-1.1804775784711343</v>
      </c>
      <c r="Q312" s="85">
        <v>-0.6671548996674452</v>
      </c>
      <c r="R312" s="85">
        <v>-1.2770414734134579</v>
      </c>
      <c r="S312" s="85">
        <v>-1.2645081281205677</v>
      </c>
      <c r="T312" s="85">
        <v>-0.7327337496336034</v>
      </c>
      <c r="U312" s="85">
        <v>-0.1469449137888189</v>
      </c>
      <c r="V312" s="85">
        <v>0.0</v>
      </c>
      <c r="W312" s="85">
        <v>0.8955486328246591</v>
      </c>
      <c r="X312" s="85">
        <v>-1.4769839149788588</v>
      </c>
      <c r="Y312" s="50" t="s">
        <v>69</v>
      </c>
      <c r="Z312" s="50" t="s">
        <v>69</v>
      </c>
      <c r="AA312" s="50" t="s">
        <v>69</v>
      </c>
      <c r="AB312" s="50" t="s">
        <v>69</v>
      </c>
      <c r="AC312" s="34" t="str">
        <f t="shared" ref="AC312:AP312" si="312">LET(
  skater, IFERROR(INDEX(AllProj, MATCH($E312, AllProjNames, 0), MATCH(AC$2, AllProjCats, 0) + 1), ""),
  goalie, IFERROR(INDEX(AllGProj, MATCH($E312, AllGProjNames, 0), MATCH(AC$2, AllGProjCats, 0) + 1), ""),
  val, IF(skater &lt;&gt; "", skater, goalie),
  IF(OR($E312="", AC$2="", val=""), "", val * AC$1)
)</f>
        <v/>
      </c>
      <c r="AD312" s="34" t="str">
        <f t="shared" si="312"/>
        <v/>
      </c>
      <c r="AE312" s="34" t="str">
        <f t="shared" si="312"/>
        <v/>
      </c>
      <c r="AF312" s="34" t="str">
        <f t="shared" si="312"/>
        <v/>
      </c>
      <c r="AG312" s="34" t="str">
        <f t="shared" si="312"/>
        <v/>
      </c>
      <c r="AH312" s="34" t="str">
        <f t="shared" si="312"/>
        <v/>
      </c>
      <c r="AI312" s="34" t="str">
        <f t="shared" si="312"/>
        <v/>
      </c>
      <c r="AJ312" s="34" t="str">
        <f t="shared" si="312"/>
        <v/>
      </c>
      <c r="AK312" s="34" t="str">
        <f t="shared" si="312"/>
        <v/>
      </c>
      <c r="AL312" s="34" t="str">
        <f t="shared" si="312"/>
        <v/>
      </c>
      <c r="AM312" s="34" t="str">
        <f t="shared" si="312"/>
        <v/>
      </c>
      <c r="AN312" s="34" t="str">
        <f t="shared" si="312"/>
        <v/>
      </c>
      <c r="AO312" s="34" t="str">
        <f t="shared" si="312"/>
        <v/>
      </c>
      <c r="AP312" s="34" t="str">
        <f t="shared" si="312"/>
        <v/>
      </c>
      <c r="AQ312" s="76" t="s">
        <v>351</v>
      </c>
      <c r="AR312" s="77"/>
      <c r="AS312" s="77"/>
      <c r="AT312" s="77"/>
      <c r="AU312" s="77"/>
      <c r="AV312" s="77"/>
      <c r="AW312" s="77"/>
      <c r="AX312" s="77"/>
      <c r="AY312" s="77"/>
      <c r="AZ312" s="77"/>
      <c r="BA312" s="77"/>
      <c r="BB312" s="77"/>
      <c r="BC312" s="77"/>
      <c r="BD312" s="77"/>
      <c r="BE312" s="77"/>
      <c r="BF312" s="77"/>
      <c r="BG312" s="77"/>
      <c r="BH312" s="77"/>
      <c r="BI312" s="77"/>
      <c r="BJ312" s="77"/>
      <c r="BK312" s="77"/>
      <c r="BL312" s="77"/>
      <c r="BM312" s="78"/>
    </row>
    <row r="313">
      <c r="A313" s="41">
        <v>2.5</v>
      </c>
      <c r="B313" s="41" t="b">
        <v>0</v>
      </c>
      <c r="C313" s="41" t="b">
        <f t="shared" si="3"/>
        <v>0</v>
      </c>
      <c r="D313" s="42" t="s">
        <v>1565</v>
      </c>
      <c r="E313" s="43" t="s">
        <v>899</v>
      </c>
      <c r="F313" s="44" t="s">
        <v>1454</v>
      </c>
      <c r="G313" s="29" t="s">
        <v>835</v>
      </c>
      <c r="H313" s="32">
        <v>-6.567023915807184</v>
      </c>
      <c r="I313" s="32">
        <v>-1.1791437908944449</v>
      </c>
      <c r="J313" s="45" t="s">
        <v>1952</v>
      </c>
      <c r="K313" s="29">
        <v>34.7</v>
      </c>
      <c r="L313" s="41">
        <v>75.69573529411764</v>
      </c>
      <c r="M313" s="46">
        <v>25.0</v>
      </c>
      <c r="N313" s="46">
        <v>6.0</v>
      </c>
      <c r="O313" s="47">
        <v>0.021400896626553745</v>
      </c>
      <c r="P313" s="47">
        <v>-0.5740573325151915</v>
      </c>
      <c r="Q313" s="47">
        <v>-1.2375851350978713</v>
      </c>
      <c r="R313" s="47">
        <v>-0.45373086165405613</v>
      </c>
      <c r="S313" s="47">
        <v>0.12032340578826982</v>
      </c>
      <c r="T313" s="47">
        <v>-0.7861557578302921</v>
      </c>
      <c r="U313" s="47">
        <v>-0.5413462073399651</v>
      </c>
      <c r="V313" s="47">
        <v>0.0</v>
      </c>
      <c r="W313" s="47">
        <v>-1.1260382939494886</v>
      </c>
      <c r="X313" s="47">
        <v>-1.9898346298351428</v>
      </c>
      <c r="Y313" s="50" t="s">
        <v>69</v>
      </c>
      <c r="Z313" s="50" t="s">
        <v>69</v>
      </c>
      <c r="AA313" s="50" t="s">
        <v>69</v>
      </c>
      <c r="AB313" s="50" t="s">
        <v>69</v>
      </c>
      <c r="AC313" s="34" t="str">
        <f t="shared" ref="AC313:AP313" si="313">LET(
  skater, IFERROR(INDEX(AllProj, MATCH($E313, AllProjNames, 0), MATCH(AC$2, AllProjCats, 0) + 1), ""),
  goalie, IFERROR(INDEX(AllGProj, MATCH($E313, AllGProjNames, 0), MATCH(AC$2, AllGProjCats, 0) + 1), ""),
  val, IF(skater &lt;&gt; "", skater, goalie),
  IF(OR($E313="", AC$2="", val=""), "", val * AC$1)
)</f>
        <v/>
      </c>
      <c r="AD313" s="34" t="str">
        <f t="shared" si="313"/>
        <v/>
      </c>
      <c r="AE313" s="34" t="str">
        <f t="shared" si="313"/>
        <v/>
      </c>
      <c r="AF313" s="34" t="str">
        <f t="shared" si="313"/>
        <v/>
      </c>
      <c r="AG313" s="34" t="str">
        <f t="shared" si="313"/>
        <v/>
      </c>
      <c r="AH313" s="34" t="str">
        <f t="shared" si="313"/>
        <v/>
      </c>
      <c r="AI313" s="34" t="str">
        <f t="shared" si="313"/>
        <v/>
      </c>
      <c r="AJ313" s="34" t="str">
        <f t="shared" si="313"/>
        <v/>
      </c>
      <c r="AK313" s="34" t="str">
        <f t="shared" si="313"/>
        <v/>
      </c>
      <c r="AL313" s="34" t="str">
        <f t="shared" si="313"/>
        <v/>
      </c>
      <c r="AM313" s="34" t="str">
        <f t="shared" si="313"/>
        <v/>
      </c>
      <c r="AN313" s="34" t="str">
        <f t="shared" si="313"/>
        <v/>
      </c>
      <c r="AO313" s="34" t="str">
        <f t="shared" si="313"/>
        <v/>
      </c>
      <c r="AP313" s="34" t="str">
        <f t="shared" si="313"/>
        <v/>
      </c>
      <c r="AQ313" s="76" t="s">
        <v>352</v>
      </c>
      <c r="AR313" s="77"/>
      <c r="AS313" s="77"/>
      <c r="AT313" s="77"/>
      <c r="AU313" s="77"/>
      <c r="AV313" s="77"/>
      <c r="AW313" s="77"/>
      <c r="AX313" s="77"/>
      <c r="AY313" s="77"/>
      <c r="AZ313" s="77"/>
      <c r="BA313" s="77"/>
      <c r="BB313" s="77"/>
      <c r="BC313" s="77"/>
      <c r="BD313" s="77"/>
      <c r="BE313" s="77"/>
      <c r="BF313" s="77"/>
      <c r="BG313" s="77"/>
      <c r="BH313" s="77"/>
      <c r="BI313" s="77"/>
      <c r="BJ313" s="77"/>
      <c r="BK313" s="77"/>
      <c r="BL313" s="77"/>
      <c r="BM313" s="78"/>
    </row>
    <row r="314">
      <c r="A314" s="79" t="s">
        <v>69</v>
      </c>
      <c r="B314" s="79" t="b">
        <v>0</v>
      </c>
      <c r="C314" s="79" t="b">
        <f t="shared" si="3"/>
        <v>1</v>
      </c>
      <c r="D314" s="80" t="s">
        <v>254</v>
      </c>
      <c r="E314" s="81" t="s">
        <v>1953</v>
      </c>
      <c r="F314" s="82" t="s">
        <v>1594</v>
      </c>
      <c r="G314" s="35" t="s">
        <v>837</v>
      </c>
      <c r="H314" s="37">
        <v>-6.594144379770661</v>
      </c>
      <c r="I314" s="37">
        <v>-1.06428560784176</v>
      </c>
      <c r="J314" s="83" t="s">
        <v>1954</v>
      </c>
      <c r="K314" s="35">
        <v>32.4</v>
      </c>
      <c r="L314" s="79">
        <v>78.54661764705882</v>
      </c>
      <c r="M314" s="84">
        <v>26.0</v>
      </c>
      <c r="N314" s="84">
        <v>6.0</v>
      </c>
      <c r="O314" s="85">
        <v>-1.062863904871968</v>
      </c>
      <c r="P314" s="85">
        <v>-0.6390213681600054</v>
      </c>
      <c r="Q314" s="85">
        <v>-4.367222589472796</v>
      </c>
      <c r="R314" s="85">
        <v>0.5534398045521054</v>
      </c>
      <c r="S314" s="85">
        <v>-0.539360391106642</v>
      </c>
      <c r="T314" s="85">
        <v>-0.7709417556107366</v>
      </c>
      <c r="U314" s="85">
        <v>0.8733197357713572</v>
      </c>
      <c r="V314" s="85">
        <v>0.0</v>
      </c>
      <c r="W314" s="85">
        <v>-0.7409902625161335</v>
      </c>
      <c r="X314" s="85">
        <v>0.0994963516441567</v>
      </c>
      <c r="Y314" s="50" t="s">
        <v>69</v>
      </c>
      <c r="Z314" s="50" t="s">
        <v>69</v>
      </c>
      <c r="AA314" s="50" t="s">
        <v>69</v>
      </c>
      <c r="AB314" s="50" t="s">
        <v>69</v>
      </c>
      <c r="AC314" s="34" t="str">
        <f t="shared" ref="AC314:AP314" si="314">LET(
  skater, IFERROR(INDEX(AllProj, MATCH($E314, AllProjNames, 0), MATCH(AC$2, AllProjCats, 0) + 1), ""),
  goalie, IFERROR(INDEX(AllGProj, MATCH($E314, AllGProjNames, 0), MATCH(AC$2, AllGProjCats, 0) + 1), ""),
  val, IF(skater &lt;&gt; "", skater, goalie),
  IF(OR($E314="", AC$2="", val=""), "", val * AC$1)
)</f>
        <v/>
      </c>
      <c r="AD314" s="34" t="str">
        <f t="shared" si="314"/>
        <v/>
      </c>
      <c r="AE314" s="34" t="str">
        <f t="shared" si="314"/>
        <v/>
      </c>
      <c r="AF314" s="34" t="str">
        <f t="shared" si="314"/>
        <v/>
      </c>
      <c r="AG314" s="34" t="str">
        <f t="shared" si="314"/>
        <v/>
      </c>
      <c r="AH314" s="34" t="str">
        <f t="shared" si="314"/>
        <v/>
      </c>
      <c r="AI314" s="34" t="str">
        <f t="shared" si="314"/>
        <v/>
      </c>
      <c r="AJ314" s="34" t="str">
        <f t="shared" si="314"/>
        <v/>
      </c>
      <c r="AK314" s="34" t="str">
        <f t="shared" si="314"/>
        <v/>
      </c>
      <c r="AL314" s="34" t="str">
        <f t="shared" si="314"/>
        <v/>
      </c>
      <c r="AM314" s="34" t="str">
        <f t="shared" si="314"/>
        <v/>
      </c>
      <c r="AN314" s="34" t="str">
        <f t="shared" si="314"/>
        <v/>
      </c>
      <c r="AO314" s="34" t="str">
        <f t="shared" si="314"/>
        <v/>
      </c>
      <c r="AP314" s="34" t="str">
        <f t="shared" si="314"/>
        <v/>
      </c>
      <c r="AQ314" s="76" t="s">
        <v>353</v>
      </c>
      <c r="AR314" s="77"/>
      <c r="AS314" s="77"/>
      <c r="AT314" s="77"/>
      <c r="AU314" s="77"/>
      <c r="AV314" s="77"/>
      <c r="AW314" s="77"/>
      <c r="AX314" s="77"/>
      <c r="AY314" s="77"/>
      <c r="AZ314" s="77"/>
      <c r="BA314" s="77"/>
      <c r="BB314" s="77"/>
      <c r="BC314" s="77"/>
      <c r="BD314" s="77"/>
      <c r="BE314" s="77"/>
      <c r="BF314" s="77"/>
      <c r="BG314" s="77"/>
      <c r="BH314" s="77"/>
      <c r="BI314" s="77"/>
      <c r="BJ314" s="77"/>
      <c r="BK314" s="77"/>
      <c r="BL314" s="77"/>
      <c r="BM314" s="78"/>
    </row>
    <row r="315">
      <c r="A315" s="41">
        <v>2.5</v>
      </c>
      <c r="B315" s="41" t="b">
        <v>0</v>
      </c>
      <c r="C315" s="41" t="b">
        <f t="shared" si="3"/>
        <v>0</v>
      </c>
      <c r="D315" s="42" t="s">
        <v>1565</v>
      </c>
      <c r="E315" s="43" t="s">
        <v>892</v>
      </c>
      <c r="F315" s="44" t="s">
        <v>1512</v>
      </c>
      <c r="G315" s="29" t="s">
        <v>837</v>
      </c>
      <c r="H315" s="32">
        <v>-6.5956056979939905</v>
      </c>
      <c r="I315" s="32">
        <v>-1.0657469260650894</v>
      </c>
      <c r="J315" s="45" t="s">
        <v>1955</v>
      </c>
      <c r="K315" s="29">
        <v>33.3</v>
      </c>
      <c r="L315" s="41">
        <v>79.35714285714286</v>
      </c>
      <c r="M315" s="46">
        <v>21.0</v>
      </c>
      <c r="N315" s="46">
        <v>7.0</v>
      </c>
      <c r="O315" s="47">
        <v>-1.6796880102231904</v>
      </c>
      <c r="P315" s="47">
        <v>-1.2888930096832565</v>
      </c>
      <c r="Q315" s="47">
        <v>-1.075482490673709</v>
      </c>
      <c r="R315" s="47">
        <v>-1.6082518692706147</v>
      </c>
      <c r="S315" s="47">
        <v>-1.664325450664284</v>
      </c>
      <c r="T315" s="47">
        <v>-0.16952108464970286</v>
      </c>
      <c r="U315" s="47">
        <v>-1.071547460122535</v>
      </c>
      <c r="V315" s="47">
        <v>0.0</v>
      </c>
      <c r="W315" s="47">
        <v>-0.6115444951820375</v>
      </c>
      <c r="X315" s="47">
        <v>2.5736481724753393</v>
      </c>
      <c r="Y315" s="50" t="s">
        <v>69</v>
      </c>
      <c r="Z315" s="50" t="s">
        <v>69</v>
      </c>
      <c r="AA315" s="50" t="s">
        <v>69</v>
      </c>
      <c r="AB315" s="50" t="s">
        <v>69</v>
      </c>
      <c r="AC315" s="34" t="str">
        <f t="shared" ref="AC315:AP315" si="315">LET(
  skater, IFERROR(INDEX(AllProj, MATCH($E315, AllProjNames, 0), MATCH(AC$2, AllProjCats, 0) + 1), ""),
  goalie, IFERROR(INDEX(AllGProj, MATCH($E315, AllGProjNames, 0), MATCH(AC$2, AllGProjCats, 0) + 1), ""),
  val, IF(skater &lt;&gt; "", skater, goalie),
  IF(OR($E315="", AC$2="", val=""), "", val * AC$1)
)</f>
        <v/>
      </c>
      <c r="AD315" s="34" t="str">
        <f t="shared" si="315"/>
        <v/>
      </c>
      <c r="AE315" s="34" t="str">
        <f t="shared" si="315"/>
        <v/>
      </c>
      <c r="AF315" s="34" t="str">
        <f t="shared" si="315"/>
        <v/>
      </c>
      <c r="AG315" s="34" t="str">
        <f t="shared" si="315"/>
        <v/>
      </c>
      <c r="AH315" s="34" t="str">
        <f t="shared" si="315"/>
        <v/>
      </c>
      <c r="AI315" s="34" t="str">
        <f t="shared" si="315"/>
        <v/>
      </c>
      <c r="AJ315" s="34" t="str">
        <f t="shared" si="315"/>
        <v/>
      </c>
      <c r="AK315" s="34" t="str">
        <f t="shared" si="315"/>
        <v/>
      </c>
      <c r="AL315" s="34" t="str">
        <f t="shared" si="315"/>
        <v/>
      </c>
      <c r="AM315" s="34" t="str">
        <f t="shared" si="315"/>
        <v/>
      </c>
      <c r="AN315" s="34" t="str">
        <f t="shared" si="315"/>
        <v/>
      </c>
      <c r="AO315" s="34" t="str">
        <f t="shared" si="315"/>
        <v/>
      </c>
      <c r="AP315" s="34" t="str">
        <f t="shared" si="315"/>
        <v/>
      </c>
      <c r="AQ315" s="76" t="s">
        <v>354</v>
      </c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8"/>
    </row>
    <row r="316">
      <c r="A316" s="79">
        <v>2.5714285714285716</v>
      </c>
      <c r="B316" s="79" t="b">
        <v>0</v>
      </c>
      <c r="C316" s="79" t="b">
        <f t="shared" si="3"/>
        <v>0</v>
      </c>
      <c r="D316" s="80" t="s">
        <v>1565</v>
      </c>
      <c r="E316" s="81" t="s">
        <v>937</v>
      </c>
      <c r="F316" s="82" t="s">
        <v>1482</v>
      </c>
      <c r="G316" s="35" t="s">
        <v>837</v>
      </c>
      <c r="H316" s="37">
        <v>-6.602273982602302</v>
      </c>
      <c r="I316" s="37">
        <v>-1.0724152106734008</v>
      </c>
      <c r="J316" s="83" t="s">
        <v>1956</v>
      </c>
      <c r="K316" s="35">
        <v>21.0</v>
      </c>
      <c r="L316" s="79">
        <v>78.88888888888889</v>
      </c>
      <c r="M316" s="84">
        <v>27.0</v>
      </c>
      <c r="N316" s="84">
        <v>6.0</v>
      </c>
      <c r="O316" s="85">
        <v>-1.583872670161376</v>
      </c>
      <c r="P316" s="85">
        <v>-0.7527250559496588</v>
      </c>
      <c r="Q316" s="85">
        <v>-0.026964494099751622</v>
      </c>
      <c r="R316" s="85">
        <v>0.02704224272657701</v>
      </c>
      <c r="S316" s="85">
        <v>-1.0245240140612961</v>
      </c>
      <c r="T316" s="85">
        <v>-0.16952108464970286</v>
      </c>
      <c r="U316" s="85">
        <v>-1.2701698159214505</v>
      </c>
      <c r="V316" s="85">
        <v>0.0</v>
      </c>
      <c r="W316" s="85">
        <v>-1.496462812816236</v>
      </c>
      <c r="X316" s="85">
        <v>-0.305076277669407</v>
      </c>
      <c r="Y316" s="50" t="s">
        <v>69</v>
      </c>
      <c r="Z316" s="50" t="s">
        <v>69</v>
      </c>
      <c r="AA316" s="50" t="s">
        <v>69</v>
      </c>
      <c r="AB316" s="50" t="s">
        <v>69</v>
      </c>
      <c r="AC316" s="34" t="str">
        <f t="shared" ref="AC316:AP316" si="316">LET(
  skater, IFERROR(INDEX(AllProj, MATCH($E316, AllProjNames, 0), MATCH(AC$2, AllProjCats, 0) + 1), ""),
  goalie, IFERROR(INDEX(AllGProj, MATCH($E316, AllGProjNames, 0), MATCH(AC$2, AllGProjCats, 0) + 1), ""),
  val, IF(skater &lt;&gt; "", skater, goalie),
  IF(OR($E316="", AC$2="", val=""), "", val * AC$1)
)</f>
        <v/>
      </c>
      <c r="AD316" s="34" t="str">
        <f t="shared" si="316"/>
        <v/>
      </c>
      <c r="AE316" s="34" t="str">
        <f t="shared" si="316"/>
        <v/>
      </c>
      <c r="AF316" s="34" t="str">
        <f t="shared" si="316"/>
        <v/>
      </c>
      <c r="AG316" s="34" t="str">
        <f t="shared" si="316"/>
        <v/>
      </c>
      <c r="AH316" s="34" t="str">
        <f t="shared" si="316"/>
        <v/>
      </c>
      <c r="AI316" s="34" t="str">
        <f t="shared" si="316"/>
        <v/>
      </c>
      <c r="AJ316" s="34" t="str">
        <f t="shared" si="316"/>
        <v/>
      </c>
      <c r="AK316" s="34" t="str">
        <f t="shared" si="316"/>
        <v/>
      </c>
      <c r="AL316" s="34" t="str">
        <f t="shared" si="316"/>
        <v/>
      </c>
      <c r="AM316" s="34" t="str">
        <f t="shared" si="316"/>
        <v/>
      </c>
      <c r="AN316" s="34" t="str">
        <f t="shared" si="316"/>
        <v/>
      </c>
      <c r="AO316" s="34" t="str">
        <f t="shared" si="316"/>
        <v/>
      </c>
      <c r="AP316" s="34" t="str">
        <f t="shared" si="316"/>
        <v/>
      </c>
      <c r="AQ316" s="76" t="s">
        <v>355</v>
      </c>
      <c r="AR316" s="77"/>
      <c r="AS316" s="77"/>
      <c r="AT316" s="77"/>
      <c r="AU316" s="77"/>
      <c r="AV316" s="77"/>
      <c r="AW316" s="77"/>
      <c r="AX316" s="77"/>
      <c r="AY316" s="77"/>
      <c r="AZ316" s="77"/>
      <c r="BA316" s="77"/>
      <c r="BB316" s="77"/>
      <c r="BC316" s="77"/>
      <c r="BD316" s="77"/>
      <c r="BE316" s="77"/>
      <c r="BF316" s="77"/>
      <c r="BG316" s="77"/>
      <c r="BH316" s="77"/>
      <c r="BI316" s="77"/>
      <c r="BJ316" s="77"/>
      <c r="BK316" s="77"/>
      <c r="BL316" s="77"/>
      <c r="BM316" s="78"/>
    </row>
    <row r="317">
      <c r="A317" s="41" t="s">
        <v>69</v>
      </c>
      <c r="B317" s="41" t="b">
        <v>0</v>
      </c>
      <c r="C317" s="41" t="b">
        <f t="shared" si="3"/>
        <v>1</v>
      </c>
      <c r="D317" s="42" t="s">
        <v>773</v>
      </c>
      <c r="E317" s="43" t="s">
        <v>1957</v>
      </c>
      <c r="F317" s="44" t="s">
        <v>1426</v>
      </c>
      <c r="G317" s="29" t="s">
        <v>836</v>
      </c>
      <c r="H317" s="32">
        <v>-6.603948322463895</v>
      </c>
      <c r="I317" s="32">
        <v>-1.1618107137360374</v>
      </c>
      <c r="J317" s="45" t="s">
        <v>1958</v>
      </c>
      <c r="K317" s="29">
        <v>24.7</v>
      </c>
      <c r="L317" s="41">
        <v>82.06044117647059</v>
      </c>
      <c r="M317" s="46">
        <v>23.0</v>
      </c>
      <c r="N317" s="46">
        <v>6.0</v>
      </c>
      <c r="O317" s="47">
        <v>0.7847714045448622</v>
      </c>
      <c r="P317" s="47">
        <v>-0.23744232018471412</v>
      </c>
      <c r="Q317" s="47">
        <v>-0.9865959457696324</v>
      </c>
      <c r="R317" s="47">
        <v>-1.1522607834890841</v>
      </c>
      <c r="S317" s="47">
        <v>-0.327857216825222</v>
      </c>
      <c r="T317" s="47">
        <v>-0.6381093422986395</v>
      </c>
      <c r="U317" s="47">
        <v>0.27268124381930364</v>
      </c>
      <c r="V317" s="47">
        <v>0.0</v>
      </c>
      <c r="W317" s="47">
        <v>-2.1872932339762023</v>
      </c>
      <c r="X317" s="47">
        <v>-2.131842128284566</v>
      </c>
      <c r="Y317" s="50" t="s">
        <v>69</v>
      </c>
      <c r="Z317" s="50" t="s">
        <v>69</v>
      </c>
      <c r="AA317" s="50" t="s">
        <v>69</v>
      </c>
      <c r="AB317" s="50" t="s">
        <v>69</v>
      </c>
      <c r="AC317" s="34" t="str">
        <f t="shared" ref="AC317:AP317" si="317">LET(
  skater, IFERROR(INDEX(AllProj, MATCH($E317, AllProjNames, 0), MATCH(AC$2, AllProjCats, 0) + 1), ""),
  goalie, IFERROR(INDEX(AllGProj, MATCH($E317, AllGProjNames, 0), MATCH(AC$2, AllGProjCats, 0) + 1), ""),
  val, IF(skater &lt;&gt; "", skater, goalie),
  IF(OR($E317="", AC$2="", val=""), "", val * AC$1)
)</f>
        <v/>
      </c>
      <c r="AD317" s="34" t="str">
        <f t="shared" si="317"/>
        <v/>
      </c>
      <c r="AE317" s="34" t="str">
        <f t="shared" si="317"/>
        <v/>
      </c>
      <c r="AF317" s="34" t="str">
        <f t="shared" si="317"/>
        <v/>
      </c>
      <c r="AG317" s="34" t="str">
        <f t="shared" si="317"/>
        <v/>
      </c>
      <c r="AH317" s="34" t="str">
        <f t="shared" si="317"/>
        <v/>
      </c>
      <c r="AI317" s="34" t="str">
        <f t="shared" si="317"/>
        <v/>
      </c>
      <c r="AJ317" s="34" t="str">
        <f t="shared" si="317"/>
        <v/>
      </c>
      <c r="AK317" s="34" t="str">
        <f t="shared" si="317"/>
        <v/>
      </c>
      <c r="AL317" s="34" t="str">
        <f t="shared" si="317"/>
        <v/>
      </c>
      <c r="AM317" s="34" t="str">
        <f t="shared" si="317"/>
        <v/>
      </c>
      <c r="AN317" s="34" t="str">
        <f t="shared" si="317"/>
        <v/>
      </c>
      <c r="AO317" s="34" t="str">
        <f t="shared" si="317"/>
        <v/>
      </c>
      <c r="AP317" s="34" t="str">
        <f t="shared" si="317"/>
        <v/>
      </c>
      <c r="AQ317" s="76" t="s">
        <v>356</v>
      </c>
      <c r="AR317" s="77"/>
      <c r="AS317" s="77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77"/>
      <c r="BI317" s="77"/>
      <c r="BJ317" s="77"/>
      <c r="BK317" s="77"/>
      <c r="BL317" s="77"/>
      <c r="BM317" s="78"/>
    </row>
    <row r="318">
      <c r="A318" s="79" t="s">
        <v>69</v>
      </c>
      <c r="B318" s="79" t="b">
        <v>0</v>
      </c>
      <c r="C318" s="79" t="b">
        <f t="shared" si="3"/>
        <v>1</v>
      </c>
      <c r="D318" s="80" t="s">
        <v>254</v>
      </c>
      <c r="E318" s="81" t="s">
        <v>1959</v>
      </c>
      <c r="F318" s="82" t="s">
        <v>1594</v>
      </c>
      <c r="G318" s="35" t="s">
        <v>837</v>
      </c>
      <c r="H318" s="37">
        <v>-6.614666230164573</v>
      </c>
      <c r="I318" s="37">
        <v>-1.0848074582356722</v>
      </c>
      <c r="J318" s="83" t="s">
        <v>1960</v>
      </c>
      <c r="K318" s="35">
        <v>29.9</v>
      </c>
      <c r="L318" s="79">
        <v>78.20044117647059</v>
      </c>
      <c r="M318" s="84">
        <v>26.0</v>
      </c>
      <c r="N318" s="84">
        <v>6.0</v>
      </c>
      <c r="O318" s="85">
        <v>-1.1619850258043294</v>
      </c>
      <c r="P318" s="85">
        <v>0.2171868907547547</v>
      </c>
      <c r="Q318" s="85">
        <v>-3.640348455541733</v>
      </c>
      <c r="R318" s="85">
        <v>0.3789449066702764</v>
      </c>
      <c r="S318" s="85">
        <v>0.45348104461722993</v>
      </c>
      <c r="T318" s="85">
        <v>-0.7745638791724389</v>
      </c>
      <c r="U318" s="85">
        <v>-0.04185562685878306</v>
      </c>
      <c r="V318" s="85">
        <v>0.0</v>
      </c>
      <c r="W318" s="85">
        <v>-1.9655665938621734</v>
      </c>
      <c r="X318" s="85">
        <v>-0.07995949096737798</v>
      </c>
      <c r="Y318" s="50" t="s">
        <v>69</v>
      </c>
      <c r="Z318" s="50" t="s">
        <v>69</v>
      </c>
      <c r="AA318" s="50" t="s">
        <v>69</v>
      </c>
      <c r="AB318" s="50" t="s">
        <v>69</v>
      </c>
      <c r="AC318" s="34" t="str">
        <f t="shared" ref="AC318:AP318" si="318">LET(
  skater, IFERROR(INDEX(AllProj, MATCH($E318, AllProjNames, 0), MATCH(AC$2, AllProjCats, 0) + 1), ""),
  goalie, IFERROR(INDEX(AllGProj, MATCH($E318, AllGProjNames, 0), MATCH(AC$2, AllGProjCats, 0) + 1), ""),
  val, IF(skater &lt;&gt; "", skater, goalie),
  IF(OR($E318="", AC$2="", val=""), "", val * AC$1)
)</f>
        <v/>
      </c>
      <c r="AD318" s="34" t="str">
        <f t="shared" si="318"/>
        <v/>
      </c>
      <c r="AE318" s="34" t="str">
        <f t="shared" si="318"/>
        <v/>
      </c>
      <c r="AF318" s="34" t="str">
        <f t="shared" si="318"/>
        <v/>
      </c>
      <c r="AG318" s="34" t="str">
        <f t="shared" si="318"/>
        <v/>
      </c>
      <c r="AH318" s="34" t="str">
        <f t="shared" si="318"/>
        <v/>
      </c>
      <c r="AI318" s="34" t="str">
        <f t="shared" si="318"/>
        <v/>
      </c>
      <c r="AJ318" s="34" t="str">
        <f t="shared" si="318"/>
        <v/>
      </c>
      <c r="AK318" s="34" t="str">
        <f t="shared" si="318"/>
        <v/>
      </c>
      <c r="AL318" s="34" t="str">
        <f t="shared" si="318"/>
        <v/>
      </c>
      <c r="AM318" s="34" t="str">
        <f t="shared" si="318"/>
        <v/>
      </c>
      <c r="AN318" s="34" t="str">
        <f t="shared" si="318"/>
        <v/>
      </c>
      <c r="AO318" s="34" t="str">
        <f t="shared" si="318"/>
        <v/>
      </c>
      <c r="AP318" s="34" t="str">
        <f t="shared" si="318"/>
        <v/>
      </c>
      <c r="AQ318" s="76" t="s">
        <v>357</v>
      </c>
      <c r="AR318" s="77"/>
      <c r="AS318" s="77"/>
      <c r="AT318" s="77"/>
      <c r="AU318" s="77"/>
      <c r="AV318" s="77"/>
      <c r="AW318" s="77"/>
      <c r="AX318" s="77"/>
      <c r="AY318" s="77"/>
      <c r="AZ318" s="77"/>
      <c r="BA318" s="77"/>
      <c r="BB318" s="77"/>
      <c r="BC318" s="77"/>
      <c r="BD318" s="77"/>
      <c r="BE318" s="77"/>
      <c r="BF318" s="77"/>
      <c r="BG318" s="77"/>
      <c r="BH318" s="77"/>
      <c r="BI318" s="77"/>
      <c r="BJ318" s="77"/>
      <c r="BK318" s="77"/>
      <c r="BL318" s="77"/>
      <c r="BM318" s="78"/>
    </row>
    <row r="319">
      <c r="A319" s="41" t="s">
        <v>69</v>
      </c>
      <c r="B319" s="41" t="b">
        <v>0</v>
      </c>
      <c r="C319" s="41" t="b">
        <f t="shared" si="3"/>
        <v>1</v>
      </c>
      <c r="D319" s="42" t="s">
        <v>826</v>
      </c>
      <c r="E319" s="43" t="s">
        <v>1961</v>
      </c>
      <c r="F319" s="44" t="s">
        <v>1439</v>
      </c>
      <c r="G319" s="29" t="s">
        <v>829</v>
      </c>
      <c r="H319" s="32">
        <v>-6.614791782557846</v>
      </c>
      <c r="I319" s="32">
        <v>-1.1726541738299892</v>
      </c>
      <c r="J319" s="45" t="s">
        <v>1962</v>
      </c>
      <c r="K319" s="29">
        <v>34.6</v>
      </c>
      <c r="L319" s="41">
        <v>71.94279411764705</v>
      </c>
      <c r="M319" s="46">
        <v>25.0</v>
      </c>
      <c r="N319" s="46">
        <v>6.0</v>
      </c>
      <c r="O319" s="47">
        <v>0.10385702881837056</v>
      </c>
      <c r="P319" s="47">
        <v>-0.45700157447472534</v>
      </c>
      <c r="Q319" s="47">
        <v>0.7207913062322561</v>
      </c>
      <c r="R319" s="47">
        <v>-1.7863304870768704</v>
      </c>
      <c r="S319" s="47">
        <v>-0.6245263726258605</v>
      </c>
      <c r="T319" s="47">
        <v>-0.720675108434122</v>
      </c>
      <c r="U319" s="47">
        <v>-0.6872679843739364</v>
      </c>
      <c r="V319" s="47">
        <v>0.4741260745369879</v>
      </c>
      <c r="W319" s="47">
        <v>-1.5824984647420945</v>
      </c>
      <c r="X319" s="47">
        <v>-2.0552662004178517</v>
      </c>
      <c r="Y319" s="50" t="s">
        <v>69</v>
      </c>
      <c r="Z319" s="50" t="s">
        <v>69</v>
      </c>
      <c r="AA319" s="50" t="s">
        <v>69</v>
      </c>
      <c r="AB319" s="50" t="s">
        <v>69</v>
      </c>
      <c r="AC319" s="34" t="str">
        <f t="shared" ref="AC319:AP319" si="319">LET(
  skater, IFERROR(INDEX(AllProj, MATCH($E319, AllProjNames, 0), MATCH(AC$2, AllProjCats, 0) + 1), ""),
  goalie, IFERROR(INDEX(AllGProj, MATCH($E319, AllGProjNames, 0), MATCH(AC$2, AllGProjCats, 0) + 1), ""),
  val, IF(skater &lt;&gt; "", skater, goalie),
  IF(OR($E319="", AC$2="", val=""), "", val * AC$1)
)</f>
        <v/>
      </c>
      <c r="AD319" s="34" t="str">
        <f t="shared" si="319"/>
        <v/>
      </c>
      <c r="AE319" s="34" t="str">
        <f t="shared" si="319"/>
        <v/>
      </c>
      <c r="AF319" s="34" t="str">
        <f t="shared" si="319"/>
        <v/>
      </c>
      <c r="AG319" s="34" t="str">
        <f t="shared" si="319"/>
        <v/>
      </c>
      <c r="AH319" s="34" t="str">
        <f t="shared" si="319"/>
        <v/>
      </c>
      <c r="AI319" s="34" t="str">
        <f t="shared" si="319"/>
        <v/>
      </c>
      <c r="AJ319" s="34" t="str">
        <f t="shared" si="319"/>
        <v/>
      </c>
      <c r="AK319" s="34" t="str">
        <f t="shared" si="319"/>
        <v/>
      </c>
      <c r="AL319" s="34" t="str">
        <f t="shared" si="319"/>
        <v/>
      </c>
      <c r="AM319" s="34" t="str">
        <f t="shared" si="319"/>
        <v/>
      </c>
      <c r="AN319" s="34" t="str">
        <f t="shared" si="319"/>
        <v/>
      </c>
      <c r="AO319" s="34" t="str">
        <f t="shared" si="319"/>
        <v/>
      </c>
      <c r="AP319" s="34" t="str">
        <f t="shared" si="319"/>
        <v/>
      </c>
      <c r="AQ319" s="76" t="s">
        <v>358</v>
      </c>
      <c r="AR319" s="77"/>
      <c r="AS319" s="77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77"/>
      <c r="BI319" s="77"/>
      <c r="BJ319" s="77"/>
      <c r="BK319" s="77"/>
      <c r="BL319" s="77"/>
      <c r="BM319" s="78"/>
    </row>
    <row r="320">
      <c r="A320" s="79" t="s">
        <v>69</v>
      </c>
      <c r="B320" s="79" t="b">
        <v>0</v>
      </c>
      <c r="C320" s="79" t="b">
        <f t="shared" si="3"/>
        <v>1</v>
      </c>
      <c r="D320" s="80" t="s">
        <v>826</v>
      </c>
      <c r="E320" s="81" t="s">
        <v>1963</v>
      </c>
      <c r="F320" s="82" t="s">
        <v>1426</v>
      </c>
      <c r="G320" s="35" t="s">
        <v>284</v>
      </c>
      <c r="H320" s="37">
        <v>-6.638498413412864</v>
      </c>
      <c r="I320" s="37">
        <v>-1.600432393229779</v>
      </c>
      <c r="J320" s="83" t="s">
        <v>1964</v>
      </c>
      <c r="K320" s="35">
        <v>22.2</v>
      </c>
      <c r="L320" s="79">
        <v>79.961</v>
      </c>
      <c r="M320" s="84">
        <v>23.0</v>
      </c>
      <c r="N320" s="84">
        <v>6.0</v>
      </c>
      <c r="O320" s="85">
        <v>-0.5515442741679246</v>
      </c>
      <c r="P320" s="85">
        <v>-1.0997205374803096</v>
      </c>
      <c r="Q320" s="85">
        <v>-0.6023520298241161</v>
      </c>
      <c r="R320" s="85">
        <v>-1.591038325579762</v>
      </c>
      <c r="S320" s="85">
        <v>-1.2243365449848538</v>
      </c>
      <c r="T320" s="85">
        <v>-0.19630179078262672</v>
      </c>
      <c r="U320" s="85">
        <v>-1.0535461273149334</v>
      </c>
      <c r="V320" s="85">
        <v>0.6899847765332899</v>
      </c>
      <c r="W320" s="85">
        <v>0.37572965116516965</v>
      </c>
      <c r="X320" s="85">
        <v>-1.3853732109767967</v>
      </c>
      <c r="Y320" s="50" t="s">
        <v>69</v>
      </c>
      <c r="Z320" s="50" t="s">
        <v>69</v>
      </c>
      <c r="AA320" s="50" t="s">
        <v>69</v>
      </c>
      <c r="AB320" s="50" t="s">
        <v>69</v>
      </c>
      <c r="AC320" s="34" t="str">
        <f t="shared" ref="AC320:AP320" si="320">LET(
  skater, IFERROR(INDEX(AllProj, MATCH($E320, AllProjNames, 0), MATCH(AC$2, AllProjCats, 0) + 1), ""),
  goalie, IFERROR(INDEX(AllGProj, MATCH($E320, AllGProjNames, 0), MATCH(AC$2, AllGProjCats, 0) + 1), ""),
  val, IF(skater &lt;&gt; "", skater, goalie),
  IF(OR($E320="", AC$2="", val=""), "", val * AC$1)
)</f>
        <v/>
      </c>
      <c r="AD320" s="34" t="str">
        <f t="shared" si="320"/>
        <v/>
      </c>
      <c r="AE320" s="34" t="str">
        <f t="shared" si="320"/>
        <v/>
      </c>
      <c r="AF320" s="34" t="str">
        <f t="shared" si="320"/>
        <v/>
      </c>
      <c r="AG320" s="34" t="str">
        <f t="shared" si="320"/>
        <v/>
      </c>
      <c r="AH320" s="34" t="str">
        <f t="shared" si="320"/>
        <v/>
      </c>
      <c r="AI320" s="34" t="str">
        <f t="shared" si="320"/>
        <v/>
      </c>
      <c r="AJ320" s="34" t="str">
        <f t="shared" si="320"/>
        <v/>
      </c>
      <c r="AK320" s="34" t="str">
        <f t="shared" si="320"/>
        <v/>
      </c>
      <c r="AL320" s="34" t="str">
        <f t="shared" si="320"/>
        <v/>
      </c>
      <c r="AM320" s="34" t="str">
        <f t="shared" si="320"/>
        <v/>
      </c>
      <c r="AN320" s="34" t="str">
        <f t="shared" si="320"/>
        <v/>
      </c>
      <c r="AO320" s="34" t="str">
        <f t="shared" si="320"/>
        <v/>
      </c>
      <c r="AP320" s="34" t="str">
        <f t="shared" si="320"/>
        <v/>
      </c>
      <c r="AQ320" s="76" t="s">
        <v>359</v>
      </c>
      <c r="AR320" s="77"/>
      <c r="AS320" s="77"/>
      <c r="AT320" s="77"/>
      <c r="AU320" s="77"/>
      <c r="AV320" s="77"/>
      <c r="AW320" s="77"/>
      <c r="AX320" s="77"/>
      <c r="AY320" s="77"/>
      <c r="AZ320" s="77"/>
      <c r="BA320" s="77"/>
      <c r="BB320" s="77"/>
      <c r="BC320" s="77"/>
      <c r="BD320" s="77"/>
      <c r="BE320" s="77"/>
      <c r="BF320" s="77"/>
      <c r="BG320" s="77"/>
      <c r="BH320" s="77"/>
      <c r="BI320" s="77"/>
      <c r="BJ320" s="77"/>
      <c r="BK320" s="77"/>
      <c r="BL320" s="77"/>
      <c r="BM320" s="78"/>
    </row>
    <row r="321">
      <c r="A321" s="41">
        <v>2.5</v>
      </c>
      <c r="B321" s="41" t="b">
        <v>0</v>
      </c>
      <c r="C321" s="41" t="b">
        <f t="shared" si="3"/>
        <v>0</v>
      </c>
      <c r="D321" s="42" t="s">
        <v>1565</v>
      </c>
      <c r="E321" s="43" t="s">
        <v>905</v>
      </c>
      <c r="F321" s="44" t="s">
        <v>1419</v>
      </c>
      <c r="G321" s="29" t="s">
        <v>835</v>
      </c>
      <c r="H321" s="32">
        <v>-6.639512069940601</v>
      </c>
      <c r="I321" s="32">
        <v>-1.251631945027862</v>
      </c>
      <c r="J321" s="45" t="s">
        <v>1965</v>
      </c>
      <c r="K321" s="29">
        <v>34.8</v>
      </c>
      <c r="L321" s="41">
        <v>79.25661764705882</v>
      </c>
      <c r="M321" s="46">
        <v>23.0</v>
      </c>
      <c r="N321" s="46">
        <v>7.0</v>
      </c>
      <c r="O321" s="47">
        <v>-0.3344953039879067</v>
      </c>
      <c r="P321" s="47">
        <v>-0.36587699539721596</v>
      </c>
      <c r="Q321" s="47">
        <v>-0.1386022674919105</v>
      </c>
      <c r="R321" s="47">
        <v>-0.517330754498534</v>
      </c>
      <c r="S321" s="47">
        <v>-0.7182843505715908</v>
      </c>
      <c r="T321" s="47">
        <v>-0.784065724443486</v>
      </c>
      <c r="U321" s="47">
        <v>-0.5262760809474717</v>
      </c>
      <c r="V321" s="47">
        <v>0.0</v>
      </c>
      <c r="W321" s="47">
        <v>-1.5895946749908958</v>
      </c>
      <c r="X321" s="47">
        <v>-1.664985917611589</v>
      </c>
      <c r="Y321" s="50" t="s">
        <v>69</v>
      </c>
      <c r="Z321" s="50" t="s">
        <v>69</v>
      </c>
      <c r="AA321" s="50" t="s">
        <v>69</v>
      </c>
      <c r="AB321" s="50" t="s">
        <v>69</v>
      </c>
      <c r="AC321" s="34" t="str">
        <f t="shared" ref="AC321:AP321" si="321">LET(
  skater, IFERROR(INDEX(AllProj, MATCH($E321, AllProjNames, 0), MATCH(AC$2, AllProjCats, 0) + 1), ""),
  goalie, IFERROR(INDEX(AllGProj, MATCH($E321, AllGProjNames, 0), MATCH(AC$2, AllGProjCats, 0) + 1), ""),
  val, IF(skater &lt;&gt; "", skater, goalie),
  IF(OR($E321="", AC$2="", val=""), "", val * AC$1)
)</f>
        <v/>
      </c>
      <c r="AD321" s="34" t="str">
        <f t="shared" si="321"/>
        <v/>
      </c>
      <c r="AE321" s="34" t="str">
        <f t="shared" si="321"/>
        <v/>
      </c>
      <c r="AF321" s="34" t="str">
        <f t="shared" si="321"/>
        <v/>
      </c>
      <c r="AG321" s="34" t="str">
        <f t="shared" si="321"/>
        <v/>
      </c>
      <c r="AH321" s="34" t="str">
        <f t="shared" si="321"/>
        <v/>
      </c>
      <c r="AI321" s="34" t="str">
        <f t="shared" si="321"/>
        <v/>
      </c>
      <c r="AJ321" s="34" t="str">
        <f t="shared" si="321"/>
        <v/>
      </c>
      <c r="AK321" s="34" t="str">
        <f t="shared" si="321"/>
        <v/>
      </c>
      <c r="AL321" s="34" t="str">
        <f t="shared" si="321"/>
        <v/>
      </c>
      <c r="AM321" s="34" t="str">
        <f t="shared" si="321"/>
        <v/>
      </c>
      <c r="AN321" s="34" t="str">
        <f t="shared" si="321"/>
        <v/>
      </c>
      <c r="AO321" s="34" t="str">
        <f t="shared" si="321"/>
        <v/>
      </c>
      <c r="AP321" s="34" t="str">
        <f t="shared" si="321"/>
        <v/>
      </c>
      <c r="AQ321" s="76" t="s">
        <v>360</v>
      </c>
      <c r="AR321" s="77"/>
      <c r="AS321" s="77"/>
      <c r="AT321" s="77"/>
      <c r="AU321" s="77"/>
      <c r="AV321" s="77"/>
      <c r="AW321" s="77"/>
      <c r="AX321" s="77"/>
      <c r="AY321" s="77"/>
      <c r="AZ321" s="77"/>
      <c r="BA321" s="77"/>
      <c r="BB321" s="77"/>
      <c r="BC321" s="77"/>
      <c r="BD321" s="77"/>
      <c r="BE321" s="77"/>
      <c r="BF321" s="77"/>
      <c r="BG321" s="77"/>
      <c r="BH321" s="77"/>
      <c r="BI321" s="77"/>
      <c r="BJ321" s="77"/>
      <c r="BK321" s="77"/>
      <c r="BL321" s="77"/>
      <c r="BM321" s="78"/>
    </row>
    <row r="322">
      <c r="A322" s="79" t="s">
        <v>69</v>
      </c>
      <c r="B322" s="79" t="b">
        <v>0</v>
      </c>
      <c r="C322" s="79" t="b">
        <f t="shared" si="3"/>
        <v>1</v>
      </c>
      <c r="D322" s="80" t="s">
        <v>825</v>
      </c>
      <c r="E322" s="81" t="s">
        <v>1966</v>
      </c>
      <c r="F322" s="82" t="s">
        <v>1411</v>
      </c>
      <c r="G322" s="35" t="s">
        <v>6</v>
      </c>
      <c r="H322" s="37">
        <v>-6.645487019550355</v>
      </c>
      <c r="I322" s="37">
        <v>-2.3072640410802414</v>
      </c>
      <c r="J322" s="83" t="s">
        <v>1967</v>
      </c>
      <c r="K322" s="35">
        <v>32.7</v>
      </c>
      <c r="L322" s="79">
        <v>31.0</v>
      </c>
      <c r="M322" s="84">
        <v>33.0</v>
      </c>
      <c r="N322" s="84">
        <v>8.0</v>
      </c>
      <c r="O322" s="96" t="s">
        <v>69</v>
      </c>
      <c r="P322" s="96" t="s">
        <v>69</v>
      </c>
      <c r="Q322" s="96" t="s">
        <v>69</v>
      </c>
      <c r="R322" s="96" t="s">
        <v>69</v>
      </c>
      <c r="S322" s="96" t="s">
        <v>69</v>
      </c>
      <c r="T322" s="96" t="s">
        <v>69</v>
      </c>
      <c r="U322" s="96" t="s">
        <v>69</v>
      </c>
      <c r="V322" s="96" t="s">
        <v>69</v>
      </c>
      <c r="W322" s="96" t="s">
        <v>69</v>
      </c>
      <c r="X322" s="96" t="s">
        <v>69</v>
      </c>
      <c r="Y322" s="95">
        <v>-1.9885588924347912</v>
      </c>
      <c r="Z322" s="95">
        <v>-2.3787151327057514</v>
      </c>
      <c r="AA322" s="95">
        <v>-2.2782129944098126</v>
      </c>
      <c r="AB322" s="95">
        <v>0.0</v>
      </c>
      <c r="AC322" s="34" t="str">
        <f t="shared" ref="AC322:AP322" si="322">LET(
  skater, IFERROR(INDEX(AllProj, MATCH($E322, AllProjNames, 0), MATCH(AC$2, AllProjCats, 0) + 1), ""),
  goalie, IFERROR(INDEX(AllGProj, MATCH($E322, AllGProjNames, 0), MATCH(AC$2, AllGProjCats, 0) + 1), ""),
  val, IF(skater &lt;&gt; "", skater, goalie),
  IF(OR($E322="", AC$2="", val=""), "", val * AC$1)
)</f>
        <v/>
      </c>
      <c r="AD322" s="34" t="str">
        <f t="shared" si="322"/>
        <v/>
      </c>
      <c r="AE322" s="34" t="str">
        <f t="shared" si="322"/>
        <v/>
      </c>
      <c r="AF322" s="34" t="str">
        <f t="shared" si="322"/>
        <v/>
      </c>
      <c r="AG322" s="34" t="str">
        <f t="shared" si="322"/>
        <v/>
      </c>
      <c r="AH322" s="34" t="str">
        <f t="shared" si="322"/>
        <v/>
      </c>
      <c r="AI322" s="34" t="str">
        <f t="shared" si="322"/>
        <v/>
      </c>
      <c r="AJ322" s="34" t="str">
        <f t="shared" si="322"/>
        <v/>
      </c>
      <c r="AK322" s="34" t="str">
        <f t="shared" si="322"/>
        <v/>
      </c>
      <c r="AL322" s="34" t="str">
        <f t="shared" si="322"/>
        <v/>
      </c>
      <c r="AM322" s="34" t="str">
        <f t="shared" si="322"/>
        <v/>
      </c>
      <c r="AN322" s="34" t="str">
        <f t="shared" si="322"/>
        <v/>
      </c>
      <c r="AO322" s="34" t="str">
        <f t="shared" si="322"/>
        <v/>
      </c>
      <c r="AP322" s="34" t="str">
        <f t="shared" si="322"/>
        <v/>
      </c>
      <c r="AQ322" s="76" t="s">
        <v>361</v>
      </c>
      <c r="AR322" s="77"/>
      <c r="AS322" s="77"/>
      <c r="AT322" s="77"/>
      <c r="AU322" s="77"/>
      <c r="AV322" s="77"/>
      <c r="AW322" s="77"/>
      <c r="AX322" s="77"/>
      <c r="AY322" s="77"/>
      <c r="AZ322" s="77"/>
      <c r="BA322" s="77"/>
      <c r="BB322" s="77"/>
      <c r="BC322" s="77"/>
      <c r="BD322" s="77"/>
      <c r="BE322" s="77"/>
      <c r="BF322" s="77"/>
      <c r="BG322" s="77"/>
      <c r="BH322" s="77"/>
      <c r="BI322" s="77"/>
      <c r="BJ322" s="77"/>
      <c r="BK322" s="77"/>
      <c r="BL322" s="77"/>
      <c r="BM322" s="78"/>
    </row>
    <row r="323">
      <c r="A323" s="41">
        <v>2.5714285714285716</v>
      </c>
      <c r="B323" s="41" t="b">
        <v>0</v>
      </c>
      <c r="C323" s="41" t="b">
        <f t="shared" si="3"/>
        <v>0</v>
      </c>
      <c r="D323" s="42" t="s">
        <v>1565</v>
      </c>
      <c r="E323" s="43" t="s">
        <v>1025</v>
      </c>
      <c r="F323" s="44" t="s">
        <v>1461</v>
      </c>
      <c r="G323" s="29" t="s">
        <v>837</v>
      </c>
      <c r="H323" s="32">
        <v>-6.656796049956407</v>
      </c>
      <c r="I323" s="32">
        <v>-1.1269372780275058</v>
      </c>
      <c r="J323" s="45" t="s">
        <v>1968</v>
      </c>
      <c r="K323" s="29">
        <v>32.1</v>
      </c>
      <c r="L323" s="41">
        <v>77.84160714285714</v>
      </c>
      <c r="M323" s="46">
        <v>23.0</v>
      </c>
      <c r="N323" s="46">
        <v>6.0</v>
      </c>
      <c r="O323" s="47">
        <v>-1.658720113581405</v>
      </c>
      <c r="P323" s="47">
        <v>-0.6329069081588266</v>
      </c>
      <c r="Q323" s="47">
        <v>0.37058983786977934</v>
      </c>
      <c r="R323" s="47">
        <v>0.20034685415251136</v>
      </c>
      <c r="S323" s="47">
        <v>-1.2778775727621903</v>
      </c>
      <c r="T323" s="47">
        <v>-0.7378966525609921</v>
      </c>
      <c r="U323" s="47">
        <v>-1.5246875965340592</v>
      </c>
      <c r="V323" s="47">
        <v>0.0</v>
      </c>
      <c r="W323" s="47">
        <v>-1.712227621651925</v>
      </c>
      <c r="X323" s="47">
        <v>0.31658372327069945</v>
      </c>
      <c r="Y323" s="50" t="s">
        <v>69</v>
      </c>
      <c r="Z323" s="50" t="s">
        <v>69</v>
      </c>
      <c r="AA323" s="50" t="s">
        <v>69</v>
      </c>
      <c r="AB323" s="50" t="s">
        <v>69</v>
      </c>
      <c r="AC323" s="34" t="str">
        <f t="shared" ref="AC323:AP323" si="323">LET(
  skater, IFERROR(INDEX(AllProj, MATCH($E323, AllProjNames, 0), MATCH(AC$2, AllProjCats, 0) + 1), ""),
  goalie, IFERROR(INDEX(AllGProj, MATCH($E323, AllGProjNames, 0), MATCH(AC$2, AllGProjCats, 0) + 1), ""),
  val, IF(skater &lt;&gt; "", skater, goalie),
  IF(OR($E323="", AC$2="", val=""), "", val * AC$1)
)</f>
        <v/>
      </c>
      <c r="AD323" s="34" t="str">
        <f t="shared" si="323"/>
        <v/>
      </c>
      <c r="AE323" s="34" t="str">
        <f t="shared" si="323"/>
        <v/>
      </c>
      <c r="AF323" s="34" t="str">
        <f t="shared" si="323"/>
        <v/>
      </c>
      <c r="AG323" s="34" t="str">
        <f t="shared" si="323"/>
        <v/>
      </c>
      <c r="AH323" s="34" t="str">
        <f t="shared" si="323"/>
        <v/>
      </c>
      <c r="AI323" s="34" t="str">
        <f t="shared" si="323"/>
        <v/>
      </c>
      <c r="AJ323" s="34" t="str">
        <f t="shared" si="323"/>
        <v/>
      </c>
      <c r="AK323" s="34" t="str">
        <f t="shared" si="323"/>
        <v/>
      </c>
      <c r="AL323" s="34" t="str">
        <f t="shared" si="323"/>
        <v/>
      </c>
      <c r="AM323" s="34" t="str">
        <f t="shared" si="323"/>
        <v/>
      </c>
      <c r="AN323" s="34" t="str">
        <f t="shared" si="323"/>
        <v/>
      </c>
      <c r="AO323" s="34" t="str">
        <f t="shared" si="323"/>
        <v/>
      </c>
      <c r="AP323" s="34" t="str">
        <f t="shared" si="323"/>
        <v/>
      </c>
      <c r="AQ323" s="76" t="s">
        <v>362</v>
      </c>
      <c r="AR323" s="77"/>
      <c r="AS323" s="77"/>
      <c r="AT323" s="77"/>
      <c r="AU323" s="77"/>
      <c r="AV323" s="77"/>
      <c r="AW323" s="77"/>
      <c r="AX323" s="77"/>
      <c r="AY323" s="77"/>
      <c r="AZ323" s="77"/>
      <c r="BA323" s="77"/>
      <c r="BB323" s="77"/>
      <c r="BC323" s="77"/>
      <c r="BD323" s="77"/>
      <c r="BE323" s="77"/>
      <c r="BF323" s="77"/>
      <c r="BG323" s="77"/>
      <c r="BH323" s="77"/>
      <c r="BI323" s="77"/>
      <c r="BJ323" s="77"/>
      <c r="BK323" s="77"/>
      <c r="BL323" s="77"/>
      <c r="BM323" s="78"/>
    </row>
    <row r="324">
      <c r="A324" s="79">
        <v>2.5714285714285716</v>
      </c>
      <c r="B324" s="79" t="b">
        <v>0</v>
      </c>
      <c r="C324" s="79" t="b">
        <f t="shared" si="3"/>
        <v>0</v>
      </c>
      <c r="D324" s="80" t="s">
        <v>1565</v>
      </c>
      <c r="E324" s="81" t="s">
        <v>957</v>
      </c>
      <c r="F324" s="82" t="s">
        <v>1563</v>
      </c>
      <c r="G324" s="35" t="s">
        <v>837</v>
      </c>
      <c r="H324" s="37">
        <v>-6.672491238673112</v>
      </c>
      <c r="I324" s="37">
        <v>-1.1426324667442112</v>
      </c>
      <c r="J324" s="83" t="s">
        <v>1969</v>
      </c>
      <c r="K324" s="35">
        <v>33.3</v>
      </c>
      <c r="L324" s="79">
        <v>78.42857142857143</v>
      </c>
      <c r="M324" s="84">
        <v>29.0</v>
      </c>
      <c r="N324" s="84">
        <v>6.0</v>
      </c>
      <c r="O324" s="85">
        <v>-2.2366146743324893</v>
      </c>
      <c r="P324" s="85">
        <v>-1.834083020330641</v>
      </c>
      <c r="Q324" s="85">
        <v>-0.3110427625965703</v>
      </c>
      <c r="R324" s="85">
        <v>-0.17210225778699081</v>
      </c>
      <c r="S324" s="85">
        <v>-1.72461069241107</v>
      </c>
      <c r="T324" s="85">
        <v>-0.16952108464970286</v>
      </c>
      <c r="U324" s="85">
        <v>-1.8877977149461664</v>
      </c>
      <c r="V324" s="85">
        <v>0.0</v>
      </c>
      <c r="W324" s="85">
        <v>-0.36095967128091794</v>
      </c>
      <c r="X324" s="85">
        <v>2.024240639661438</v>
      </c>
      <c r="Y324" s="50" t="s">
        <v>69</v>
      </c>
      <c r="Z324" s="50" t="s">
        <v>69</v>
      </c>
      <c r="AA324" s="50" t="s">
        <v>69</v>
      </c>
      <c r="AB324" s="50" t="s">
        <v>69</v>
      </c>
      <c r="AC324" s="34" t="str">
        <f t="shared" ref="AC324:AP324" si="324">LET(
  skater, IFERROR(INDEX(AllProj, MATCH($E324, AllProjNames, 0), MATCH(AC$2, AllProjCats, 0) + 1), ""),
  goalie, IFERROR(INDEX(AllGProj, MATCH($E324, AllGProjNames, 0), MATCH(AC$2, AllGProjCats, 0) + 1), ""),
  val, IF(skater &lt;&gt; "", skater, goalie),
  IF(OR($E324="", AC$2="", val=""), "", val * AC$1)
)</f>
        <v/>
      </c>
      <c r="AD324" s="34" t="str">
        <f t="shared" si="324"/>
        <v/>
      </c>
      <c r="AE324" s="34" t="str">
        <f t="shared" si="324"/>
        <v/>
      </c>
      <c r="AF324" s="34" t="str">
        <f t="shared" si="324"/>
        <v/>
      </c>
      <c r="AG324" s="34" t="str">
        <f t="shared" si="324"/>
        <v/>
      </c>
      <c r="AH324" s="34" t="str">
        <f t="shared" si="324"/>
        <v/>
      </c>
      <c r="AI324" s="34" t="str">
        <f t="shared" si="324"/>
        <v/>
      </c>
      <c r="AJ324" s="34" t="str">
        <f t="shared" si="324"/>
        <v/>
      </c>
      <c r="AK324" s="34" t="str">
        <f t="shared" si="324"/>
        <v/>
      </c>
      <c r="AL324" s="34" t="str">
        <f t="shared" si="324"/>
        <v/>
      </c>
      <c r="AM324" s="34" t="str">
        <f t="shared" si="324"/>
        <v/>
      </c>
      <c r="AN324" s="34" t="str">
        <f t="shared" si="324"/>
        <v/>
      </c>
      <c r="AO324" s="34" t="str">
        <f t="shared" si="324"/>
        <v/>
      </c>
      <c r="AP324" s="34" t="str">
        <f t="shared" si="324"/>
        <v/>
      </c>
      <c r="AQ324" s="76" t="s">
        <v>363</v>
      </c>
      <c r="AR324" s="77"/>
      <c r="AS324" s="77"/>
      <c r="AT324" s="77"/>
      <c r="AU324" s="77"/>
      <c r="AV324" s="77"/>
      <c r="AW324" s="77"/>
      <c r="AX324" s="77"/>
      <c r="AY324" s="77"/>
      <c r="AZ324" s="77"/>
      <c r="BA324" s="77"/>
      <c r="BB324" s="77"/>
      <c r="BC324" s="77"/>
      <c r="BD324" s="77"/>
      <c r="BE324" s="77"/>
      <c r="BF324" s="77"/>
      <c r="BG324" s="77"/>
      <c r="BH324" s="77"/>
      <c r="BI324" s="77"/>
      <c r="BJ324" s="77"/>
      <c r="BK324" s="77"/>
      <c r="BL324" s="77"/>
      <c r="BM324" s="78"/>
    </row>
    <row r="325">
      <c r="A325" s="41" t="s">
        <v>69</v>
      </c>
      <c r="B325" s="41" t="b">
        <v>0</v>
      </c>
      <c r="C325" s="41" t="b">
        <f t="shared" si="3"/>
        <v>1</v>
      </c>
      <c r="D325" s="42" t="s">
        <v>826</v>
      </c>
      <c r="E325" s="43" t="s">
        <v>1970</v>
      </c>
      <c r="F325" s="44" t="s">
        <v>1779</v>
      </c>
      <c r="G325" s="29" t="s">
        <v>837</v>
      </c>
      <c r="H325" s="32">
        <v>-6.674596492927845</v>
      </c>
      <c r="I325" s="32">
        <v>-1.1447377209989442</v>
      </c>
      <c r="J325" s="45" t="s">
        <v>1971</v>
      </c>
      <c r="K325" s="29">
        <v>28.9</v>
      </c>
      <c r="L325" s="41">
        <v>79.65455882352941</v>
      </c>
      <c r="M325" s="46">
        <v>27.0</v>
      </c>
      <c r="N325" s="46">
        <v>6.0</v>
      </c>
      <c r="O325" s="47">
        <v>-1.6963394986585303</v>
      </c>
      <c r="P325" s="47">
        <v>0.6407586630212714</v>
      </c>
      <c r="Q325" s="47">
        <v>-4.085695212973579</v>
      </c>
      <c r="R325" s="47">
        <v>-0.4474546526463296</v>
      </c>
      <c r="S325" s="47">
        <v>0.07175733027447559</v>
      </c>
      <c r="T325" s="47">
        <v>-0.43707059491055716</v>
      </c>
      <c r="U325" s="47">
        <v>-0.807967529937075</v>
      </c>
      <c r="V325" s="47">
        <v>0.0</v>
      </c>
      <c r="W325" s="47">
        <v>-0.21150120916920287</v>
      </c>
      <c r="X325" s="47">
        <v>0.2989162120716822</v>
      </c>
      <c r="Y325" s="50" t="s">
        <v>69</v>
      </c>
      <c r="Z325" s="50" t="s">
        <v>69</v>
      </c>
      <c r="AA325" s="50" t="s">
        <v>69</v>
      </c>
      <c r="AB325" s="50" t="s">
        <v>69</v>
      </c>
      <c r="AC325" s="34" t="str">
        <f t="shared" ref="AC325:AP325" si="325">LET(
  skater, IFERROR(INDEX(AllProj, MATCH($E325, AllProjNames, 0), MATCH(AC$2, AllProjCats, 0) + 1), ""),
  goalie, IFERROR(INDEX(AllGProj, MATCH($E325, AllGProjNames, 0), MATCH(AC$2, AllGProjCats, 0) + 1), ""),
  val, IF(skater &lt;&gt; "", skater, goalie),
  IF(OR($E325="", AC$2="", val=""), "", val * AC$1)
)</f>
        <v/>
      </c>
      <c r="AD325" s="34" t="str">
        <f t="shared" si="325"/>
        <v/>
      </c>
      <c r="AE325" s="34" t="str">
        <f t="shared" si="325"/>
        <v/>
      </c>
      <c r="AF325" s="34" t="str">
        <f t="shared" si="325"/>
        <v/>
      </c>
      <c r="AG325" s="34" t="str">
        <f t="shared" si="325"/>
        <v/>
      </c>
      <c r="AH325" s="34" t="str">
        <f t="shared" si="325"/>
        <v/>
      </c>
      <c r="AI325" s="34" t="str">
        <f t="shared" si="325"/>
        <v/>
      </c>
      <c r="AJ325" s="34" t="str">
        <f t="shared" si="325"/>
        <v/>
      </c>
      <c r="AK325" s="34" t="str">
        <f t="shared" si="325"/>
        <v/>
      </c>
      <c r="AL325" s="34" t="str">
        <f t="shared" si="325"/>
        <v/>
      </c>
      <c r="AM325" s="34" t="str">
        <f t="shared" si="325"/>
        <v/>
      </c>
      <c r="AN325" s="34" t="str">
        <f t="shared" si="325"/>
        <v/>
      </c>
      <c r="AO325" s="34" t="str">
        <f t="shared" si="325"/>
        <v/>
      </c>
      <c r="AP325" s="34" t="str">
        <f t="shared" si="325"/>
        <v/>
      </c>
      <c r="AQ325" s="76" t="s">
        <v>364</v>
      </c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/>
      <c r="BC325" s="77"/>
      <c r="BD325" s="77"/>
      <c r="BE325" s="77"/>
      <c r="BF325" s="77"/>
      <c r="BG325" s="77"/>
      <c r="BH325" s="77"/>
      <c r="BI325" s="77"/>
      <c r="BJ325" s="77"/>
      <c r="BK325" s="77"/>
      <c r="BL325" s="77"/>
      <c r="BM325" s="78"/>
    </row>
    <row r="326">
      <c r="A326" s="79">
        <v>2.5714285714285716</v>
      </c>
      <c r="B326" s="79" t="b">
        <v>0</v>
      </c>
      <c r="C326" s="79" t="b">
        <f t="shared" si="3"/>
        <v>0</v>
      </c>
      <c r="D326" s="80" t="s">
        <v>1565</v>
      </c>
      <c r="E326" s="81" t="s">
        <v>1031</v>
      </c>
      <c r="F326" s="82" t="s">
        <v>1451</v>
      </c>
      <c r="G326" s="35" t="s">
        <v>830</v>
      </c>
      <c r="H326" s="37">
        <v>-6.6988484477548536</v>
      </c>
      <c r="I326" s="37">
        <v>-1.3109683228421147</v>
      </c>
      <c r="J326" s="83" t="s">
        <v>1972</v>
      </c>
      <c r="K326" s="35">
        <v>22.4</v>
      </c>
      <c r="L326" s="79">
        <v>81.69382352941177</v>
      </c>
      <c r="M326" s="84">
        <v>29.0</v>
      </c>
      <c r="N326" s="84">
        <v>7.0</v>
      </c>
      <c r="O326" s="85">
        <v>-0.6958965001359493</v>
      </c>
      <c r="P326" s="85">
        <v>-1.31200941454794</v>
      </c>
      <c r="Q326" s="85">
        <v>-1.9834542959966097</v>
      </c>
      <c r="R326" s="85">
        <v>-0.82705595064829</v>
      </c>
      <c r="S326" s="85">
        <v>-1.2104808308099537</v>
      </c>
      <c r="T326" s="85">
        <v>-0.2634143892522558</v>
      </c>
      <c r="U326" s="85">
        <v>-0.45869029128370636</v>
      </c>
      <c r="V326" s="85">
        <v>0.15038827475530445</v>
      </c>
      <c r="W326" s="85">
        <v>1.028865315995502</v>
      </c>
      <c r="X326" s="85">
        <v>-1.1271003658309549</v>
      </c>
      <c r="Y326" s="50" t="s">
        <v>69</v>
      </c>
      <c r="Z326" s="50" t="s">
        <v>69</v>
      </c>
      <c r="AA326" s="50" t="s">
        <v>69</v>
      </c>
      <c r="AB326" s="50" t="s">
        <v>69</v>
      </c>
      <c r="AC326" s="34" t="str">
        <f t="shared" ref="AC326:AP326" si="326">LET(
  skater, IFERROR(INDEX(AllProj, MATCH($E326, AllProjNames, 0), MATCH(AC$2, AllProjCats, 0) + 1), ""),
  goalie, IFERROR(INDEX(AllGProj, MATCH($E326, AllGProjNames, 0), MATCH(AC$2, AllGProjCats, 0) + 1), ""),
  val, IF(skater &lt;&gt; "", skater, goalie),
  IF(OR($E326="", AC$2="", val=""), "", val * AC$1)
)</f>
        <v/>
      </c>
      <c r="AD326" s="34" t="str">
        <f t="shared" si="326"/>
        <v/>
      </c>
      <c r="AE326" s="34" t="str">
        <f t="shared" si="326"/>
        <v/>
      </c>
      <c r="AF326" s="34" t="str">
        <f t="shared" si="326"/>
        <v/>
      </c>
      <c r="AG326" s="34" t="str">
        <f t="shared" si="326"/>
        <v/>
      </c>
      <c r="AH326" s="34" t="str">
        <f t="shared" si="326"/>
        <v/>
      </c>
      <c r="AI326" s="34" t="str">
        <f t="shared" si="326"/>
        <v/>
      </c>
      <c r="AJ326" s="34" t="str">
        <f t="shared" si="326"/>
        <v/>
      </c>
      <c r="AK326" s="34" t="str">
        <f t="shared" si="326"/>
        <v/>
      </c>
      <c r="AL326" s="34" t="str">
        <f t="shared" si="326"/>
        <v/>
      </c>
      <c r="AM326" s="34" t="str">
        <f t="shared" si="326"/>
        <v/>
      </c>
      <c r="AN326" s="34" t="str">
        <f t="shared" si="326"/>
        <v/>
      </c>
      <c r="AO326" s="34" t="str">
        <f t="shared" si="326"/>
        <v/>
      </c>
      <c r="AP326" s="34" t="str">
        <f t="shared" si="326"/>
        <v/>
      </c>
      <c r="AQ326" s="76" t="s">
        <v>365</v>
      </c>
      <c r="AR326" s="77"/>
      <c r="AS326" s="77"/>
      <c r="AT326" s="77"/>
      <c r="AU326" s="77"/>
      <c r="AV326" s="77"/>
      <c r="AW326" s="77"/>
      <c r="AX326" s="77"/>
      <c r="AY326" s="77"/>
      <c r="AZ326" s="77"/>
      <c r="BA326" s="77"/>
      <c r="BB326" s="77"/>
      <c r="BC326" s="77"/>
      <c r="BD326" s="77"/>
      <c r="BE326" s="77"/>
      <c r="BF326" s="77"/>
      <c r="BG326" s="77"/>
      <c r="BH326" s="77"/>
      <c r="BI326" s="77"/>
      <c r="BJ326" s="77"/>
      <c r="BK326" s="77"/>
      <c r="BL326" s="77"/>
      <c r="BM326" s="78"/>
    </row>
    <row r="327">
      <c r="A327" s="41">
        <v>2.5714285714285716</v>
      </c>
      <c r="B327" s="41" t="b">
        <v>0</v>
      </c>
      <c r="C327" s="41" t="b">
        <f t="shared" si="3"/>
        <v>0</v>
      </c>
      <c r="D327" s="42" t="s">
        <v>1565</v>
      </c>
      <c r="E327" s="43" t="s">
        <v>978</v>
      </c>
      <c r="F327" s="44" t="s">
        <v>1461</v>
      </c>
      <c r="G327" s="29" t="s">
        <v>837</v>
      </c>
      <c r="H327" s="32">
        <v>-6.707245050869796</v>
      </c>
      <c r="I327" s="32">
        <v>-1.1773862789408946</v>
      </c>
      <c r="J327" s="45" t="s">
        <v>1973</v>
      </c>
      <c r="K327" s="29">
        <v>29.7</v>
      </c>
      <c r="L327" s="41">
        <v>83.5935294117647</v>
      </c>
      <c r="M327" s="46">
        <v>23.0</v>
      </c>
      <c r="N327" s="46">
        <v>6.0</v>
      </c>
      <c r="O327" s="47">
        <v>-1.7472091904578722</v>
      </c>
      <c r="P327" s="47">
        <v>-0.6893465741784995</v>
      </c>
      <c r="Q327" s="47">
        <v>-0.48691507963750624</v>
      </c>
      <c r="R327" s="47">
        <v>-0.9925583067809564</v>
      </c>
      <c r="S327" s="47">
        <v>-1.2068116503801434</v>
      </c>
      <c r="T327" s="47">
        <v>-0.2026196833365029</v>
      </c>
      <c r="U327" s="47">
        <v>-0.8755436925574976</v>
      </c>
      <c r="V327" s="47">
        <v>0.0</v>
      </c>
      <c r="W327" s="47">
        <v>-1.914712556877132</v>
      </c>
      <c r="X327" s="47">
        <v>1.408471683336316</v>
      </c>
      <c r="Y327" s="50" t="s">
        <v>69</v>
      </c>
      <c r="Z327" s="50" t="s">
        <v>69</v>
      </c>
      <c r="AA327" s="50" t="s">
        <v>69</v>
      </c>
      <c r="AB327" s="50" t="s">
        <v>69</v>
      </c>
      <c r="AC327" s="34" t="str">
        <f t="shared" ref="AC327:AP327" si="327">LET(
  skater, IFERROR(INDEX(AllProj, MATCH($E327, AllProjNames, 0), MATCH(AC$2, AllProjCats, 0) + 1), ""),
  goalie, IFERROR(INDEX(AllGProj, MATCH($E327, AllGProjNames, 0), MATCH(AC$2, AllGProjCats, 0) + 1), ""),
  val, IF(skater &lt;&gt; "", skater, goalie),
  IF(OR($E327="", AC$2="", val=""), "", val * AC$1)
)</f>
        <v/>
      </c>
      <c r="AD327" s="34" t="str">
        <f t="shared" si="327"/>
        <v/>
      </c>
      <c r="AE327" s="34" t="str">
        <f t="shared" si="327"/>
        <v/>
      </c>
      <c r="AF327" s="34" t="str">
        <f t="shared" si="327"/>
        <v/>
      </c>
      <c r="AG327" s="34" t="str">
        <f t="shared" si="327"/>
        <v/>
      </c>
      <c r="AH327" s="34" t="str">
        <f t="shared" si="327"/>
        <v/>
      </c>
      <c r="AI327" s="34" t="str">
        <f t="shared" si="327"/>
        <v/>
      </c>
      <c r="AJ327" s="34" t="str">
        <f t="shared" si="327"/>
        <v/>
      </c>
      <c r="AK327" s="34" t="str">
        <f t="shared" si="327"/>
        <v/>
      </c>
      <c r="AL327" s="34" t="str">
        <f t="shared" si="327"/>
        <v/>
      </c>
      <c r="AM327" s="34" t="str">
        <f t="shared" si="327"/>
        <v/>
      </c>
      <c r="AN327" s="34" t="str">
        <f t="shared" si="327"/>
        <v/>
      </c>
      <c r="AO327" s="34" t="str">
        <f t="shared" si="327"/>
        <v/>
      </c>
      <c r="AP327" s="34" t="str">
        <f t="shared" si="327"/>
        <v/>
      </c>
      <c r="AQ327" s="76" t="s">
        <v>366</v>
      </c>
      <c r="AR327" s="77"/>
      <c r="AS327" s="77"/>
      <c r="AT327" s="77"/>
      <c r="AU327" s="77"/>
      <c r="AV327" s="77"/>
      <c r="AW327" s="77"/>
      <c r="AX327" s="77"/>
      <c r="AY327" s="77"/>
      <c r="AZ327" s="77"/>
      <c r="BA327" s="77"/>
      <c r="BB327" s="77"/>
      <c r="BC327" s="77"/>
      <c r="BD327" s="77"/>
      <c r="BE327" s="77"/>
      <c r="BF327" s="77"/>
      <c r="BG327" s="77"/>
      <c r="BH327" s="77"/>
      <c r="BI327" s="77"/>
      <c r="BJ327" s="77"/>
      <c r="BK327" s="77"/>
      <c r="BL327" s="77"/>
      <c r="BM327" s="78"/>
    </row>
    <row r="328">
      <c r="A328" s="79" t="s">
        <v>69</v>
      </c>
      <c r="B328" s="79" t="b">
        <v>0</v>
      </c>
      <c r="C328" s="79" t="b">
        <f t="shared" si="3"/>
        <v>1</v>
      </c>
      <c r="D328" s="80" t="s">
        <v>827</v>
      </c>
      <c r="E328" s="81" t="s">
        <v>1974</v>
      </c>
      <c r="F328" s="82" t="s">
        <v>1512</v>
      </c>
      <c r="G328" s="35" t="s">
        <v>6</v>
      </c>
      <c r="H328" s="37">
        <v>-6.731696922495828</v>
      </c>
      <c r="I328" s="37">
        <v>-2.393473944025714</v>
      </c>
      <c r="J328" s="83" t="s">
        <v>1975</v>
      </c>
      <c r="K328" s="35">
        <v>33.2</v>
      </c>
      <c r="L328" s="79">
        <v>37.5</v>
      </c>
      <c r="M328" s="84">
        <v>21.0</v>
      </c>
      <c r="N328" s="84">
        <v>7.0</v>
      </c>
      <c r="O328" s="96" t="s">
        <v>69</v>
      </c>
      <c r="P328" s="96" t="s">
        <v>69</v>
      </c>
      <c r="Q328" s="96" t="s">
        <v>69</v>
      </c>
      <c r="R328" s="96" t="s">
        <v>69</v>
      </c>
      <c r="S328" s="96" t="s">
        <v>69</v>
      </c>
      <c r="T328" s="96" t="s">
        <v>69</v>
      </c>
      <c r="U328" s="96" t="s">
        <v>69</v>
      </c>
      <c r="V328" s="96" t="s">
        <v>69</v>
      </c>
      <c r="W328" s="96" t="s">
        <v>69</v>
      </c>
      <c r="X328" s="96" t="s">
        <v>69</v>
      </c>
      <c r="Y328" s="95">
        <v>-1.5535455474686408</v>
      </c>
      <c r="Z328" s="95">
        <v>-2.5621575757635786</v>
      </c>
      <c r="AA328" s="95">
        <v>-2.6159937992636086</v>
      </c>
      <c r="AB328" s="95">
        <v>0.0</v>
      </c>
      <c r="AC328" s="34" t="str">
        <f t="shared" ref="AC328:AP328" si="328">LET(
  skater, IFERROR(INDEX(AllProj, MATCH($E328, AllProjNames, 0), MATCH(AC$2, AllProjCats, 0) + 1), ""),
  goalie, IFERROR(INDEX(AllGProj, MATCH($E328, AllGProjNames, 0), MATCH(AC$2, AllGProjCats, 0) + 1), ""),
  val, IF(skater &lt;&gt; "", skater, goalie),
  IF(OR($E328="", AC$2="", val=""), "", val * AC$1)
)</f>
        <v/>
      </c>
      <c r="AD328" s="34" t="str">
        <f t="shared" si="328"/>
        <v/>
      </c>
      <c r="AE328" s="34" t="str">
        <f t="shared" si="328"/>
        <v/>
      </c>
      <c r="AF328" s="34" t="str">
        <f t="shared" si="328"/>
        <v/>
      </c>
      <c r="AG328" s="34" t="str">
        <f t="shared" si="328"/>
        <v/>
      </c>
      <c r="AH328" s="34" t="str">
        <f t="shared" si="328"/>
        <v/>
      </c>
      <c r="AI328" s="34" t="str">
        <f t="shared" si="328"/>
        <v/>
      </c>
      <c r="AJ328" s="34" t="str">
        <f t="shared" si="328"/>
        <v/>
      </c>
      <c r="AK328" s="34" t="str">
        <f t="shared" si="328"/>
        <v/>
      </c>
      <c r="AL328" s="34" t="str">
        <f t="shared" si="328"/>
        <v/>
      </c>
      <c r="AM328" s="34" t="str">
        <f t="shared" si="328"/>
        <v/>
      </c>
      <c r="AN328" s="34" t="str">
        <f t="shared" si="328"/>
        <v/>
      </c>
      <c r="AO328" s="34" t="str">
        <f t="shared" si="328"/>
        <v/>
      </c>
      <c r="AP328" s="34" t="str">
        <f t="shared" si="328"/>
        <v/>
      </c>
      <c r="AQ328" s="76" t="s">
        <v>367</v>
      </c>
      <c r="AR328" s="77"/>
      <c r="AS328" s="77"/>
      <c r="AT328" s="77"/>
      <c r="AU328" s="77"/>
      <c r="AV328" s="77"/>
      <c r="AW328" s="77"/>
      <c r="AX328" s="77"/>
      <c r="AY328" s="77"/>
      <c r="AZ328" s="77"/>
      <c r="BA328" s="77"/>
      <c r="BB328" s="77"/>
      <c r="BC328" s="77"/>
      <c r="BD328" s="77"/>
      <c r="BE328" s="77"/>
      <c r="BF328" s="77"/>
      <c r="BG328" s="77"/>
      <c r="BH328" s="77"/>
      <c r="BI328" s="77"/>
      <c r="BJ328" s="77"/>
      <c r="BK328" s="77"/>
      <c r="BL328" s="77"/>
      <c r="BM328" s="78"/>
    </row>
    <row r="329">
      <c r="A329" s="41">
        <v>2.5714285714285716</v>
      </c>
      <c r="B329" s="41" t="b">
        <v>0</v>
      </c>
      <c r="C329" s="41" t="b">
        <f t="shared" si="3"/>
        <v>0</v>
      </c>
      <c r="D329" s="42" t="s">
        <v>1565</v>
      </c>
      <c r="E329" s="43" t="s">
        <v>1070</v>
      </c>
      <c r="F329" s="44" t="s">
        <v>1416</v>
      </c>
      <c r="G329" s="29" t="s">
        <v>832</v>
      </c>
      <c r="H329" s="32">
        <v>-6.737704204133672</v>
      </c>
      <c r="I329" s="32">
        <v>-1.2955665954058144</v>
      </c>
      <c r="J329" s="45" t="s">
        <v>1976</v>
      </c>
      <c r="K329" s="29">
        <v>32.4</v>
      </c>
      <c r="L329" s="41">
        <v>78.42857142857143</v>
      </c>
      <c r="M329" s="46">
        <v>29.0</v>
      </c>
      <c r="N329" s="46">
        <v>7.0</v>
      </c>
      <c r="O329" s="47">
        <v>-1.0760513678337575</v>
      </c>
      <c r="P329" s="47">
        <v>-1.9292012775074185</v>
      </c>
      <c r="Q329" s="47">
        <v>-1.389932659002815</v>
      </c>
      <c r="R329" s="47">
        <v>1.7996059286654802</v>
      </c>
      <c r="S329" s="47">
        <v>-1.6966072252770792</v>
      </c>
      <c r="T329" s="47">
        <v>0.44813554304231407</v>
      </c>
      <c r="U329" s="47">
        <v>-1.6912930239701067</v>
      </c>
      <c r="V329" s="47">
        <v>0.0</v>
      </c>
      <c r="W329" s="47">
        <v>0.17416773303128652</v>
      </c>
      <c r="X329" s="47">
        <v>-1.3765278552815756</v>
      </c>
      <c r="Y329" s="50" t="s">
        <v>69</v>
      </c>
      <c r="Z329" s="50" t="s">
        <v>69</v>
      </c>
      <c r="AA329" s="50" t="s">
        <v>69</v>
      </c>
      <c r="AB329" s="50" t="s">
        <v>69</v>
      </c>
      <c r="AC329" s="34" t="str">
        <f t="shared" ref="AC329:AP329" si="329">LET(
  skater, IFERROR(INDEX(AllProj, MATCH($E329, AllProjNames, 0), MATCH(AC$2, AllProjCats, 0) + 1), ""),
  goalie, IFERROR(INDEX(AllGProj, MATCH($E329, AllGProjNames, 0), MATCH(AC$2, AllGProjCats, 0) + 1), ""),
  val, IF(skater &lt;&gt; "", skater, goalie),
  IF(OR($E329="", AC$2="", val=""), "", val * AC$1)
)</f>
        <v/>
      </c>
      <c r="AD329" s="34" t="str">
        <f t="shared" si="329"/>
        <v/>
      </c>
      <c r="AE329" s="34" t="str">
        <f t="shared" si="329"/>
        <v/>
      </c>
      <c r="AF329" s="34" t="str">
        <f t="shared" si="329"/>
        <v/>
      </c>
      <c r="AG329" s="34" t="str">
        <f t="shared" si="329"/>
        <v/>
      </c>
      <c r="AH329" s="34" t="str">
        <f t="shared" si="329"/>
        <v/>
      </c>
      <c r="AI329" s="34" t="str">
        <f t="shared" si="329"/>
        <v/>
      </c>
      <c r="AJ329" s="34" t="str">
        <f t="shared" si="329"/>
        <v/>
      </c>
      <c r="AK329" s="34" t="str">
        <f t="shared" si="329"/>
        <v/>
      </c>
      <c r="AL329" s="34" t="str">
        <f t="shared" si="329"/>
        <v/>
      </c>
      <c r="AM329" s="34" t="str">
        <f t="shared" si="329"/>
        <v/>
      </c>
      <c r="AN329" s="34" t="str">
        <f t="shared" si="329"/>
        <v/>
      </c>
      <c r="AO329" s="34" t="str">
        <f t="shared" si="329"/>
        <v/>
      </c>
      <c r="AP329" s="34" t="str">
        <f t="shared" si="329"/>
        <v/>
      </c>
      <c r="AQ329" s="76" t="s">
        <v>368</v>
      </c>
      <c r="AR329" s="77"/>
      <c r="AS329" s="77"/>
      <c r="AT329" s="77"/>
      <c r="AU329" s="77"/>
      <c r="AV329" s="77"/>
      <c r="AW329" s="77"/>
      <c r="AX329" s="77"/>
      <c r="AY329" s="77"/>
      <c r="AZ329" s="77"/>
      <c r="BA329" s="77"/>
      <c r="BB329" s="77"/>
      <c r="BC329" s="77"/>
      <c r="BD329" s="77"/>
      <c r="BE329" s="77"/>
      <c r="BF329" s="77"/>
      <c r="BG329" s="77"/>
      <c r="BH329" s="77"/>
      <c r="BI329" s="77"/>
      <c r="BJ329" s="77"/>
      <c r="BK329" s="77"/>
      <c r="BL329" s="77"/>
      <c r="BM329" s="78"/>
    </row>
    <row r="330">
      <c r="A330" s="79">
        <v>2.642857142857143</v>
      </c>
      <c r="B330" s="79" t="b">
        <v>0</v>
      </c>
      <c r="C330" s="79" t="b">
        <f t="shared" si="3"/>
        <v>0</v>
      </c>
      <c r="D330" s="80" t="s">
        <v>1565</v>
      </c>
      <c r="E330" s="81" t="s">
        <v>1143</v>
      </c>
      <c r="F330" s="82" t="s">
        <v>1473</v>
      </c>
      <c r="G330" s="35" t="s">
        <v>835</v>
      </c>
      <c r="H330" s="37">
        <v>-6.7512742008668445</v>
      </c>
      <c r="I330" s="37">
        <v>-1.3633940759541057</v>
      </c>
      <c r="J330" s="83" t="s">
        <v>1977</v>
      </c>
      <c r="K330" s="35">
        <v>24.8</v>
      </c>
      <c r="L330" s="79">
        <v>80.36705882352942</v>
      </c>
      <c r="M330" s="84">
        <v>25.0</v>
      </c>
      <c r="N330" s="84">
        <v>6.0</v>
      </c>
      <c r="O330" s="85">
        <v>-0.12063703869248214</v>
      </c>
      <c r="P330" s="85">
        <v>-1.6340185896702335</v>
      </c>
      <c r="Q330" s="85">
        <v>-2.395942389385475</v>
      </c>
      <c r="R330" s="85">
        <v>-1.4760158738506994</v>
      </c>
      <c r="S330" s="85">
        <v>-1.097694322866291</v>
      </c>
      <c r="T330" s="85">
        <v>-0.7042809343948022</v>
      </c>
      <c r="U330" s="85">
        <v>-0.32233362563136</v>
      </c>
      <c r="V330" s="85">
        <v>0.0</v>
      </c>
      <c r="W330" s="85">
        <v>2.2283687462190707</v>
      </c>
      <c r="X330" s="85">
        <v>-1.2287201725945716</v>
      </c>
      <c r="Y330" s="50" t="s">
        <v>69</v>
      </c>
      <c r="Z330" s="50" t="s">
        <v>69</v>
      </c>
      <c r="AA330" s="50" t="s">
        <v>69</v>
      </c>
      <c r="AB330" s="50" t="s">
        <v>69</v>
      </c>
      <c r="AC330" s="34" t="str">
        <f t="shared" ref="AC330:AP330" si="330">LET(
  skater, IFERROR(INDEX(AllProj, MATCH($E330, AllProjNames, 0), MATCH(AC$2, AllProjCats, 0) + 1), ""),
  goalie, IFERROR(INDEX(AllGProj, MATCH($E330, AllGProjNames, 0), MATCH(AC$2, AllGProjCats, 0) + 1), ""),
  val, IF(skater &lt;&gt; "", skater, goalie),
  IF(OR($E330="", AC$2="", val=""), "", val * AC$1)
)</f>
        <v/>
      </c>
      <c r="AD330" s="34" t="str">
        <f t="shared" si="330"/>
        <v/>
      </c>
      <c r="AE330" s="34" t="str">
        <f t="shared" si="330"/>
        <v/>
      </c>
      <c r="AF330" s="34" t="str">
        <f t="shared" si="330"/>
        <v/>
      </c>
      <c r="AG330" s="34" t="str">
        <f t="shared" si="330"/>
        <v/>
      </c>
      <c r="AH330" s="34" t="str">
        <f t="shared" si="330"/>
        <v/>
      </c>
      <c r="AI330" s="34" t="str">
        <f t="shared" si="330"/>
        <v/>
      </c>
      <c r="AJ330" s="34" t="str">
        <f t="shared" si="330"/>
        <v/>
      </c>
      <c r="AK330" s="34" t="str">
        <f t="shared" si="330"/>
        <v/>
      </c>
      <c r="AL330" s="34" t="str">
        <f t="shared" si="330"/>
        <v/>
      </c>
      <c r="AM330" s="34" t="str">
        <f t="shared" si="330"/>
        <v/>
      </c>
      <c r="AN330" s="34" t="str">
        <f t="shared" si="330"/>
        <v/>
      </c>
      <c r="AO330" s="34" t="str">
        <f t="shared" si="330"/>
        <v/>
      </c>
      <c r="AP330" s="34" t="str">
        <f t="shared" si="330"/>
        <v/>
      </c>
      <c r="AQ330" s="76" t="s">
        <v>369</v>
      </c>
      <c r="AR330" s="77"/>
      <c r="AS330" s="77"/>
      <c r="AT330" s="77"/>
      <c r="AU330" s="77"/>
      <c r="AV330" s="77"/>
      <c r="AW330" s="77"/>
      <c r="AX330" s="77"/>
      <c r="AY330" s="77"/>
      <c r="AZ330" s="77"/>
      <c r="BA330" s="77"/>
      <c r="BB330" s="77"/>
      <c r="BC330" s="77"/>
      <c r="BD330" s="77"/>
      <c r="BE330" s="77"/>
      <c r="BF330" s="77"/>
      <c r="BG330" s="77"/>
      <c r="BH330" s="77"/>
      <c r="BI330" s="77"/>
      <c r="BJ330" s="77"/>
      <c r="BK330" s="77"/>
      <c r="BL330" s="77"/>
      <c r="BM330" s="78"/>
    </row>
    <row r="331">
      <c r="A331" s="41">
        <v>2.5714285714285716</v>
      </c>
      <c r="B331" s="41" t="b">
        <v>0</v>
      </c>
      <c r="C331" s="41" t="b">
        <f t="shared" si="3"/>
        <v>0</v>
      </c>
      <c r="D331" s="42" t="s">
        <v>1565</v>
      </c>
      <c r="E331" s="43" t="s">
        <v>1019</v>
      </c>
      <c r="F331" s="44" t="s">
        <v>1401</v>
      </c>
      <c r="G331" s="29" t="s">
        <v>837</v>
      </c>
      <c r="H331" s="32">
        <v>-6.770242507728373</v>
      </c>
      <c r="I331" s="32">
        <v>-1.2403837357994716</v>
      </c>
      <c r="J331" s="45" t="s">
        <v>1978</v>
      </c>
      <c r="K331" s="29">
        <v>35.2</v>
      </c>
      <c r="L331" s="41">
        <v>80.89985294117648</v>
      </c>
      <c r="M331" s="46">
        <v>25.0</v>
      </c>
      <c r="N331" s="46">
        <v>7.0</v>
      </c>
      <c r="O331" s="47">
        <v>-1.8226189386956113</v>
      </c>
      <c r="P331" s="47">
        <v>-0.6058124189311292</v>
      </c>
      <c r="Q331" s="47">
        <v>-0.8915359907819429</v>
      </c>
      <c r="R331" s="47">
        <v>0.739329800709024</v>
      </c>
      <c r="S331" s="47">
        <v>-0.925488817975919</v>
      </c>
      <c r="T331" s="47">
        <v>-0.7673583555621418</v>
      </c>
      <c r="U331" s="47">
        <v>-1.2423677874931611</v>
      </c>
      <c r="V331" s="47">
        <v>0.0</v>
      </c>
      <c r="W331" s="47">
        <v>-0.8209758264933679</v>
      </c>
      <c r="X331" s="47">
        <v>-0.4334141725041234</v>
      </c>
      <c r="Y331" s="50" t="s">
        <v>69</v>
      </c>
      <c r="Z331" s="50" t="s">
        <v>69</v>
      </c>
      <c r="AA331" s="50" t="s">
        <v>69</v>
      </c>
      <c r="AB331" s="50" t="s">
        <v>69</v>
      </c>
      <c r="AC331" s="34" t="str">
        <f t="shared" ref="AC331:AP331" si="331">LET(
  skater, IFERROR(INDEX(AllProj, MATCH($E331, AllProjNames, 0), MATCH(AC$2, AllProjCats, 0) + 1), ""),
  goalie, IFERROR(INDEX(AllGProj, MATCH($E331, AllGProjNames, 0), MATCH(AC$2, AllGProjCats, 0) + 1), ""),
  val, IF(skater &lt;&gt; "", skater, goalie),
  IF(OR($E331="", AC$2="", val=""), "", val * AC$1)
)</f>
        <v/>
      </c>
      <c r="AD331" s="34" t="str">
        <f t="shared" si="331"/>
        <v/>
      </c>
      <c r="AE331" s="34" t="str">
        <f t="shared" si="331"/>
        <v/>
      </c>
      <c r="AF331" s="34" t="str">
        <f t="shared" si="331"/>
        <v/>
      </c>
      <c r="AG331" s="34" t="str">
        <f t="shared" si="331"/>
        <v/>
      </c>
      <c r="AH331" s="34" t="str">
        <f t="shared" si="331"/>
        <v/>
      </c>
      <c r="AI331" s="34" t="str">
        <f t="shared" si="331"/>
        <v/>
      </c>
      <c r="AJ331" s="34" t="str">
        <f t="shared" si="331"/>
        <v/>
      </c>
      <c r="AK331" s="34" t="str">
        <f t="shared" si="331"/>
        <v/>
      </c>
      <c r="AL331" s="34" t="str">
        <f t="shared" si="331"/>
        <v/>
      </c>
      <c r="AM331" s="34" t="str">
        <f t="shared" si="331"/>
        <v/>
      </c>
      <c r="AN331" s="34" t="str">
        <f t="shared" si="331"/>
        <v/>
      </c>
      <c r="AO331" s="34" t="str">
        <f t="shared" si="331"/>
        <v/>
      </c>
      <c r="AP331" s="34" t="str">
        <f t="shared" si="331"/>
        <v/>
      </c>
      <c r="AQ331" s="76" t="s">
        <v>370</v>
      </c>
      <c r="AR331" s="77"/>
      <c r="AS331" s="77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77"/>
      <c r="BI331" s="77"/>
      <c r="BJ331" s="77"/>
      <c r="BK331" s="77"/>
      <c r="BL331" s="77"/>
      <c r="BM331" s="78"/>
    </row>
    <row r="332">
      <c r="A332" s="79">
        <v>2.642857142857143</v>
      </c>
      <c r="B332" s="79" t="b">
        <v>0</v>
      </c>
      <c r="C332" s="79" t="b">
        <f t="shared" si="3"/>
        <v>0</v>
      </c>
      <c r="D332" s="80" t="s">
        <v>1565</v>
      </c>
      <c r="E332" s="81" t="s">
        <v>1163</v>
      </c>
      <c r="F332" s="82" t="s">
        <v>1454</v>
      </c>
      <c r="G332" s="35" t="s">
        <v>284</v>
      </c>
      <c r="H332" s="37">
        <v>-6.775251650789137</v>
      </c>
      <c r="I332" s="37">
        <v>-1.737185630606052</v>
      </c>
      <c r="J332" s="83" t="s">
        <v>1979</v>
      </c>
      <c r="K332" s="35">
        <v>25.6</v>
      </c>
      <c r="L332" s="79">
        <v>82.87183333333333</v>
      </c>
      <c r="M332" s="84">
        <v>25.0</v>
      </c>
      <c r="N332" s="84">
        <v>6.0</v>
      </c>
      <c r="O332" s="85">
        <v>-1.313171334839465</v>
      </c>
      <c r="P332" s="85">
        <v>-0.8929714504402853</v>
      </c>
      <c r="Q332" s="85">
        <v>-0.589852915405457</v>
      </c>
      <c r="R332" s="85">
        <v>0.8568807003580463</v>
      </c>
      <c r="S332" s="85">
        <v>-1.5736272465958705</v>
      </c>
      <c r="T332" s="85">
        <v>-0.6360915887039947</v>
      </c>
      <c r="U332" s="85">
        <v>-1.8036072329311506</v>
      </c>
      <c r="V332" s="85">
        <v>0.1022108985603818</v>
      </c>
      <c r="W332" s="85">
        <v>0.7057065959269748</v>
      </c>
      <c r="X332" s="85">
        <v>-1.6307280767183174</v>
      </c>
      <c r="Y332" s="50" t="s">
        <v>69</v>
      </c>
      <c r="Z332" s="50" t="s">
        <v>69</v>
      </c>
      <c r="AA332" s="50" t="s">
        <v>69</v>
      </c>
      <c r="AB332" s="50" t="s">
        <v>69</v>
      </c>
      <c r="AC332" s="34" t="str">
        <f t="shared" ref="AC332:AP332" si="332">LET(
  skater, IFERROR(INDEX(AllProj, MATCH($E332, AllProjNames, 0), MATCH(AC$2, AllProjCats, 0) + 1), ""),
  goalie, IFERROR(INDEX(AllGProj, MATCH($E332, AllGProjNames, 0), MATCH(AC$2, AllGProjCats, 0) + 1), ""),
  val, IF(skater &lt;&gt; "", skater, goalie),
  IF(OR($E332="", AC$2="", val=""), "", val * AC$1)
)</f>
        <v/>
      </c>
      <c r="AD332" s="34" t="str">
        <f t="shared" si="332"/>
        <v/>
      </c>
      <c r="AE332" s="34" t="str">
        <f t="shared" si="332"/>
        <v/>
      </c>
      <c r="AF332" s="34" t="str">
        <f t="shared" si="332"/>
        <v/>
      </c>
      <c r="AG332" s="34" t="str">
        <f t="shared" si="332"/>
        <v/>
      </c>
      <c r="AH332" s="34" t="str">
        <f t="shared" si="332"/>
        <v/>
      </c>
      <c r="AI332" s="34" t="str">
        <f t="shared" si="332"/>
        <v/>
      </c>
      <c r="AJ332" s="34" t="str">
        <f t="shared" si="332"/>
        <v/>
      </c>
      <c r="AK332" s="34" t="str">
        <f t="shared" si="332"/>
        <v/>
      </c>
      <c r="AL332" s="34" t="str">
        <f t="shared" si="332"/>
        <v/>
      </c>
      <c r="AM332" s="34" t="str">
        <f t="shared" si="332"/>
        <v/>
      </c>
      <c r="AN332" s="34" t="str">
        <f t="shared" si="332"/>
        <v/>
      </c>
      <c r="AO332" s="34" t="str">
        <f t="shared" si="332"/>
        <v/>
      </c>
      <c r="AP332" s="34" t="str">
        <f t="shared" si="332"/>
        <v/>
      </c>
      <c r="AQ332" s="76" t="s">
        <v>371</v>
      </c>
      <c r="AR332" s="77"/>
      <c r="AS332" s="77"/>
      <c r="AT332" s="77"/>
      <c r="AU332" s="77"/>
      <c r="AV332" s="77"/>
      <c r="AW332" s="77"/>
      <c r="AX332" s="77"/>
      <c r="AY332" s="77"/>
      <c r="AZ332" s="77"/>
      <c r="BA332" s="77"/>
      <c r="BB332" s="77"/>
      <c r="BC332" s="77"/>
      <c r="BD332" s="77"/>
      <c r="BE332" s="77"/>
      <c r="BF332" s="77"/>
      <c r="BG332" s="77"/>
      <c r="BH332" s="77"/>
      <c r="BI332" s="77"/>
      <c r="BJ332" s="77"/>
      <c r="BK332" s="77"/>
      <c r="BL332" s="77"/>
      <c r="BM332" s="78"/>
    </row>
    <row r="333">
      <c r="A333" s="41">
        <v>2.4285714285714284</v>
      </c>
      <c r="B333" s="41" t="b">
        <v>0</v>
      </c>
      <c r="C333" s="41" t="b">
        <f t="shared" si="3"/>
        <v>0</v>
      </c>
      <c r="D333" s="42" t="s">
        <v>1565</v>
      </c>
      <c r="E333" s="43" t="s">
        <v>873</v>
      </c>
      <c r="F333" s="44" t="s">
        <v>1706</v>
      </c>
      <c r="G333" s="29" t="s">
        <v>284</v>
      </c>
      <c r="H333" s="32">
        <v>-6.8129180049317775</v>
      </c>
      <c r="I333" s="32">
        <v>-1.7748519847486923</v>
      </c>
      <c r="J333" s="45" t="s">
        <v>1980</v>
      </c>
      <c r="K333" s="29">
        <v>22.7</v>
      </c>
      <c r="L333" s="41">
        <v>78.32397058823528</v>
      </c>
      <c r="M333" s="46">
        <v>31.0</v>
      </c>
      <c r="N333" s="46">
        <v>7.0</v>
      </c>
      <c r="O333" s="47">
        <v>0.04814185648544024</v>
      </c>
      <c r="P333" s="47">
        <v>-0.23852996590119613</v>
      </c>
      <c r="Q333" s="47">
        <v>-3.858819953518596</v>
      </c>
      <c r="R333" s="47">
        <v>-0.8729483325792052</v>
      </c>
      <c r="S333" s="47">
        <v>-0.13105390881801207</v>
      </c>
      <c r="T333" s="47">
        <v>0.19444556299767388</v>
      </c>
      <c r="U333" s="47">
        <v>-0.04119401708928735</v>
      </c>
      <c r="V333" s="47">
        <v>0.8758507680886423</v>
      </c>
      <c r="W333" s="47">
        <v>-1.685897929825221</v>
      </c>
      <c r="X333" s="47">
        <v>-1.1029120847720155</v>
      </c>
      <c r="Y333" s="50" t="s">
        <v>69</v>
      </c>
      <c r="Z333" s="50" t="s">
        <v>69</v>
      </c>
      <c r="AA333" s="50" t="s">
        <v>69</v>
      </c>
      <c r="AB333" s="50" t="s">
        <v>69</v>
      </c>
      <c r="AC333" s="34" t="str">
        <f t="shared" ref="AC333:AP333" si="333">LET(
  skater, IFERROR(INDEX(AllProj, MATCH($E333, AllProjNames, 0), MATCH(AC$2, AllProjCats, 0) + 1), ""),
  goalie, IFERROR(INDEX(AllGProj, MATCH($E333, AllGProjNames, 0), MATCH(AC$2, AllGProjCats, 0) + 1), ""),
  val, IF(skater &lt;&gt; "", skater, goalie),
  IF(OR($E333="", AC$2="", val=""), "", val * AC$1)
)</f>
        <v/>
      </c>
      <c r="AD333" s="34" t="str">
        <f t="shared" si="333"/>
        <v/>
      </c>
      <c r="AE333" s="34" t="str">
        <f t="shared" si="333"/>
        <v/>
      </c>
      <c r="AF333" s="34" t="str">
        <f t="shared" si="333"/>
        <v/>
      </c>
      <c r="AG333" s="34" t="str">
        <f t="shared" si="333"/>
        <v/>
      </c>
      <c r="AH333" s="34" t="str">
        <f t="shared" si="333"/>
        <v/>
      </c>
      <c r="AI333" s="34" t="str">
        <f t="shared" si="333"/>
        <v/>
      </c>
      <c r="AJ333" s="34" t="str">
        <f t="shared" si="333"/>
        <v/>
      </c>
      <c r="AK333" s="34" t="str">
        <f t="shared" si="333"/>
        <v/>
      </c>
      <c r="AL333" s="34" t="str">
        <f t="shared" si="333"/>
        <v/>
      </c>
      <c r="AM333" s="34" t="str">
        <f t="shared" si="333"/>
        <v/>
      </c>
      <c r="AN333" s="34" t="str">
        <f t="shared" si="333"/>
        <v/>
      </c>
      <c r="AO333" s="34" t="str">
        <f t="shared" si="333"/>
        <v/>
      </c>
      <c r="AP333" s="34" t="str">
        <f t="shared" si="333"/>
        <v/>
      </c>
      <c r="AQ333" s="76" t="s">
        <v>372</v>
      </c>
      <c r="AR333" s="77"/>
      <c r="AS333" s="77"/>
      <c r="AT333" s="77"/>
      <c r="AU333" s="77"/>
      <c r="AV333" s="77"/>
      <c r="AW333" s="77"/>
      <c r="AX333" s="77"/>
      <c r="AY333" s="77"/>
      <c r="AZ333" s="77"/>
      <c r="BA333" s="77"/>
      <c r="BB333" s="77"/>
      <c r="BC333" s="77"/>
      <c r="BD333" s="77"/>
      <c r="BE333" s="77"/>
      <c r="BF333" s="77"/>
      <c r="BG333" s="77"/>
      <c r="BH333" s="77"/>
      <c r="BI333" s="77"/>
      <c r="BJ333" s="77"/>
      <c r="BK333" s="77"/>
      <c r="BL333" s="77"/>
      <c r="BM333" s="78"/>
    </row>
    <row r="334">
      <c r="A334" s="79">
        <v>2.5714285714285716</v>
      </c>
      <c r="B334" s="79" t="b">
        <v>0</v>
      </c>
      <c r="C334" s="79" t="b">
        <f t="shared" si="3"/>
        <v>0</v>
      </c>
      <c r="D334" s="80" t="s">
        <v>1565</v>
      </c>
      <c r="E334" s="81" t="s">
        <v>927</v>
      </c>
      <c r="F334" s="82" t="s">
        <v>1043</v>
      </c>
      <c r="G334" s="35" t="s">
        <v>837</v>
      </c>
      <c r="H334" s="37">
        <v>-6.827608883734339</v>
      </c>
      <c r="I334" s="37">
        <v>-1.2977501118054375</v>
      </c>
      <c r="J334" s="83" t="s">
        <v>1981</v>
      </c>
      <c r="K334" s="35">
        <v>28.6</v>
      </c>
      <c r="L334" s="79">
        <v>75.0</v>
      </c>
      <c r="M334" s="84">
        <v>28.0</v>
      </c>
      <c r="N334" s="84">
        <v>6.0</v>
      </c>
      <c r="O334" s="85">
        <v>-2.5312468450225696</v>
      </c>
      <c r="P334" s="85">
        <v>-1.7830439555040773</v>
      </c>
      <c r="Q334" s="96" t="s">
        <v>69</v>
      </c>
      <c r="R334" s="85">
        <v>0.3075024362149616</v>
      </c>
      <c r="S334" s="96" t="s">
        <v>69</v>
      </c>
      <c r="T334" s="96" t="s">
        <v>69</v>
      </c>
      <c r="U334" s="85">
        <v>-2.324182714304371</v>
      </c>
      <c r="V334" s="96" t="s">
        <v>69</v>
      </c>
      <c r="W334" s="85">
        <v>-1.0834402149584454</v>
      </c>
      <c r="X334" s="85">
        <v>0.5868024098401641</v>
      </c>
      <c r="Y334" s="50" t="s">
        <v>69</v>
      </c>
      <c r="Z334" s="50" t="s">
        <v>69</v>
      </c>
      <c r="AA334" s="50" t="s">
        <v>69</v>
      </c>
      <c r="AB334" s="50" t="s">
        <v>69</v>
      </c>
      <c r="AC334" s="34" t="str">
        <f t="shared" ref="AC334:AP334" si="334">LET(
  skater, IFERROR(INDEX(AllProj, MATCH($E334, AllProjNames, 0), MATCH(AC$2, AllProjCats, 0) + 1), ""),
  goalie, IFERROR(INDEX(AllGProj, MATCH($E334, AllGProjNames, 0), MATCH(AC$2, AllGProjCats, 0) + 1), ""),
  val, IF(skater &lt;&gt; "", skater, goalie),
  IF(OR($E334="", AC$2="", val=""), "", val * AC$1)
)</f>
        <v/>
      </c>
      <c r="AD334" s="34" t="str">
        <f t="shared" si="334"/>
        <v/>
      </c>
      <c r="AE334" s="34" t="str">
        <f t="shared" si="334"/>
        <v/>
      </c>
      <c r="AF334" s="34" t="str">
        <f t="shared" si="334"/>
        <v/>
      </c>
      <c r="AG334" s="34" t="str">
        <f t="shared" si="334"/>
        <v/>
      </c>
      <c r="AH334" s="34" t="str">
        <f t="shared" si="334"/>
        <v/>
      </c>
      <c r="AI334" s="34" t="str">
        <f t="shared" si="334"/>
        <v/>
      </c>
      <c r="AJ334" s="34" t="str">
        <f t="shared" si="334"/>
        <v/>
      </c>
      <c r="AK334" s="34" t="str">
        <f t="shared" si="334"/>
        <v/>
      </c>
      <c r="AL334" s="34" t="str">
        <f t="shared" si="334"/>
        <v/>
      </c>
      <c r="AM334" s="34" t="str">
        <f t="shared" si="334"/>
        <v/>
      </c>
      <c r="AN334" s="34" t="str">
        <f t="shared" si="334"/>
        <v/>
      </c>
      <c r="AO334" s="34" t="str">
        <f t="shared" si="334"/>
        <v/>
      </c>
      <c r="AP334" s="34" t="str">
        <f t="shared" si="334"/>
        <v/>
      </c>
      <c r="AQ334" s="76" t="s">
        <v>373</v>
      </c>
      <c r="AR334" s="77"/>
      <c r="AS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77"/>
      <c r="BI334" s="77"/>
      <c r="BJ334" s="77"/>
      <c r="BK334" s="77"/>
      <c r="BL334" s="77"/>
      <c r="BM334" s="78"/>
    </row>
    <row r="335">
      <c r="A335" s="41">
        <v>2.5714285714285716</v>
      </c>
      <c r="B335" s="41" t="b">
        <v>0</v>
      </c>
      <c r="C335" s="41" t="b">
        <f t="shared" si="3"/>
        <v>0</v>
      </c>
      <c r="D335" s="42" t="s">
        <v>1565</v>
      </c>
      <c r="E335" s="43" t="s">
        <v>982</v>
      </c>
      <c r="F335" s="44" t="s">
        <v>1498</v>
      </c>
      <c r="G335" s="29" t="s">
        <v>837</v>
      </c>
      <c r="H335" s="32">
        <v>-6.828962259059457</v>
      </c>
      <c r="I335" s="32">
        <v>-1.299103487130556</v>
      </c>
      <c r="J335" s="45" t="s">
        <v>1982</v>
      </c>
      <c r="K335" s="29">
        <v>39.4</v>
      </c>
      <c r="L335" s="41">
        <v>79.73705882352941</v>
      </c>
      <c r="M335" s="46">
        <v>28.0</v>
      </c>
      <c r="N335" s="46">
        <v>7.0</v>
      </c>
      <c r="O335" s="47">
        <v>-1.9215128750300567</v>
      </c>
      <c r="P335" s="47">
        <v>-0.42480708304045695</v>
      </c>
      <c r="Q335" s="47">
        <v>-1.7144257339495155</v>
      </c>
      <c r="R335" s="47">
        <v>-0.03350342037220663</v>
      </c>
      <c r="S335" s="47">
        <v>-0.7787372077169493</v>
      </c>
      <c r="T335" s="47">
        <v>-0.7652213296826083</v>
      </c>
      <c r="U335" s="47">
        <v>-1.0773429460224446</v>
      </c>
      <c r="V335" s="47">
        <v>0.0</v>
      </c>
      <c r="W335" s="47">
        <v>-0.5073108127534174</v>
      </c>
      <c r="X335" s="47">
        <v>0.3938991495081969</v>
      </c>
      <c r="Y335" s="50" t="s">
        <v>69</v>
      </c>
      <c r="Z335" s="50" t="s">
        <v>69</v>
      </c>
      <c r="AA335" s="50" t="s">
        <v>69</v>
      </c>
      <c r="AB335" s="50" t="s">
        <v>69</v>
      </c>
      <c r="AC335" s="34" t="str">
        <f t="shared" ref="AC335:AP335" si="335">LET(
  skater, IFERROR(INDEX(AllProj, MATCH($E335, AllProjNames, 0), MATCH(AC$2, AllProjCats, 0) + 1), ""),
  goalie, IFERROR(INDEX(AllGProj, MATCH($E335, AllGProjNames, 0), MATCH(AC$2, AllGProjCats, 0) + 1), ""),
  val, IF(skater &lt;&gt; "", skater, goalie),
  IF(OR($E335="", AC$2="", val=""), "", val * AC$1)
)</f>
        <v/>
      </c>
      <c r="AD335" s="34" t="str">
        <f t="shared" si="335"/>
        <v/>
      </c>
      <c r="AE335" s="34" t="str">
        <f t="shared" si="335"/>
        <v/>
      </c>
      <c r="AF335" s="34" t="str">
        <f t="shared" si="335"/>
        <v/>
      </c>
      <c r="AG335" s="34" t="str">
        <f t="shared" si="335"/>
        <v/>
      </c>
      <c r="AH335" s="34" t="str">
        <f t="shared" si="335"/>
        <v/>
      </c>
      <c r="AI335" s="34" t="str">
        <f t="shared" si="335"/>
        <v/>
      </c>
      <c r="AJ335" s="34" t="str">
        <f t="shared" si="335"/>
        <v/>
      </c>
      <c r="AK335" s="34" t="str">
        <f t="shared" si="335"/>
        <v/>
      </c>
      <c r="AL335" s="34" t="str">
        <f t="shared" si="335"/>
        <v/>
      </c>
      <c r="AM335" s="34" t="str">
        <f t="shared" si="335"/>
        <v/>
      </c>
      <c r="AN335" s="34" t="str">
        <f t="shared" si="335"/>
        <v/>
      </c>
      <c r="AO335" s="34" t="str">
        <f t="shared" si="335"/>
        <v/>
      </c>
      <c r="AP335" s="34" t="str">
        <f t="shared" si="335"/>
        <v/>
      </c>
      <c r="AQ335" s="76" t="s">
        <v>374</v>
      </c>
      <c r="AR335" s="77"/>
      <c r="AS335" s="77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77"/>
      <c r="BI335" s="77"/>
      <c r="BJ335" s="77"/>
      <c r="BK335" s="77"/>
      <c r="BL335" s="77"/>
      <c r="BM335" s="78"/>
    </row>
    <row r="336">
      <c r="A336" s="79">
        <v>2.642857142857143</v>
      </c>
      <c r="B336" s="79" t="b">
        <v>0</v>
      </c>
      <c r="C336" s="79" t="b">
        <f t="shared" si="3"/>
        <v>0</v>
      </c>
      <c r="D336" s="80" t="s">
        <v>1565</v>
      </c>
      <c r="E336" s="81" t="s">
        <v>1117</v>
      </c>
      <c r="F336" s="82" t="s">
        <v>1426</v>
      </c>
      <c r="G336" s="35" t="s">
        <v>836</v>
      </c>
      <c r="H336" s="37">
        <v>-6.856970944815321</v>
      </c>
      <c r="I336" s="37">
        <v>-1.4148333360874634</v>
      </c>
      <c r="J336" s="83" t="s">
        <v>1983</v>
      </c>
      <c r="K336" s="35">
        <v>29.3</v>
      </c>
      <c r="L336" s="79">
        <v>75.14285714285714</v>
      </c>
      <c r="M336" s="84">
        <v>23.0</v>
      </c>
      <c r="N336" s="84">
        <v>6.0</v>
      </c>
      <c r="O336" s="85">
        <v>-1.7012464617370986</v>
      </c>
      <c r="P336" s="85">
        <v>-1.8108834454094755</v>
      </c>
      <c r="Q336" s="85">
        <v>-1.5971320737752335</v>
      </c>
      <c r="R336" s="85">
        <v>1.2933565294411973</v>
      </c>
      <c r="S336" s="85">
        <v>-1.6499347800537607</v>
      </c>
      <c r="T336" s="85">
        <v>-0.16952108464970286</v>
      </c>
      <c r="U336" s="85">
        <v>-2.1434509751123434</v>
      </c>
      <c r="V336" s="85">
        <v>0.0</v>
      </c>
      <c r="W336" s="85">
        <v>2.095708368646883</v>
      </c>
      <c r="X336" s="85">
        <v>-1.173867022165786</v>
      </c>
      <c r="Y336" s="50" t="s">
        <v>69</v>
      </c>
      <c r="Z336" s="50" t="s">
        <v>69</v>
      </c>
      <c r="AA336" s="50" t="s">
        <v>69</v>
      </c>
      <c r="AB336" s="50" t="s">
        <v>69</v>
      </c>
      <c r="AC336" s="34" t="str">
        <f t="shared" ref="AC336:AP336" si="336">LET(
  skater, IFERROR(INDEX(AllProj, MATCH($E336, AllProjNames, 0), MATCH(AC$2, AllProjCats, 0) + 1), ""),
  goalie, IFERROR(INDEX(AllGProj, MATCH($E336, AllGProjNames, 0), MATCH(AC$2, AllGProjCats, 0) + 1), ""),
  val, IF(skater &lt;&gt; "", skater, goalie),
  IF(OR($E336="", AC$2="", val=""), "", val * AC$1)
)</f>
        <v/>
      </c>
      <c r="AD336" s="34" t="str">
        <f t="shared" si="336"/>
        <v/>
      </c>
      <c r="AE336" s="34" t="str">
        <f t="shared" si="336"/>
        <v/>
      </c>
      <c r="AF336" s="34" t="str">
        <f t="shared" si="336"/>
        <v/>
      </c>
      <c r="AG336" s="34" t="str">
        <f t="shared" si="336"/>
        <v/>
      </c>
      <c r="AH336" s="34" t="str">
        <f t="shared" si="336"/>
        <v/>
      </c>
      <c r="AI336" s="34" t="str">
        <f t="shared" si="336"/>
        <v/>
      </c>
      <c r="AJ336" s="34" t="str">
        <f t="shared" si="336"/>
        <v/>
      </c>
      <c r="AK336" s="34" t="str">
        <f t="shared" si="336"/>
        <v/>
      </c>
      <c r="AL336" s="34" t="str">
        <f t="shared" si="336"/>
        <v/>
      </c>
      <c r="AM336" s="34" t="str">
        <f t="shared" si="336"/>
        <v/>
      </c>
      <c r="AN336" s="34" t="str">
        <f t="shared" si="336"/>
        <v/>
      </c>
      <c r="AO336" s="34" t="str">
        <f t="shared" si="336"/>
        <v/>
      </c>
      <c r="AP336" s="34" t="str">
        <f t="shared" si="336"/>
        <v/>
      </c>
      <c r="AQ336" s="76" t="s">
        <v>375</v>
      </c>
      <c r="AR336" s="77"/>
      <c r="AS336" s="77"/>
      <c r="AT336" s="77"/>
      <c r="AU336" s="77"/>
      <c r="AV336" s="77"/>
      <c r="AW336" s="77"/>
      <c r="AX336" s="77"/>
      <c r="AY336" s="77"/>
      <c r="AZ336" s="77"/>
      <c r="BA336" s="77"/>
      <c r="BB336" s="77"/>
      <c r="BC336" s="77"/>
      <c r="BD336" s="77"/>
      <c r="BE336" s="77"/>
      <c r="BF336" s="77"/>
      <c r="BG336" s="77"/>
      <c r="BH336" s="77"/>
      <c r="BI336" s="77"/>
      <c r="BJ336" s="77"/>
      <c r="BK336" s="77"/>
      <c r="BL336" s="77"/>
      <c r="BM336" s="78"/>
    </row>
    <row r="337">
      <c r="A337" s="41">
        <v>2.5714285714285716</v>
      </c>
      <c r="B337" s="41" t="b">
        <v>0</v>
      </c>
      <c r="C337" s="41" t="b">
        <f t="shared" si="3"/>
        <v>0</v>
      </c>
      <c r="D337" s="42" t="s">
        <v>1565</v>
      </c>
      <c r="E337" s="43" t="s">
        <v>946</v>
      </c>
      <c r="F337" s="44" t="s">
        <v>1436</v>
      </c>
      <c r="G337" s="29" t="s">
        <v>837</v>
      </c>
      <c r="H337" s="32">
        <v>-6.858567772997538</v>
      </c>
      <c r="I337" s="32">
        <v>-1.3287090010686367</v>
      </c>
      <c r="J337" s="45" t="s">
        <v>1984</v>
      </c>
      <c r="K337" s="29">
        <v>33.4</v>
      </c>
      <c r="L337" s="41">
        <v>82.14285714285714</v>
      </c>
      <c r="M337" s="46">
        <v>26.0</v>
      </c>
      <c r="N337" s="46">
        <v>5.0</v>
      </c>
      <c r="O337" s="47">
        <v>-2.2905108031172596</v>
      </c>
      <c r="P337" s="47">
        <v>-1.1589753901247308</v>
      </c>
      <c r="Q337" s="47">
        <v>0.8166162012076149</v>
      </c>
      <c r="R337" s="47">
        <v>-0.5362465624921767</v>
      </c>
      <c r="S337" s="47">
        <v>-1.6499347800537607</v>
      </c>
      <c r="T337" s="47">
        <v>-0.16952108464970286</v>
      </c>
      <c r="U337" s="47">
        <v>-2.1401649434906704</v>
      </c>
      <c r="V337" s="47">
        <v>0.0</v>
      </c>
      <c r="W337" s="47">
        <v>-0.30124085810822093</v>
      </c>
      <c r="X337" s="47">
        <v>0.5714104478313697</v>
      </c>
      <c r="Y337" s="50" t="s">
        <v>69</v>
      </c>
      <c r="Z337" s="50" t="s">
        <v>69</v>
      </c>
      <c r="AA337" s="50" t="s">
        <v>69</v>
      </c>
      <c r="AB337" s="50" t="s">
        <v>69</v>
      </c>
      <c r="AC337" s="34" t="str">
        <f t="shared" ref="AC337:AP337" si="337">LET(
  skater, IFERROR(INDEX(AllProj, MATCH($E337, AllProjNames, 0), MATCH(AC$2, AllProjCats, 0) + 1), ""),
  goalie, IFERROR(INDEX(AllGProj, MATCH($E337, AllGProjNames, 0), MATCH(AC$2, AllGProjCats, 0) + 1), ""),
  val, IF(skater &lt;&gt; "", skater, goalie),
  IF(OR($E337="", AC$2="", val=""), "", val * AC$1)
)</f>
        <v/>
      </c>
      <c r="AD337" s="34" t="str">
        <f t="shared" si="337"/>
        <v/>
      </c>
      <c r="AE337" s="34" t="str">
        <f t="shared" si="337"/>
        <v/>
      </c>
      <c r="AF337" s="34" t="str">
        <f t="shared" si="337"/>
        <v/>
      </c>
      <c r="AG337" s="34" t="str">
        <f t="shared" si="337"/>
        <v/>
      </c>
      <c r="AH337" s="34" t="str">
        <f t="shared" si="337"/>
        <v/>
      </c>
      <c r="AI337" s="34" t="str">
        <f t="shared" si="337"/>
        <v/>
      </c>
      <c r="AJ337" s="34" t="str">
        <f t="shared" si="337"/>
        <v/>
      </c>
      <c r="AK337" s="34" t="str">
        <f t="shared" si="337"/>
        <v/>
      </c>
      <c r="AL337" s="34" t="str">
        <f t="shared" si="337"/>
        <v/>
      </c>
      <c r="AM337" s="34" t="str">
        <f t="shared" si="337"/>
        <v/>
      </c>
      <c r="AN337" s="34" t="str">
        <f t="shared" si="337"/>
        <v/>
      </c>
      <c r="AO337" s="34" t="str">
        <f t="shared" si="337"/>
        <v/>
      </c>
      <c r="AP337" s="34" t="str">
        <f t="shared" si="337"/>
        <v/>
      </c>
      <c r="AQ337" s="76" t="s">
        <v>376</v>
      </c>
      <c r="AR337" s="77"/>
      <c r="AS337" s="77"/>
      <c r="AT337" s="77"/>
      <c r="AU337" s="77"/>
      <c r="AV337" s="77"/>
      <c r="AW337" s="77"/>
      <c r="AX337" s="77"/>
      <c r="AY337" s="77"/>
      <c r="AZ337" s="77"/>
      <c r="BA337" s="77"/>
      <c r="BB337" s="77"/>
      <c r="BC337" s="77"/>
      <c r="BD337" s="77"/>
      <c r="BE337" s="77"/>
      <c r="BF337" s="77"/>
      <c r="BG337" s="77"/>
      <c r="BH337" s="77"/>
      <c r="BI337" s="77"/>
      <c r="BJ337" s="77"/>
      <c r="BK337" s="77"/>
      <c r="BL337" s="77"/>
      <c r="BM337" s="78"/>
    </row>
    <row r="338">
      <c r="A338" s="79">
        <v>2.857142857142857</v>
      </c>
      <c r="B338" s="79" t="b">
        <v>0</v>
      </c>
      <c r="C338" s="79" t="b">
        <f t="shared" si="3"/>
        <v>0</v>
      </c>
      <c r="D338" s="80" t="s">
        <v>1565</v>
      </c>
      <c r="E338" s="81" t="s">
        <v>1377</v>
      </c>
      <c r="F338" s="82" t="s">
        <v>1043</v>
      </c>
      <c r="G338" s="35" t="s">
        <v>6</v>
      </c>
      <c r="H338" s="37">
        <v>-6.8692819232628</v>
      </c>
      <c r="I338" s="37">
        <v>-2.5310589447926866</v>
      </c>
      <c r="J338" s="83" t="s">
        <v>1985</v>
      </c>
      <c r="K338" s="35">
        <v>30.3</v>
      </c>
      <c r="L338" s="79">
        <v>34.9</v>
      </c>
      <c r="M338" s="84">
        <v>28.0</v>
      </c>
      <c r="N338" s="84">
        <v>6.0</v>
      </c>
      <c r="O338" s="96" t="s">
        <v>69</v>
      </c>
      <c r="P338" s="96" t="s">
        <v>69</v>
      </c>
      <c r="Q338" s="96" t="s">
        <v>69</v>
      </c>
      <c r="R338" s="96" t="s">
        <v>69</v>
      </c>
      <c r="S338" s="96" t="s">
        <v>69</v>
      </c>
      <c r="T338" s="96" t="s">
        <v>69</v>
      </c>
      <c r="U338" s="96" t="s">
        <v>69</v>
      </c>
      <c r="V338" s="96" t="s">
        <v>69</v>
      </c>
      <c r="W338" s="96" t="s">
        <v>69</v>
      </c>
      <c r="X338" s="96" t="s">
        <v>69</v>
      </c>
      <c r="Y338" s="95">
        <v>-1.2750826219292128</v>
      </c>
      <c r="Z338" s="95">
        <v>-1.048029474333875</v>
      </c>
      <c r="AA338" s="95">
        <v>-4.546169826999713</v>
      </c>
      <c r="AB338" s="95">
        <v>0.0</v>
      </c>
      <c r="AC338" s="34" t="str">
        <f t="shared" ref="AC338:AP338" si="338">LET(
  skater, IFERROR(INDEX(AllProj, MATCH($E338, AllProjNames, 0), MATCH(AC$2, AllProjCats, 0) + 1), ""),
  goalie, IFERROR(INDEX(AllGProj, MATCH($E338, AllGProjNames, 0), MATCH(AC$2, AllGProjCats, 0) + 1), ""),
  val, IF(skater &lt;&gt; "", skater, goalie),
  IF(OR($E338="", AC$2="", val=""), "", val * AC$1)
)</f>
        <v/>
      </c>
      <c r="AD338" s="34" t="str">
        <f t="shared" si="338"/>
        <v/>
      </c>
      <c r="AE338" s="34" t="str">
        <f t="shared" si="338"/>
        <v/>
      </c>
      <c r="AF338" s="34" t="str">
        <f t="shared" si="338"/>
        <v/>
      </c>
      <c r="AG338" s="34" t="str">
        <f t="shared" si="338"/>
        <v/>
      </c>
      <c r="AH338" s="34" t="str">
        <f t="shared" si="338"/>
        <v/>
      </c>
      <c r="AI338" s="34" t="str">
        <f t="shared" si="338"/>
        <v/>
      </c>
      <c r="AJ338" s="34" t="str">
        <f t="shared" si="338"/>
        <v/>
      </c>
      <c r="AK338" s="34" t="str">
        <f t="shared" si="338"/>
        <v/>
      </c>
      <c r="AL338" s="34" t="str">
        <f t="shared" si="338"/>
        <v/>
      </c>
      <c r="AM338" s="34" t="str">
        <f t="shared" si="338"/>
        <v/>
      </c>
      <c r="AN338" s="34" t="str">
        <f t="shared" si="338"/>
        <v/>
      </c>
      <c r="AO338" s="34" t="str">
        <f t="shared" si="338"/>
        <v/>
      </c>
      <c r="AP338" s="34" t="str">
        <f t="shared" si="338"/>
        <v/>
      </c>
      <c r="AQ338" s="76" t="s">
        <v>377</v>
      </c>
      <c r="AR338" s="77"/>
      <c r="AS338" s="77"/>
      <c r="AT338" s="77"/>
      <c r="AU338" s="77"/>
      <c r="AV338" s="77"/>
      <c r="AW338" s="77"/>
      <c r="AX338" s="77"/>
      <c r="AY338" s="77"/>
      <c r="AZ338" s="77"/>
      <c r="BA338" s="77"/>
      <c r="BB338" s="77"/>
      <c r="BC338" s="77"/>
      <c r="BD338" s="77"/>
      <c r="BE338" s="77"/>
      <c r="BF338" s="77"/>
      <c r="BG338" s="77"/>
      <c r="BH338" s="77"/>
      <c r="BI338" s="77"/>
      <c r="BJ338" s="77"/>
      <c r="BK338" s="77"/>
      <c r="BL338" s="77"/>
      <c r="BM338" s="78"/>
    </row>
    <row r="339">
      <c r="A339" s="41">
        <v>2.642857142857143</v>
      </c>
      <c r="B339" s="41" t="b">
        <v>0</v>
      </c>
      <c r="C339" s="41" t="b">
        <f t="shared" si="3"/>
        <v>0</v>
      </c>
      <c r="D339" s="42" t="s">
        <v>1565</v>
      </c>
      <c r="E339" s="43" t="s">
        <v>1131</v>
      </c>
      <c r="F339" s="44" t="s">
        <v>1439</v>
      </c>
      <c r="G339" s="29" t="s">
        <v>837</v>
      </c>
      <c r="H339" s="32">
        <v>-6.884707179352627</v>
      </c>
      <c r="I339" s="32">
        <v>-1.3548484074237255</v>
      </c>
      <c r="J339" s="45" t="s">
        <v>1986</v>
      </c>
      <c r="K339" s="29">
        <v>22.3</v>
      </c>
      <c r="L339" s="41">
        <v>78.88888888888889</v>
      </c>
      <c r="M339" s="46">
        <v>25.0</v>
      </c>
      <c r="N339" s="46">
        <v>6.0</v>
      </c>
      <c r="O339" s="47">
        <v>-1.997475554761543</v>
      </c>
      <c r="P339" s="47">
        <v>-1.858829233579884</v>
      </c>
      <c r="Q339" s="47">
        <v>-0.24987548311938396</v>
      </c>
      <c r="R339" s="47">
        <v>0.9526990389690281</v>
      </c>
      <c r="S339" s="47">
        <v>-1.72461069241107</v>
      </c>
      <c r="T339" s="47">
        <v>-0.7871777123417198</v>
      </c>
      <c r="U339" s="47">
        <v>-2.452995153873962</v>
      </c>
      <c r="V339" s="47">
        <v>0.0</v>
      </c>
      <c r="W339" s="47">
        <v>1.9529817062276056</v>
      </c>
      <c r="X339" s="47">
        <v>-0.719424094461698</v>
      </c>
      <c r="Y339" s="50" t="s">
        <v>69</v>
      </c>
      <c r="Z339" s="50" t="s">
        <v>69</v>
      </c>
      <c r="AA339" s="50" t="s">
        <v>69</v>
      </c>
      <c r="AB339" s="50" t="s">
        <v>69</v>
      </c>
      <c r="AC339" s="34" t="str">
        <f t="shared" ref="AC339:AP339" si="339">LET(
  skater, IFERROR(INDEX(AllProj, MATCH($E339, AllProjNames, 0), MATCH(AC$2, AllProjCats, 0) + 1), ""),
  goalie, IFERROR(INDEX(AllGProj, MATCH($E339, AllGProjNames, 0), MATCH(AC$2, AllGProjCats, 0) + 1), ""),
  val, IF(skater &lt;&gt; "", skater, goalie),
  IF(OR($E339="", AC$2="", val=""), "", val * AC$1)
)</f>
        <v/>
      </c>
      <c r="AD339" s="34" t="str">
        <f t="shared" si="339"/>
        <v/>
      </c>
      <c r="AE339" s="34" t="str">
        <f t="shared" si="339"/>
        <v/>
      </c>
      <c r="AF339" s="34" t="str">
        <f t="shared" si="339"/>
        <v/>
      </c>
      <c r="AG339" s="34" t="str">
        <f t="shared" si="339"/>
        <v/>
      </c>
      <c r="AH339" s="34" t="str">
        <f t="shared" si="339"/>
        <v/>
      </c>
      <c r="AI339" s="34" t="str">
        <f t="shared" si="339"/>
        <v/>
      </c>
      <c r="AJ339" s="34" t="str">
        <f t="shared" si="339"/>
        <v/>
      </c>
      <c r="AK339" s="34" t="str">
        <f t="shared" si="339"/>
        <v/>
      </c>
      <c r="AL339" s="34" t="str">
        <f t="shared" si="339"/>
        <v/>
      </c>
      <c r="AM339" s="34" t="str">
        <f t="shared" si="339"/>
        <v/>
      </c>
      <c r="AN339" s="34" t="str">
        <f t="shared" si="339"/>
        <v/>
      </c>
      <c r="AO339" s="34" t="str">
        <f t="shared" si="339"/>
        <v/>
      </c>
      <c r="AP339" s="34" t="str">
        <f t="shared" si="339"/>
        <v/>
      </c>
      <c r="AQ339" s="76" t="s">
        <v>378</v>
      </c>
      <c r="AR339" s="77"/>
      <c r="AS339" s="77"/>
      <c r="AT339" s="77"/>
      <c r="AU339" s="77"/>
      <c r="AV339" s="77"/>
      <c r="AW339" s="77"/>
      <c r="AX339" s="77"/>
      <c r="AY339" s="77"/>
      <c r="AZ339" s="77"/>
      <c r="BA339" s="77"/>
      <c r="BB339" s="77"/>
      <c r="BC339" s="77"/>
      <c r="BD339" s="77"/>
      <c r="BE339" s="77"/>
      <c r="BF339" s="77"/>
      <c r="BG339" s="77"/>
      <c r="BH339" s="77"/>
      <c r="BI339" s="77"/>
      <c r="BJ339" s="77"/>
      <c r="BK339" s="77"/>
      <c r="BL339" s="77"/>
      <c r="BM339" s="78"/>
    </row>
    <row r="340">
      <c r="A340" s="79">
        <v>2.642857142857143</v>
      </c>
      <c r="B340" s="79" t="b">
        <v>0</v>
      </c>
      <c r="C340" s="79" t="b">
        <f t="shared" si="3"/>
        <v>0</v>
      </c>
      <c r="D340" s="80" t="s">
        <v>1565</v>
      </c>
      <c r="E340" s="81" t="s">
        <v>1101</v>
      </c>
      <c r="F340" s="82" t="s">
        <v>1464</v>
      </c>
      <c r="G340" s="35" t="s">
        <v>837</v>
      </c>
      <c r="H340" s="37">
        <v>-6.901497687297994</v>
      </c>
      <c r="I340" s="37">
        <v>-1.3716389153690924</v>
      </c>
      <c r="J340" s="83" t="s">
        <v>1987</v>
      </c>
      <c r="K340" s="35">
        <v>29.2</v>
      </c>
      <c r="L340" s="79">
        <v>79.57142857142857</v>
      </c>
      <c r="M340" s="84">
        <v>24.0</v>
      </c>
      <c r="N340" s="84">
        <v>7.0</v>
      </c>
      <c r="O340" s="85">
        <v>-2.168346244538446</v>
      </c>
      <c r="P340" s="85">
        <v>-1.4280904592102484</v>
      </c>
      <c r="Q340" s="85">
        <v>-0.15565199570455668</v>
      </c>
      <c r="R340" s="85">
        <v>1.1690145717369875</v>
      </c>
      <c r="S340" s="85">
        <v>-1.72461069241107</v>
      </c>
      <c r="T340" s="85">
        <v>-0.16952108464970286</v>
      </c>
      <c r="U340" s="85">
        <v>-2.1552806889503673</v>
      </c>
      <c r="V340" s="85">
        <v>0.0</v>
      </c>
      <c r="W340" s="85">
        <v>-0.38379333514106667</v>
      </c>
      <c r="X340" s="85">
        <v>0.11478224157047752</v>
      </c>
      <c r="Y340" s="50" t="s">
        <v>69</v>
      </c>
      <c r="Z340" s="50" t="s">
        <v>69</v>
      </c>
      <c r="AA340" s="50" t="s">
        <v>69</v>
      </c>
      <c r="AB340" s="50" t="s">
        <v>69</v>
      </c>
      <c r="AC340" s="34" t="str">
        <f t="shared" ref="AC340:AP340" si="340">LET(
  skater, IFERROR(INDEX(AllProj, MATCH($E340, AllProjNames, 0), MATCH(AC$2, AllProjCats, 0) + 1), ""),
  goalie, IFERROR(INDEX(AllGProj, MATCH($E340, AllGProjNames, 0), MATCH(AC$2, AllGProjCats, 0) + 1), ""),
  val, IF(skater &lt;&gt; "", skater, goalie),
  IF(OR($E340="", AC$2="", val=""), "", val * AC$1)
)</f>
        <v/>
      </c>
      <c r="AD340" s="34" t="str">
        <f t="shared" si="340"/>
        <v/>
      </c>
      <c r="AE340" s="34" t="str">
        <f t="shared" si="340"/>
        <v/>
      </c>
      <c r="AF340" s="34" t="str">
        <f t="shared" si="340"/>
        <v/>
      </c>
      <c r="AG340" s="34" t="str">
        <f t="shared" si="340"/>
        <v/>
      </c>
      <c r="AH340" s="34" t="str">
        <f t="shared" si="340"/>
        <v/>
      </c>
      <c r="AI340" s="34" t="str">
        <f t="shared" si="340"/>
        <v/>
      </c>
      <c r="AJ340" s="34" t="str">
        <f t="shared" si="340"/>
        <v/>
      </c>
      <c r="AK340" s="34" t="str">
        <f t="shared" si="340"/>
        <v/>
      </c>
      <c r="AL340" s="34" t="str">
        <f t="shared" si="340"/>
        <v/>
      </c>
      <c r="AM340" s="34" t="str">
        <f t="shared" si="340"/>
        <v/>
      </c>
      <c r="AN340" s="34" t="str">
        <f t="shared" si="340"/>
        <v/>
      </c>
      <c r="AO340" s="34" t="str">
        <f t="shared" si="340"/>
        <v/>
      </c>
      <c r="AP340" s="34" t="str">
        <f t="shared" si="340"/>
        <v/>
      </c>
      <c r="AQ340" s="76" t="s">
        <v>379</v>
      </c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77"/>
      <c r="BE340" s="77"/>
      <c r="BF340" s="77"/>
      <c r="BG340" s="77"/>
      <c r="BH340" s="77"/>
      <c r="BI340" s="77"/>
      <c r="BJ340" s="77"/>
      <c r="BK340" s="77"/>
      <c r="BL340" s="77"/>
      <c r="BM340" s="78"/>
    </row>
    <row r="341">
      <c r="A341" s="41">
        <v>2.642857142857143</v>
      </c>
      <c r="B341" s="41" t="b">
        <v>0</v>
      </c>
      <c r="C341" s="41" t="b">
        <f t="shared" si="3"/>
        <v>0</v>
      </c>
      <c r="D341" s="42" t="s">
        <v>1565</v>
      </c>
      <c r="E341" s="43" t="s">
        <v>1113</v>
      </c>
      <c r="F341" s="44" t="s">
        <v>279</v>
      </c>
      <c r="G341" s="29" t="s">
        <v>835</v>
      </c>
      <c r="H341" s="32">
        <v>-6.950989315699731</v>
      </c>
      <c r="I341" s="32">
        <v>-1.5631091907869923</v>
      </c>
      <c r="J341" s="45" t="s">
        <v>1988</v>
      </c>
      <c r="K341" s="29">
        <v>23.3</v>
      </c>
      <c r="L341" s="41">
        <v>76.14285714285714</v>
      </c>
      <c r="M341" s="46">
        <v>34.0</v>
      </c>
      <c r="N341" s="46">
        <v>7.0</v>
      </c>
      <c r="O341" s="47">
        <v>-1.2269605284311158</v>
      </c>
      <c r="P341" s="47">
        <v>-1.889762000141438</v>
      </c>
      <c r="Q341" s="47">
        <v>-0.6780658292771253</v>
      </c>
      <c r="R341" s="47">
        <v>0.35191027825217946</v>
      </c>
      <c r="S341" s="47">
        <v>-1.4445760210711605</v>
      </c>
      <c r="T341" s="47">
        <v>-0.16952108464970286</v>
      </c>
      <c r="U341" s="47">
        <v>-1.6374021053746657</v>
      </c>
      <c r="V341" s="47">
        <v>0.0</v>
      </c>
      <c r="W341" s="47">
        <v>1.1489895362914837</v>
      </c>
      <c r="X341" s="47">
        <v>-1.4056015612981865</v>
      </c>
      <c r="Y341" s="50" t="s">
        <v>69</v>
      </c>
      <c r="Z341" s="50" t="s">
        <v>69</v>
      </c>
      <c r="AA341" s="50" t="s">
        <v>69</v>
      </c>
      <c r="AB341" s="50" t="s">
        <v>69</v>
      </c>
      <c r="AC341" s="34" t="str">
        <f t="shared" ref="AC341:AP341" si="341">LET(
  skater, IFERROR(INDEX(AllProj, MATCH($E341, AllProjNames, 0), MATCH(AC$2, AllProjCats, 0) + 1), ""),
  goalie, IFERROR(INDEX(AllGProj, MATCH($E341, AllGProjNames, 0), MATCH(AC$2, AllGProjCats, 0) + 1), ""),
  val, IF(skater &lt;&gt; "", skater, goalie),
  IF(OR($E341="", AC$2="", val=""), "", val * AC$1)
)</f>
        <v/>
      </c>
      <c r="AD341" s="34" t="str">
        <f t="shared" si="341"/>
        <v/>
      </c>
      <c r="AE341" s="34" t="str">
        <f t="shared" si="341"/>
        <v/>
      </c>
      <c r="AF341" s="34" t="str">
        <f t="shared" si="341"/>
        <v/>
      </c>
      <c r="AG341" s="34" t="str">
        <f t="shared" si="341"/>
        <v/>
      </c>
      <c r="AH341" s="34" t="str">
        <f t="shared" si="341"/>
        <v/>
      </c>
      <c r="AI341" s="34" t="str">
        <f t="shared" si="341"/>
        <v/>
      </c>
      <c r="AJ341" s="34" t="str">
        <f t="shared" si="341"/>
        <v/>
      </c>
      <c r="AK341" s="34" t="str">
        <f t="shared" si="341"/>
        <v/>
      </c>
      <c r="AL341" s="34" t="str">
        <f t="shared" si="341"/>
        <v/>
      </c>
      <c r="AM341" s="34" t="str">
        <f t="shared" si="341"/>
        <v/>
      </c>
      <c r="AN341" s="34" t="str">
        <f t="shared" si="341"/>
        <v/>
      </c>
      <c r="AO341" s="34" t="str">
        <f t="shared" si="341"/>
        <v/>
      </c>
      <c r="AP341" s="34" t="str">
        <f t="shared" si="341"/>
        <v/>
      </c>
      <c r="AQ341" s="76" t="s">
        <v>380</v>
      </c>
      <c r="AR341" s="77"/>
      <c r="AS341" s="77"/>
      <c r="AT341" s="77"/>
      <c r="AU341" s="77"/>
      <c r="AV341" s="77"/>
      <c r="AW341" s="77"/>
      <c r="AX341" s="77"/>
      <c r="AY341" s="77"/>
      <c r="AZ341" s="77"/>
      <c r="BA341" s="77"/>
      <c r="BB341" s="77"/>
      <c r="BC341" s="77"/>
      <c r="BD341" s="77"/>
      <c r="BE341" s="77"/>
      <c r="BF341" s="77"/>
      <c r="BG341" s="77"/>
      <c r="BH341" s="77"/>
      <c r="BI341" s="77"/>
      <c r="BJ341" s="77"/>
      <c r="BK341" s="77"/>
      <c r="BL341" s="77"/>
      <c r="BM341" s="78"/>
    </row>
    <row r="342">
      <c r="A342" s="79">
        <v>2.5714285714285716</v>
      </c>
      <c r="B342" s="79" t="b">
        <v>0</v>
      </c>
      <c r="C342" s="79" t="b">
        <f t="shared" si="3"/>
        <v>0</v>
      </c>
      <c r="D342" s="80" t="s">
        <v>1565</v>
      </c>
      <c r="E342" s="81" t="s">
        <v>971</v>
      </c>
      <c r="F342" s="82" t="s">
        <v>930</v>
      </c>
      <c r="G342" s="35" t="s">
        <v>835</v>
      </c>
      <c r="H342" s="37">
        <v>-6.953766507312985</v>
      </c>
      <c r="I342" s="37">
        <v>-1.5658863824002465</v>
      </c>
      <c r="J342" s="83" t="s">
        <v>1989</v>
      </c>
      <c r="K342" s="35">
        <v>28.0</v>
      </c>
      <c r="L342" s="79">
        <v>80.91014705882354</v>
      </c>
      <c r="M342" s="84">
        <v>29.0</v>
      </c>
      <c r="N342" s="84">
        <v>7.0</v>
      </c>
      <c r="O342" s="85">
        <v>-1.1748970374585042</v>
      </c>
      <c r="P342" s="85">
        <v>-1.046021389772606</v>
      </c>
      <c r="Q342" s="85">
        <v>-0.09458826697755776</v>
      </c>
      <c r="R342" s="85">
        <v>-1.0317286169189417</v>
      </c>
      <c r="S342" s="85">
        <v>-1.5281222638891707</v>
      </c>
      <c r="T342" s="85">
        <v>0.10271860851458373</v>
      </c>
      <c r="U342" s="85">
        <v>-1.455123114938344</v>
      </c>
      <c r="V342" s="85">
        <v>0.0</v>
      </c>
      <c r="W342" s="85">
        <v>0.15902371631651085</v>
      </c>
      <c r="X342" s="85">
        <v>-0.8850281421889562</v>
      </c>
      <c r="Y342" s="50" t="s">
        <v>69</v>
      </c>
      <c r="Z342" s="50" t="s">
        <v>69</v>
      </c>
      <c r="AA342" s="50" t="s">
        <v>69</v>
      </c>
      <c r="AB342" s="50" t="s">
        <v>69</v>
      </c>
      <c r="AC342" s="34" t="str">
        <f t="shared" ref="AC342:AP342" si="342">LET(
  skater, IFERROR(INDEX(AllProj, MATCH($E342, AllProjNames, 0), MATCH(AC$2, AllProjCats, 0) + 1), ""),
  goalie, IFERROR(INDEX(AllGProj, MATCH($E342, AllGProjNames, 0), MATCH(AC$2, AllGProjCats, 0) + 1), ""),
  val, IF(skater &lt;&gt; "", skater, goalie),
  IF(OR($E342="", AC$2="", val=""), "", val * AC$1)
)</f>
        <v/>
      </c>
      <c r="AD342" s="34" t="str">
        <f t="shared" si="342"/>
        <v/>
      </c>
      <c r="AE342" s="34" t="str">
        <f t="shared" si="342"/>
        <v/>
      </c>
      <c r="AF342" s="34" t="str">
        <f t="shared" si="342"/>
        <v/>
      </c>
      <c r="AG342" s="34" t="str">
        <f t="shared" si="342"/>
        <v/>
      </c>
      <c r="AH342" s="34" t="str">
        <f t="shared" si="342"/>
        <v/>
      </c>
      <c r="AI342" s="34" t="str">
        <f t="shared" si="342"/>
        <v/>
      </c>
      <c r="AJ342" s="34" t="str">
        <f t="shared" si="342"/>
        <v/>
      </c>
      <c r="AK342" s="34" t="str">
        <f t="shared" si="342"/>
        <v/>
      </c>
      <c r="AL342" s="34" t="str">
        <f t="shared" si="342"/>
        <v/>
      </c>
      <c r="AM342" s="34" t="str">
        <f t="shared" si="342"/>
        <v/>
      </c>
      <c r="AN342" s="34" t="str">
        <f t="shared" si="342"/>
        <v/>
      </c>
      <c r="AO342" s="34" t="str">
        <f t="shared" si="342"/>
        <v/>
      </c>
      <c r="AP342" s="34" t="str">
        <f t="shared" si="342"/>
        <v/>
      </c>
      <c r="AQ342" s="76" t="s">
        <v>381</v>
      </c>
      <c r="AR342" s="77"/>
      <c r="AS342" s="77"/>
      <c r="AT342" s="77"/>
      <c r="AU342" s="77"/>
      <c r="AV342" s="77"/>
      <c r="AW342" s="77"/>
      <c r="AX342" s="77"/>
      <c r="AY342" s="77"/>
      <c r="AZ342" s="77"/>
      <c r="BA342" s="77"/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8"/>
    </row>
    <row r="343">
      <c r="A343" s="41">
        <v>2.5714285714285716</v>
      </c>
      <c r="B343" s="41" t="b">
        <v>0</v>
      </c>
      <c r="C343" s="41" t="b">
        <f t="shared" si="3"/>
        <v>0</v>
      </c>
      <c r="D343" s="42" t="s">
        <v>1565</v>
      </c>
      <c r="E343" s="43" t="s">
        <v>1045</v>
      </c>
      <c r="F343" s="44" t="s">
        <v>1548</v>
      </c>
      <c r="G343" s="29" t="s">
        <v>830</v>
      </c>
      <c r="H343" s="32">
        <v>-6.9590533851745295</v>
      </c>
      <c r="I343" s="32">
        <v>-1.5711732602617907</v>
      </c>
      <c r="J343" s="45" t="s">
        <v>1990</v>
      </c>
      <c r="K343" s="29">
        <v>32.5</v>
      </c>
      <c r="L343" s="41">
        <v>80.05312500000001</v>
      </c>
      <c r="M343" s="46">
        <v>34.0</v>
      </c>
      <c r="N343" s="46">
        <v>7.0</v>
      </c>
      <c r="O343" s="47">
        <v>-0.8578294269253555</v>
      </c>
      <c r="P343" s="47">
        <v>-1.5271757875397307</v>
      </c>
      <c r="Q343" s="47">
        <v>-2.0693288961551386</v>
      </c>
      <c r="R343" s="47">
        <v>0.6139042785741567</v>
      </c>
      <c r="S343" s="47">
        <v>-1.1808859411106858</v>
      </c>
      <c r="T343" s="47">
        <v>-0.2628776856507815</v>
      </c>
      <c r="U343" s="47">
        <v>-0.39480028687576507</v>
      </c>
      <c r="V343" s="47">
        <v>0.0</v>
      </c>
      <c r="W343" s="47">
        <v>-0.008091829824483891</v>
      </c>
      <c r="X343" s="47">
        <v>-1.2719678096667446</v>
      </c>
      <c r="Y343" s="50" t="s">
        <v>69</v>
      </c>
      <c r="Z343" s="50" t="s">
        <v>69</v>
      </c>
      <c r="AA343" s="50" t="s">
        <v>69</v>
      </c>
      <c r="AB343" s="50" t="s">
        <v>69</v>
      </c>
      <c r="AC343" s="34" t="str">
        <f t="shared" ref="AC343:AP343" si="343">LET(
  skater, IFERROR(INDEX(AllProj, MATCH($E343, AllProjNames, 0), MATCH(AC$2, AllProjCats, 0) + 1), ""),
  goalie, IFERROR(INDEX(AllGProj, MATCH($E343, AllGProjNames, 0), MATCH(AC$2, AllGProjCats, 0) + 1), ""),
  val, IF(skater &lt;&gt; "", skater, goalie),
  IF(OR($E343="", AC$2="", val=""), "", val * AC$1)
)</f>
        <v/>
      </c>
      <c r="AD343" s="34" t="str">
        <f t="shared" si="343"/>
        <v/>
      </c>
      <c r="AE343" s="34" t="str">
        <f t="shared" si="343"/>
        <v/>
      </c>
      <c r="AF343" s="34" t="str">
        <f t="shared" si="343"/>
        <v/>
      </c>
      <c r="AG343" s="34" t="str">
        <f t="shared" si="343"/>
        <v/>
      </c>
      <c r="AH343" s="34" t="str">
        <f t="shared" si="343"/>
        <v/>
      </c>
      <c r="AI343" s="34" t="str">
        <f t="shared" si="343"/>
        <v/>
      </c>
      <c r="AJ343" s="34" t="str">
        <f t="shared" si="343"/>
        <v/>
      </c>
      <c r="AK343" s="34" t="str">
        <f t="shared" si="343"/>
        <v/>
      </c>
      <c r="AL343" s="34" t="str">
        <f t="shared" si="343"/>
        <v/>
      </c>
      <c r="AM343" s="34" t="str">
        <f t="shared" si="343"/>
        <v/>
      </c>
      <c r="AN343" s="34" t="str">
        <f t="shared" si="343"/>
        <v/>
      </c>
      <c r="AO343" s="34" t="str">
        <f t="shared" si="343"/>
        <v/>
      </c>
      <c r="AP343" s="34" t="str">
        <f t="shared" si="343"/>
        <v/>
      </c>
      <c r="AQ343" s="76" t="s">
        <v>382</v>
      </c>
      <c r="AR343" s="77"/>
      <c r="AS343" s="77"/>
      <c r="AT343" s="77"/>
      <c r="AU343" s="77"/>
      <c r="AV343" s="77"/>
      <c r="AW343" s="77"/>
      <c r="AX343" s="77"/>
      <c r="AY343" s="77"/>
      <c r="AZ343" s="77"/>
      <c r="BA343" s="77"/>
      <c r="BB343" s="77"/>
      <c r="BC343" s="77"/>
      <c r="BD343" s="77"/>
      <c r="BE343" s="77"/>
      <c r="BF343" s="77"/>
      <c r="BG343" s="77"/>
      <c r="BH343" s="77"/>
      <c r="BI343" s="77"/>
      <c r="BJ343" s="77"/>
      <c r="BK343" s="77"/>
      <c r="BL343" s="77"/>
      <c r="BM343" s="78"/>
    </row>
    <row r="344">
      <c r="A344" s="79" t="s">
        <v>69</v>
      </c>
      <c r="B344" s="79" t="b">
        <v>0</v>
      </c>
      <c r="C344" s="79" t="b">
        <f t="shared" si="3"/>
        <v>1</v>
      </c>
      <c r="D344" s="80" t="s">
        <v>824</v>
      </c>
      <c r="E344" s="81" t="s">
        <v>1991</v>
      </c>
      <c r="F344" s="82" t="s">
        <v>1464</v>
      </c>
      <c r="G344" s="35" t="s">
        <v>837</v>
      </c>
      <c r="H344" s="37">
        <v>-6.991687265419741</v>
      </c>
      <c r="I344" s="37">
        <v>-1.4618284934908399</v>
      </c>
      <c r="J344" s="83" t="s">
        <v>1992</v>
      </c>
      <c r="K344" s="35">
        <v>23.0</v>
      </c>
      <c r="L344" s="79">
        <v>77.71161764705883</v>
      </c>
      <c r="M344" s="84">
        <v>24.0</v>
      </c>
      <c r="N344" s="84">
        <v>7.0</v>
      </c>
      <c r="O344" s="85">
        <v>-1.5012279931446364</v>
      </c>
      <c r="P344" s="85">
        <v>0.49889537568230397</v>
      </c>
      <c r="Q344" s="85">
        <v>-1.5689915687109963</v>
      </c>
      <c r="R344" s="85">
        <v>-0.9881120005381274</v>
      </c>
      <c r="S344" s="85">
        <v>0.3689466693165379</v>
      </c>
      <c r="T344" s="85">
        <v>-0.7435983646739623</v>
      </c>
      <c r="U344" s="85">
        <v>-0.16127992129585045</v>
      </c>
      <c r="V344" s="85">
        <v>0.0</v>
      </c>
      <c r="W344" s="85">
        <v>-2.1688704092083007</v>
      </c>
      <c r="X344" s="85">
        <v>-0.727449052846709</v>
      </c>
      <c r="Y344" s="50" t="s">
        <v>69</v>
      </c>
      <c r="Z344" s="50" t="s">
        <v>69</v>
      </c>
      <c r="AA344" s="50" t="s">
        <v>69</v>
      </c>
      <c r="AB344" s="50" t="s">
        <v>69</v>
      </c>
      <c r="AC344" s="34" t="str">
        <f t="shared" ref="AC344:AP344" si="344">LET(
  skater, IFERROR(INDEX(AllProj, MATCH($E344, AllProjNames, 0), MATCH(AC$2, AllProjCats, 0) + 1), ""),
  goalie, IFERROR(INDEX(AllGProj, MATCH($E344, AllGProjNames, 0), MATCH(AC$2, AllGProjCats, 0) + 1), ""),
  val, IF(skater &lt;&gt; "", skater, goalie),
  IF(OR($E344="", AC$2="", val=""), "", val * AC$1)
)</f>
        <v/>
      </c>
      <c r="AD344" s="34" t="str">
        <f t="shared" si="344"/>
        <v/>
      </c>
      <c r="AE344" s="34" t="str">
        <f t="shared" si="344"/>
        <v/>
      </c>
      <c r="AF344" s="34" t="str">
        <f t="shared" si="344"/>
        <v/>
      </c>
      <c r="AG344" s="34" t="str">
        <f t="shared" si="344"/>
        <v/>
      </c>
      <c r="AH344" s="34" t="str">
        <f t="shared" si="344"/>
        <v/>
      </c>
      <c r="AI344" s="34" t="str">
        <f t="shared" si="344"/>
        <v/>
      </c>
      <c r="AJ344" s="34" t="str">
        <f t="shared" si="344"/>
        <v/>
      </c>
      <c r="AK344" s="34" t="str">
        <f t="shared" si="344"/>
        <v/>
      </c>
      <c r="AL344" s="34" t="str">
        <f t="shared" si="344"/>
        <v/>
      </c>
      <c r="AM344" s="34" t="str">
        <f t="shared" si="344"/>
        <v/>
      </c>
      <c r="AN344" s="34" t="str">
        <f t="shared" si="344"/>
        <v/>
      </c>
      <c r="AO344" s="34" t="str">
        <f t="shared" si="344"/>
        <v/>
      </c>
      <c r="AP344" s="34" t="str">
        <f t="shared" si="344"/>
        <v/>
      </c>
      <c r="AQ344" s="76" t="s">
        <v>383</v>
      </c>
      <c r="AR344" s="77"/>
      <c r="AS344" s="77"/>
      <c r="AT344" s="77"/>
      <c r="AU344" s="77"/>
      <c r="AV344" s="77"/>
      <c r="AW344" s="77"/>
      <c r="AX344" s="77"/>
      <c r="AY344" s="77"/>
      <c r="AZ344" s="77"/>
      <c r="BA344" s="77"/>
      <c r="BB344" s="77"/>
      <c r="BC344" s="77"/>
      <c r="BD344" s="77"/>
      <c r="BE344" s="77"/>
      <c r="BF344" s="77"/>
      <c r="BG344" s="77"/>
      <c r="BH344" s="77"/>
      <c r="BI344" s="77"/>
      <c r="BJ344" s="77"/>
      <c r="BK344" s="77"/>
      <c r="BL344" s="77"/>
      <c r="BM344" s="78"/>
    </row>
    <row r="345">
      <c r="A345" s="41">
        <v>2.5</v>
      </c>
      <c r="B345" s="41" t="b">
        <v>0</v>
      </c>
      <c r="C345" s="41" t="b">
        <f t="shared" si="3"/>
        <v>0</v>
      </c>
      <c r="D345" s="42" t="s">
        <v>1565</v>
      </c>
      <c r="E345" s="43" t="s">
        <v>887</v>
      </c>
      <c r="F345" s="44" t="s">
        <v>1489</v>
      </c>
      <c r="G345" s="29" t="s">
        <v>836</v>
      </c>
      <c r="H345" s="32">
        <v>-7.004826665434332</v>
      </c>
      <c r="I345" s="32">
        <v>-1.5626890567064748</v>
      </c>
      <c r="J345" s="45" t="s">
        <v>1993</v>
      </c>
      <c r="K345" s="29">
        <v>31.5</v>
      </c>
      <c r="L345" s="41">
        <v>78.39</v>
      </c>
      <c r="M345" s="46">
        <v>28.0</v>
      </c>
      <c r="N345" s="46">
        <v>7.0</v>
      </c>
      <c r="O345" s="47">
        <v>-0.2961980260860681</v>
      </c>
      <c r="P345" s="47">
        <v>-1.0069649903548266</v>
      </c>
      <c r="Q345" s="47">
        <v>-0.14655942852512316</v>
      </c>
      <c r="R345" s="47">
        <v>-1.9323728825731423</v>
      </c>
      <c r="S345" s="47">
        <v>-1.3836544804816606</v>
      </c>
      <c r="T345" s="47">
        <v>0.2863658743449483</v>
      </c>
      <c r="U345" s="47">
        <v>0.1861518661864932</v>
      </c>
      <c r="V345" s="47">
        <v>0.0</v>
      </c>
      <c r="W345" s="47">
        <v>-1.2102465088625687</v>
      </c>
      <c r="X345" s="47">
        <v>-1.501348089082384</v>
      </c>
      <c r="Y345" s="50" t="s">
        <v>69</v>
      </c>
      <c r="Z345" s="50" t="s">
        <v>69</v>
      </c>
      <c r="AA345" s="50" t="s">
        <v>69</v>
      </c>
      <c r="AB345" s="50" t="s">
        <v>69</v>
      </c>
      <c r="AC345" s="34" t="str">
        <f t="shared" ref="AC345:AP345" si="345">LET(
  skater, IFERROR(INDEX(AllProj, MATCH($E345, AllProjNames, 0), MATCH(AC$2, AllProjCats, 0) + 1), ""),
  goalie, IFERROR(INDEX(AllGProj, MATCH($E345, AllGProjNames, 0), MATCH(AC$2, AllGProjCats, 0) + 1), ""),
  val, IF(skater &lt;&gt; "", skater, goalie),
  IF(OR($E345="", AC$2="", val=""), "", val * AC$1)
)</f>
        <v/>
      </c>
      <c r="AD345" s="34" t="str">
        <f t="shared" si="345"/>
        <v/>
      </c>
      <c r="AE345" s="34" t="str">
        <f t="shared" si="345"/>
        <v/>
      </c>
      <c r="AF345" s="34" t="str">
        <f t="shared" si="345"/>
        <v/>
      </c>
      <c r="AG345" s="34" t="str">
        <f t="shared" si="345"/>
        <v/>
      </c>
      <c r="AH345" s="34" t="str">
        <f t="shared" si="345"/>
        <v/>
      </c>
      <c r="AI345" s="34" t="str">
        <f t="shared" si="345"/>
        <v/>
      </c>
      <c r="AJ345" s="34" t="str">
        <f t="shared" si="345"/>
        <v/>
      </c>
      <c r="AK345" s="34" t="str">
        <f t="shared" si="345"/>
        <v/>
      </c>
      <c r="AL345" s="34" t="str">
        <f t="shared" si="345"/>
        <v/>
      </c>
      <c r="AM345" s="34" t="str">
        <f t="shared" si="345"/>
        <v/>
      </c>
      <c r="AN345" s="34" t="str">
        <f t="shared" si="345"/>
        <v/>
      </c>
      <c r="AO345" s="34" t="str">
        <f t="shared" si="345"/>
        <v/>
      </c>
      <c r="AP345" s="34" t="str">
        <f t="shared" si="345"/>
        <v/>
      </c>
      <c r="AQ345" s="76" t="s">
        <v>384</v>
      </c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 s="77"/>
      <c r="BH345" s="77"/>
      <c r="BI345" s="77"/>
      <c r="BJ345" s="77"/>
      <c r="BK345" s="77"/>
      <c r="BL345" s="77"/>
      <c r="BM345" s="78"/>
    </row>
    <row r="346">
      <c r="A346" s="79">
        <v>2.642857142857143</v>
      </c>
      <c r="B346" s="79" t="b">
        <v>0</v>
      </c>
      <c r="C346" s="79" t="b">
        <f t="shared" si="3"/>
        <v>0</v>
      </c>
      <c r="D346" s="80" t="s">
        <v>1565</v>
      </c>
      <c r="E346" s="81" t="s">
        <v>1119</v>
      </c>
      <c r="F346" s="82" t="s">
        <v>1043</v>
      </c>
      <c r="G346" s="35" t="s">
        <v>284</v>
      </c>
      <c r="H346" s="37">
        <v>-7.013440896399983</v>
      </c>
      <c r="I346" s="37">
        <v>-1.9753748762168977</v>
      </c>
      <c r="J346" s="83" t="s">
        <v>1994</v>
      </c>
      <c r="K346" s="35">
        <v>36.3</v>
      </c>
      <c r="L346" s="79">
        <v>78.14285714285714</v>
      </c>
      <c r="M346" s="84">
        <v>28.0</v>
      </c>
      <c r="N346" s="84">
        <v>6.0</v>
      </c>
      <c r="O346" s="85">
        <v>-1.453324269327153</v>
      </c>
      <c r="P346" s="85">
        <v>-1.6345666760086195</v>
      </c>
      <c r="Q346" s="85">
        <v>-0.6412924813871508</v>
      </c>
      <c r="R346" s="85">
        <v>0.5028969411787202</v>
      </c>
      <c r="S346" s="85">
        <v>-1.72461069241107</v>
      </c>
      <c r="T346" s="85">
        <v>-0.16952108464970286</v>
      </c>
      <c r="U346" s="85">
        <v>-2.2183724960864932</v>
      </c>
      <c r="V346" s="85">
        <v>1.1676702256594134</v>
      </c>
      <c r="W346" s="85">
        <v>0.03482383562832773</v>
      </c>
      <c r="X346" s="85">
        <v>-0.8771441989962548</v>
      </c>
      <c r="Y346" s="50" t="s">
        <v>69</v>
      </c>
      <c r="Z346" s="50" t="s">
        <v>69</v>
      </c>
      <c r="AA346" s="50" t="s">
        <v>69</v>
      </c>
      <c r="AB346" s="50" t="s">
        <v>69</v>
      </c>
      <c r="AC346" s="34" t="str">
        <f t="shared" ref="AC346:AP346" si="346">LET(
  skater, IFERROR(INDEX(AllProj, MATCH($E346, AllProjNames, 0), MATCH(AC$2, AllProjCats, 0) + 1), ""),
  goalie, IFERROR(INDEX(AllGProj, MATCH($E346, AllGProjNames, 0), MATCH(AC$2, AllGProjCats, 0) + 1), ""),
  val, IF(skater &lt;&gt; "", skater, goalie),
  IF(OR($E346="", AC$2="", val=""), "", val * AC$1)
)</f>
        <v/>
      </c>
      <c r="AD346" s="34" t="str">
        <f t="shared" si="346"/>
        <v/>
      </c>
      <c r="AE346" s="34" t="str">
        <f t="shared" si="346"/>
        <v/>
      </c>
      <c r="AF346" s="34" t="str">
        <f t="shared" si="346"/>
        <v/>
      </c>
      <c r="AG346" s="34" t="str">
        <f t="shared" si="346"/>
        <v/>
      </c>
      <c r="AH346" s="34" t="str">
        <f t="shared" si="346"/>
        <v/>
      </c>
      <c r="AI346" s="34" t="str">
        <f t="shared" si="346"/>
        <v/>
      </c>
      <c r="AJ346" s="34" t="str">
        <f t="shared" si="346"/>
        <v/>
      </c>
      <c r="AK346" s="34" t="str">
        <f t="shared" si="346"/>
        <v/>
      </c>
      <c r="AL346" s="34" t="str">
        <f t="shared" si="346"/>
        <v/>
      </c>
      <c r="AM346" s="34" t="str">
        <f t="shared" si="346"/>
        <v/>
      </c>
      <c r="AN346" s="34" t="str">
        <f t="shared" si="346"/>
        <v/>
      </c>
      <c r="AO346" s="34" t="str">
        <f t="shared" si="346"/>
        <v/>
      </c>
      <c r="AP346" s="34" t="str">
        <f t="shared" si="346"/>
        <v/>
      </c>
      <c r="AQ346" s="76" t="s">
        <v>385</v>
      </c>
      <c r="AR346" s="77"/>
      <c r="AS346" s="77"/>
      <c r="AT346" s="77"/>
      <c r="AU346" s="77"/>
      <c r="AV346" s="77"/>
      <c r="AW346" s="77"/>
      <c r="AX346" s="77"/>
      <c r="AY346" s="77"/>
      <c r="AZ346" s="77"/>
      <c r="BA346" s="77"/>
      <c r="BB346" s="77"/>
      <c r="BC346" s="77"/>
      <c r="BD346" s="77"/>
      <c r="BE346" s="77"/>
      <c r="BF346" s="77"/>
      <c r="BG346" s="77"/>
      <c r="BH346" s="77"/>
      <c r="BI346" s="77"/>
      <c r="BJ346" s="77"/>
      <c r="BK346" s="77"/>
      <c r="BL346" s="77"/>
      <c r="BM346" s="78"/>
    </row>
    <row r="347">
      <c r="A347" s="41">
        <v>2.5</v>
      </c>
      <c r="B347" s="41" t="b">
        <v>0</v>
      </c>
      <c r="C347" s="41" t="b">
        <f t="shared" si="3"/>
        <v>0</v>
      </c>
      <c r="D347" s="42" t="s">
        <v>1565</v>
      </c>
      <c r="E347" s="43" t="s">
        <v>902</v>
      </c>
      <c r="F347" s="44" t="s">
        <v>1512</v>
      </c>
      <c r="G347" s="29" t="s">
        <v>831</v>
      </c>
      <c r="H347" s="32">
        <v>-7.0276722417798965</v>
      </c>
      <c r="I347" s="32">
        <v>-1.5855346330520392</v>
      </c>
      <c r="J347" s="45" t="s">
        <v>1995</v>
      </c>
      <c r="K347" s="29">
        <v>31.4</v>
      </c>
      <c r="L347" s="41">
        <v>81.20485294117647</v>
      </c>
      <c r="M347" s="46">
        <v>21.0</v>
      </c>
      <c r="N347" s="46">
        <v>7.0</v>
      </c>
      <c r="O347" s="47">
        <v>-0.05190745529288374</v>
      </c>
      <c r="P347" s="47">
        <v>-0.25027921194866626</v>
      </c>
      <c r="Q347" s="47">
        <v>-1.3418438485969926</v>
      </c>
      <c r="R347" s="47">
        <v>-1.1822274028974578</v>
      </c>
      <c r="S347" s="47">
        <v>-0.17709196529747293</v>
      </c>
      <c r="T347" s="47">
        <v>-0.06821580844776473</v>
      </c>
      <c r="U347" s="47">
        <v>-0.4494358727763138</v>
      </c>
      <c r="V347" s="47">
        <v>0.0</v>
      </c>
      <c r="W347" s="47">
        <v>-1.9153290066254545</v>
      </c>
      <c r="X347" s="47">
        <v>-1.5913416698968912</v>
      </c>
      <c r="Y347" s="50" t="s">
        <v>69</v>
      </c>
      <c r="Z347" s="50" t="s">
        <v>69</v>
      </c>
      <c r="AA347" s="50" t="s">
        <v>69</v>
      </c>
      <c r="AB347" s="50" t="s">
        <v>69</v>
      </c>
      <c r="AC347" s="34" t="str">
        <f t="shared" ref="AC347:AP347" si="347">LET(
  skater, IFERROR(INDEX(AllProj, MATCH($E347, AllProjNames, 0), MATCH(AC$2, AllProjCats, 0) + 1), ""),
  goalie, IFERROR(INDEX(AllGProj, MATCH($E347, AllGProjNames, 0), MATCH(AC$2, AllGProjCats, 0) + 1), ""),
  val, IF(skater &lt;&gt; "", skater, goalie),
  IF(OR($E347="", AC$2="", val=""), "", val * AC$1)
)</f>
        <v/>
      </c>
      <c r="AD347" s="34" t="str">
        <f t="shared" si="347"/>
        <v/>
      </c>
      <c r="AE347" s="34" t="str">
        <f t="shared" si="347"/>
        <v/>
      </c>
      <c r="AF347" s="34" t="str">
        <f t="shared" si="347"/>
        <v/>
      </c>
      <c r="AG347" s="34" t="str">
        <f t="shared" si="347"/>
        <v/>
      </c>
      <c r="AH347" s="34" t="str">
        <f t="shared" si="347"/>
        <v/>
      </c>
      <c r="AI347" s="34" t="str">
        <f t="shared" si="347"/>
        <v/>
      </c>
      <c r="AJ347" s="34" t="str">
        <f t="shared" si="347"/>
        <v/>
      </c>
      <c r="AK347" s="34" t="str">
        <f t="shared" si="347"/>
        <v/>
      </c>
      <c r="AL347" s="34" t="str">
        <f t="shared" si="347"/>
        <v/>
      </c>
      <c r="AM347" s="34" t="str">
        <f t="shared" si="347"/>
        <v/>
      </c>
      <c r="AN347" s="34" t="str">
        <f t="shared" si="347"/>
        <v/>
      </c>
      <c r="AO347" s="34" t="str">
        <f t="shared" si="347"/>
        <v/>
      </c>
      <c r="AP347" s="34" t="str">
        <f t="shared" si="347"/>
        <v/>
      </c>
      <c r="AQ347" s="76" t="s">
        <v>386</v>
      </c>
      <c r="AR347" s="77"/>
      <c r="AS347" s="77"/>
      <c r="AT347" s="77"/>
      <c r="AU347" s="77"/>
      <c r="AV347" s="77"/>
      <c r="AW347" s="77"/>
      <c r="AX347" s="77"/>
      <c r="AY347" s="77"/>
      <c r="AZ347" s="77"/>
      <c r="BA347" s="77"/>
      <c r="BB347" s="77"/>
      <c r="BC347" s="77"/>
      <c r="BD347" s="77"/>
      <c r="BE347" s="77"/>
      <c r="BF347" s="77"/>
      <c r="BG347" s="77"/>
      <c r="BH347" s="77"/>
      <c r="BI347" s="77"/>
      <c r="BJ347" s="77"/>
      <c r="BK347" s="77"/>
      <c r="BL347" s="77"/>
      <c r="BM347" s="78"/>
    </row>
    <row r="348">
      <c r="A348" s="79">
        <v>2.5714285714285716</v>
      </c>
      <c r="B348" s="79" t="b">
        <v>0</v>
      </c>
      <c r="C348" s="79" t="b">
        <f t="shared" si="3"/>
        <v>0</v>
      </c>
      <c r="D348" s="80" t="s">
        <v>1565</v>
      </c>
      <c r="E348" s="81" t="s">
        <v>941</v>
      </c>
      <c r="F348" s="82" t="s">
        <v>1563</v>
      </c>
      <c r="G348" s="35" t="s">
        <v>837</v>
      </c>
      <c r="H348" s="37">
        <v>-7.039400502423219</v>
      </c>
      <c r="I348" s="37">
        <v>-1.509541730494318</v>
      </c>
      <c r="J348" s="83" t="s">
        <v>1996</v>
      </c>
      <c r="K348" s="35">
        <v>31.9</v>
      </c>
      <c r="L348" s="79">
        <v>77.11111111111111</v>
      </c>
      <c r="M348" s="84">
        <v>29.0</v>
      </c>
      <c r="N348" s="84">
        <v>6.0</v>
      </c>
      <c r="O348" s="85">
        <v>-2.1008762759115847</v>
      </c>
      <c r="P348" s="85">
        <v>-1.149695560156265</v>
      </c>
      <c r="Q348" s="85">
        <v>0.15550053595082333</v>
      </c>
      <c r="R348" s="85">
        <v>-1.3462456012510298</v>
      </c>
      <c r="S348" s="85">
        <v>-1.1945450645176698</v>
      </c>
      <c r="T348" s="85">
        <v>-0.16952108464970286</v>
      </c>
      <c r="U348" s="85">
        <v>-1.3938706507462162</v>
      </c>
      <c r="V348" s="85">
        <v>0.0</v>
      </c>
      <c r="W348" s="85">
        <v>-0.44956209343910186</v>
      </c>
      <c r="X348" s="85">
        <v>0.609415292297528</v>
      </c>
      <c r="Y348" s="50" t="s">
        <v>69</v>
      </c>
      <c r="Z348" s="50" t="s">
        <v>69</v>
      </c>
      <c r="AA348" s="50" t="s">
        <v>69</v>
      </c>
      <c r="AB348" s="50" t="s">
        <v>69</v>
      </c>
      <c r="AC348" s="34" t="str">
        <f t="shared" ref="AC348:AP348" si="348">LET(
  skater, IFERROR(INDEX(AllProj, MATCH($E348, AllProjNames, 0), MATCH(AC$2, AllProjCats, 0) + 1), ""),
  goalie, IFERROR(INDEX(AllGProj, MATCH($E348, AllGProjNames, 0), MATCH(AC$2, AllGProjCats, 0) + 1), ""),
  val, IF(skater &lt;&gt; "", skater, goalie),
  IF(OR($E348="", AC$2="", val=""), "", val * AC$1)
)</f>
        <v/>
      </c>
      <c r="AD348" s="34" t="str">
        <f t="shared" si="348"/>
        <v/>
      </c>
      <c r="AE348" s="34" t="str">
        <f t="shared" si="348"/>
        <v/>
      </c>
      <c r="AF348" s="34" t="str">
        <f t="shared" si="348"/>
        <v/>
      </c>
      <c r="AG348" s="34" t="str">
        <f t="shared" si="348"/>
        <v/>
      </c>
      <c r="AH348" s="34" t="str">
        <f t="shared" si="348"/>
        <v/>
      </c>
      <c r="AI348" s="34" t="str">
        <f t="shared" si="348"/>
        <v/>
      </c>
      <c r="AJ348" s="34" t="str">
        <f t="shared" si="348"/>
        <v/>
      </c>
      <c r="AK348" s="34" t="str">
        <f t="shared" si="348"/>
        <v/>
      </c>
      <c r="AL348" s="34" t="str">
        <f t="shared" si="348"/>
        <v/>
      </c>
      <c r="AM348" s="34" t="str">
        <f t="shared" si="348"/>
        <v/>
      </c>
      <c r="AN348" s="34" t="str">
        <f t="shared" si="348"/>
        <v/>
      </c>
      <c r="AO348" s="34" t="str">
        <f t="shared" si="348"/>
        <v/>
      </c>
      <c r="AP348" s="34" t="str">
        <f t="shared" si="348"/>
        <v/>
      </c>
      <c r="AQ348" s="76" t="s">
        <v>387</v>
      </c>
      <c r="AR348" s="77"/>
      <c r="AS348" s="77"/>
      <c r="AT348" s="77"/>
      <c r="AU348" s="77"/>
      <c r="AV348" s="77"/>
      <c r="AW348" s="77"/>
      <c r="AX348" s="77"/>
      <c r="AY348" s="77"/>
      <c r="AZ348" s="77"/>
      <c r="BA348" s="77"/>
      <c r="BB348" s="77"/>
      <c r="BC348" s="77"/>
      <c r="BD348" s="77"/>
      <c r="BE348" s="77"/>
      <c r="BF348" s="77"/>
      <c r="BG348" s="77"/>
      <c r="BH348" s="77"/>
      <c r="BI348" s="77"/>
      <c r="BJ348" s="77"/>
      <c r="BK348" s="77"/>
      <c r="BL348" s="77"/>
      <c r="BM348" s="78"/>
    </row>
    <row r="349">
      <c r="A349" s="41">
        <v>2.642857142857143</v>
      </c>
      <c r="B349" s="41" t="b">
        <v>0</v>
      </c>
      <c r="C349" s="41" t="b">
        <f t="shared" si="3"/>
        <v>0</v>
      </c>
      <c r="D349" s="42" t="s">
        <v>1565</v>
      </c>
      <c r="E349" s="43" t="s">
        <v>1100</v>
      </c>
      <c r="F349" s="44" t="s">
        <v>1451</v>
      </c>
      <c r="G349" s="29" t="s">
        <v>837</v>
      </c>
      <c r="H349" s="32">
        <v>-7.047654576707666</v>
      </c>
      <c r="I349" s="32">
        <v>-1.517795804778765</v>
      </c>
      <c r="J349" s="45" t="s">
        <v>1997</v>
      </c>
      <c r="K349" s="29">
        <v>34.5</v>
      </c>
      <c r="L349" s="41">
        <v>79.39470588235294</v>
      </c>
      <c r="M349" s="46">
        <v>29.0</v>
      </c>
      <c r="N349" s="46">
        <v>7.0</v>
      </c>
      <c r="O349" s="47">
        <v>-1.5892944046725164</v>
      </c>
      <c r="P349" s="47">
        <v>-0.6287209155162407</v>
      </c>
      <c r="Q349" s="47">
        <v>-2.485423645341344</v>
      </c>
      <c r="R349" s="47">
        <v>-0.6114411554589407</v>
      </c>
      <c r="S349" s="47">
        <v>-0.8470909271841393</v>
      </c>
      <c r="T349" s="47">
        <v>-0.2043853160044869</v>
      </c>
      <c r="U349" s="47">
        <v>-0.6244520918879889</v>
      </c>
      <c r="V349" s="47">
        <v>0.0</v>
      </c>
      <c r="W349" s="47">
        <v>-1.0600527090890717</v>
      </c>
      <c r="X349" s="47">
        <v>1.0032065884470627</v>
      </c>
      <c r="Y349" s="50" t="s">
        <v>69</v>
      </c>
      <c r="Z349" s="50" t="s">
        <v>69</v>
      </c>
      <c r="AA349" s="50" t="s">
        <v>69</v>
      </c>
      <c r="AB349" s="50" t="s">
        <v>69</v>
      </c>
      <c r="AC349" s="34" t="str">
        <f t="shared" ref="AC349:AP349" si="349">LET(
  skater, IFERROR(INDEX(AllProj, MATCH($E349, AllProjNames, 0), MATCH(AC$2, AllProjCats, 0) + 1), ""),
  goalie, IFERROR(INDEX(AllGProj, MATCH($E349, AllGProjNames, 0), MATCH(AC$2, AllGProjCats, 0) + 1), ""),
  val, IF(skater &lt;&gt; "", skater, goalie),
  IF(OR($E349="", AC$2="", val=""), "", val * AC$1)
)</f>
        <v/>
      </c>
      <c r="AD349" s="34" t="str">
        <f t="shared" si="349"/>
        <v/>
      </c>
      <c r="AE349" s="34" t="str">
        <f t="shared" si="349"/>
        <v/>
      </c>
      <c r="AF349" s="34" t="str">
        <f t="shared" si="349"/>
        <v/>
      </c>
      <c r="AG349" s="34" t="str">
        <f t="shared" si="349"/>
        <v/>
      </c>
      <c r="AH349" s="34" t="str">
        <f t="shared" si="349"/>
        <v/>
      </c>
      <c r="AI349" s="34" t="str">
        <f t="shared" si="349"/>
        <v/>
      </c>
      <c r="AJ349" s="34" t="str">
        <f t="shared" si="349"/>
        <v/>
      </c>
      <c r="AK349" s="34" t="str">
        <f t="shared" si="349"/>
        <v/>
      </c>
      <c r="AL349" s="34" t="str">
        <f t="shared" si="349"/>
        <v/>
      </c>
      <c r="AM349" s="34" t="str">
        <f t="shared" si="349"/>
        <v/>
      </c>
      <c r="AN349" s="34" t="str">
        <f t="shared" si="349"/>
        <v/>
      </c>
      <c r="AO349" s="34" t="str">
        <f t="shared" si="349"/>
        <v/>
      </c>
      <c r="AP349" s="34" t="str">
        <f t="shared" si="349"/>
        <v/>
      </c>
      <c r="AQ349" s="76" t="s">
        <v>388</v>
      </c>
      <c r="AR349" s="77"/>
      <c r="AS349" s="77"/>
      <c r="AT349" s="77"/>
      <c r="AU349" s="77"/>
      <c r="AV349" s="77"/>
      <c r="AW349" s="77"/>
      <c r="AX349" s="77"/>
      <c r="AY349" s="77"/>
      <c r="AZ349" s="77"/>
      <c r="BA349" s="77"/>
      <c r="BB349" s="77"/>
      <c r="BC349" s="77"/>
      <c r="BD349" s="77"/>
      <c r="BE349" s="77"/>
      <c r="BF349" s="77"/>
      <c r="BG349" s="77"/>
      <c r="BH349" s="77"/>
      <c r="BI349" s="77"/>
      <c r="BJ349" s="77"/>
      <c r="BK349" s="77"/>
      <c r="BL349" s="77"/>
      <c r="BM349" s="78"/>
    </row>
    <row r="350">
      <c r="A350" s="79">
        <v>2.5714285714285716</v>
      </c>
      <c r="B350" s="79" t="b">
        <v>0</v>
      </c>
      <c r="C350" s="79" t="b">
        <f t="shared" si="3"/>
        <v>0</v>
      </c>
      <c r="D350" s="80" t="s">
        <v>1565</v>
      </c>
      <c r="E350" s="81" t="s">
        <v>1021</v>
      </c>
      <c r="F350" s="82" t="s">
        <v>1563</v>
      </c>
      <c r="G350" s="35" t="s">
        <v>284</v>
      </c>
      <c r="H350" s="37">
        <v>-7.056939961656188</v>
      </c>
      <c r="I350" s="37">
        <v>-2.018873941473103</v>
      </c>
      <c r="J350" s="83" t="s">
        <v>1998</v>
      </c>
      <c r="K350" s="35">
        <v>33.8</v>
      </c>
      <c r="L350" s="79">
        <v>79.94788461538461</v>
      </c>
      <c r="M350" s="84">
        <v>29.0</v>
      </c>
      <c r="N350" s="84">
        <v>6.0</v>
      </c>
      <c r="O350" s="85">
        <v>-1.0857211238704432</v>
      </c>
      <c r="P350" s="85">
        <v>-0.8459435088824461</v>
      </c>
      <c r="Q350" s="85">
        <v>-0.827733281094749</v>
      </c>
      <c r="R350" s="85">
        <v>-0.9388966376201876</v>
      </c>
      <c r="S350" s="85">
        <v>-1.4578206223237284</v>
      </c>
      <c r="T350" s="85">
        <v>-0.2609694237186291</v>
      </c>
      <c r="U350" s="85">
        <v>-0.8587719188337062</v>
      </c>
      <c r="V350" s="85">
        <v>1.6837554453602988</v>
      </c>
      <c r="W350" s="85">
        <v>-1.032889640245164</v>
      </c>
      <c r="X350" s="85">
        <v>-1.4319492504274338</v>
      </c>
      <c r="Y350" s="50" t="s">
        <v>69</v>
      </c>
      <c r="Z350" s="50" t="s">
        <v>69</v>
      </c>
      <c r="AA350" s="50" t="s">
        <v>69</v>
      </c>
      <c r="AB350" s="50" t="s">
        <v>69</v>
      </c>
      <c r="AC350" s="34" t="str">
        <f t="shared" ref="AC350:AP350" si="350">LET(
  skater, IFERROR(INDEX(AllProj, MATCH($E350, AllProjNames, 0), MATCH(AC$2, AllProjCats, 0) + 1), ""),
  goalie, IFERROR(INDEX(AllGProj, MATCH($E350, AllGProjNames, 0), MATCH(AC$2, AllGProjCats, 0) + 1), ""),
  val, IF(skater &lt;&gt; "", skater, goalie),
  IF(OR($E350="", AC$2="", val=""), "", val * AC$1)
)</f>
        <v/>
      </c>
      <c r="AD350" s="34" t="str">
        <f t="shared" si="350"/>
        <v/>
      </c>
      <c r="AE350" s="34" t="str">
        <f t="shared" si="350"/>
        <v/>
      </c>
      <c r="AF350" s="34" t="str">
        <f t="shared" si="350"/>
        <v/>
      </c>
      <c r="AG350" s="34" t="str">
        <f t="shared" si="350"/>
        <v/>
      </c>
      <c r="AH350" s="34" t="str">
        <f t="shared" si="350"/>
        <v/>
      </c>
      <c r="AI350" s="34" t="str">
        <f t="shared" si="350"/>
        <v/>
      </c>
      <c r="AJ350" s="34" t="str">
        <f t="shared" si="350"/>
        <v/>
      </c>
      <c r="AK350" s="34" t="str">
        <f t="shared" si="350"/>
        <v/>
      </c>
      <c r="AL350" s="34" t="str">
        <f t="shared" si="350"/>
        <v/>
      </c>
      <c r="AM350" s="34" t="str">
        <f t="shared" si="350"/>
        <v/>
      </c>
      <c r="AN350" s="34" t="str">
        <f t="shared" si="350"/>
        <v/>
      </c>
      <c r="AO350" s="34" t="str">
        <f t="shared" si="350"/>
        <v/>
      </c>
      <c r="AP350" s="34" t="str">
        <f t="shared" si="350"/>
        <v/>
      </c>
      <c r="AQ350" s="76" t="s">
        <v>389</v>
      </c>
      <c r="AR350" s="77"/>
      <c r="AS350" s="77"/>
      <c r="AT350" s="77"/>
      <c r="AU350" s="77"/>
      <c r="AV350" s="77"/>
      <c r="AW350" s="77"/>
      <c r="AX350" s="77"/>
      <c r="AY350" s="77"/>
      <c r="AZ350" s="77"/>
      <c r="BA350" s="77"/>
      <c r="BB350" s="77"/>
      <c r="BC350" s="77"/>
      <c r="BD350" s="77"/>
      <c r="BE350" s="77"/>
      <c r="BF350" s="77"/>
      <c r="BG350" s="77"/>
      <c r="BH350" s="77"/>
      <c r="BI350" s="77"/>
      <c r="BJ350" s="77"/>
      <c r="BK350" s="77"/>
      <c r="BL350" s="77"/>
      <c r="BM350" s="78"/>
    </row>
    <row r="351">
      <c r="A351" s="41">
        <v>2.5714285714285716</v>
      </c>
      <c r="B351" s="41" t="b">
        <v>0</v>
      </c>
      <c r="C351" s="41" t="b">
        <f t="shared" si="3"/>
        <v>0</v>
      </c>
      <c r="D351" s="42" t="s">
        <v>1565</v>
      </c>
      <c r="E351" s="43" t="s">
        <v>1027</v>
      </c>
      <c r="F351" s="44" t="s">
        <v>1548</v>
      </c>
      <c r="G351" s="29" t="s">
        <v>284</v>
      </c>
      <c r="H351" s="32">
        <v>-7.066354600577203</v>
      </c>
      <c r="I351" s="32">
        <v>-2.0282885803941175</v>
      </c>
      <c r="J351" s="45" t="s">
        <v>1999</v>
      </c>
      <c r="K351" s="29">
        <v>27.7</v>
      </c>
      <c r="L351" s="41">
        <v>79.25729166666666</v>
      </c>
      <c r="M351" s="46">
        <v>34.0</v>
      </c>
      <c r="N351" s="46">
        <v>7.0</v>
      </c>
      <c r="O351" s="47">
        <v>-1.1274696760804026</v>
      </c>
      <c r="P351" s="47">
        <v>-0.7750227480572798</v>
      </c>
      <c r="Q351" s="47">
        <v>-1.1020671675989444</v>
      </c>
      <c r="R351" s="47">
        <v>-1.9111693387449273</v>
      </c>
      <c r="S351" s="47">
        <v>-1.5720866949369887</v>
      </c>
      <c r="T351" s="47">
        <v>1.390220749974785</v>
      </c>
      <c r="U351" s="47">
        <v>-1.5126981368087726</v>
      </c>
      <c r="V351" s="47">
        <v>1.1724167151854725</v>
      </c>
      <c r="W351" s="47">
        <v>-1.6803341527581301</v>
      </c>
      <c r="X351" s="47">
        <v>0.05185584924798549</v>
      </c>
      <c r="Y351" s="50" t="s">
        <v>69</v>
      </c>
      <c r="Z351" s="50" t="s">
        <v>69</v>
      </c>
      <c r="AA351" s="50" t="s">
        <v>69</v>
      </c>
      <c r="AB351" s="50" t="s">
        <v>69</v>
      </c>
      <c r="AC351" s="34" t="str">
        <f t="shared" ref="AC351:AP351" si="351">LET(
  skater, IFERROR(INDEX(AllProj, MATCH($E351, AllProjNames, 0), MATCH(AC$2, AllProjCats, 0) + 1), ""),
  goalie, IFERROR(INDEX(AllGProj, MATCH($E351, AllGProjNames, 0), MATCH(AC$2, AllGProjCats, 0) + 1), ""),
  val, IF(skater &lt;&gt; "", skater, goalie),
  IF(OR($E351="", AC$2="", val=""), "", val * AC$1)
)</f>
        <v/>
      </c>
      <c r="AD351" s="34" t="str">
        <f t="shared" si="351"/>
        <v/>
      </c>
      <c r="AE351" s="34" t="str">
        <f t="shared" si="351"/>
        <v/>
      </c>
      <c r="AF351" s="34" t="str">
        <f t="shared" si="351"/>
        <v/>
      </c>
      <c r="AG351" s="34" t="str">
        <f t="shared" si="351"/>
        <v/>
      </c>
      <c r="AH351" s="34" t="str">
        <f t="shared" si="351"/>
        <v/>
      </c>
      <c r="AI351" s="34" t="str">
        <f t="shared" si="351"/>
        <v/>
      </c>
      <c r="AJ351" s="34" t="str">
        <f t="shared" si="351"/>
        <v/>
      </c>
      <c r="AK351" s="34" t="str">
        <f t="shared" si="351"/>
        <v/>
      </c>
      <c r="AL351" s="34" t="str">
        <f t="shared" si="351"/>
        <v/>
      </c>
      <c r="AM351" s="34" t="str">
        <f t="shared" si="351"/>
        <v/>
      </c>
      <c r="AN351" s="34" t="str">
        <f t="shared" si="351"/>
        <v/>
      </c>
      <c r="AO351" s="34" t="str">
        <f t="shared" si="351"/>
        <v/>
      </c>
      <c r="AP351" s="34" t="str">
        <f t="shared" si="351"/>
        <v/>
      </c>
      <c r="AQ351" s="76" t="s">
        <v>390</v>
      </c>
      <c r="AR351" s="77"/>
      <c r="AS351" s="77"/>
      <c r="AT351" s="77"/>
      <c r="AU351" s="77"/>
      <c r="AV351" s="77"/>
      <c r="AW351" s="77"/>
      <c r="AX351" s="77"/>
      <c r="AY351" s="77"/>
      <c r="AZ351" s="77"/>
      <c r="BA351" s="77"/>
      <c r="BB351" s="77"/>
      <c r="BC351" s="77"/>
      <c r="BD351" s="77"/>
      <c r="BE351" s="77"/>
      <c r="BF351" s="77"/>
      <c r="BG351" s="77"/>
      <c r="BH351" s="77"/>
      <c r="BI351" s="77"/>
      <c r="BJ351" s="77"/>
      <c r="BK351" s="77"/>
      <c r="BL351" s="77"/>
      <c r="BM351" s="78"/>
    </row>
    <row r="352">
      <c r="A352" s="79">
        <v>3.0</v>
      </c>
      <c r="B352" s="79" t="b">
        <v>0</v>
      </c>
      <c r="C352" s="79" t="b">
        <f t="shared" si="3"/>
        <v>0</v>
      </c>
      <c r="D352" s="80" t="s">
        <v>1565</v>
      </c>
      <c r="E352" s="81" t="s">
        <v>1387</v>
      </c>
      <c r="F352" s="82" t="s">
        <v>1444</v>
      </c>
      <c r="G352" s="35" t="s">
        <v>6</v>
      </c>
      <c r="H352" s="37">
        <v>-7.07280852428245</v>
      </c>
      <c r="I352" s="37">
        <v>-2.734585545812336</v>
      </c>
      <c r="J352" s="83" t="s">
        <v>2000</v>
      </c>
      <c r="K352" s="35">
        <v>32.4</v>
      </c>
      <c r="L352" s="79">
        <v>29.125</v>
      </c>
      <c r="M352" s="84">
        <v>33.0</v>
      </c>
      <c r="N352" s="84">
        <v>6.0</v>
      </c>
      <c r="O352" s="96" t="s">
        <v>69</v>
      </c>
      <c r="P352" s="96" t="s">
        <v>69</v>
      </c>
      <c r="Q352" s="96" t="s">
        <v>69</v>
      </c>
      <c r="R352" s="96" t="s">
        <v>69</v>
      </c>
      <c r="S352" s="96" t="s">
        <v>69</v>
      </c>
      <c r="T352" s="96" t="s">
        <v>69</v>
      </c>
      <c r="U352" s="96" t="s">
        <v>69</v>
      </c>
      <c r="V352" s="96" t="s">
        <v>69</v>
      </c>
      <c r="W352" s="96" t="s">
        <v>69</v>
      </c>
      <c r="X352" s="96" t="s">
        <v>69</v>
      </c>
      <c r="Y352" s="95">
        <v>-2.35954065559241</v>
      </c>
      <c r="Z352" s="95">
        <v>-2.2971851580133777</v>
      </c>
      <c r="AA352" s="95">
        <v>-2.416082710676662</v>
      </c>
      <c r="AB352" s="95">
        <v>0.0</v>
      </c>
      <c r="AC352" s="34" t="str">
        <f t="shared" ref="AC352:AP352" si="352">LET(
  skater, IFERROR(INDEX(AllProj, MATCH($E352, AllProjNames, 0), MATCH(AC$2, AllProjCats, 0) + 1), ""),
  goalie, IFERROR(INDEX(AllGProj, MATCH($E352, AllGProjNames, 0), MATCH(AC$2, AllGProjCats, 0) + 1), ""),
  val, IF(skater &lt;&gt; "", skater, goalie),
  IF(OR($E352="", AC$2="", val=""), "", val * AC$1)
)</f>
        <v/>
      </c>
      <c r="AD352" s="34" t="str">
        <f t="shared" si="352"/>
        <v/>
      </c>
      <c r="AE352" s="34" t="str">
        <f t="shared" si="352"/>
        <v/>
      </c>
      <c r="AF352" s="34" t="str">
        <f t="shared" si="352"/>
        <v/>
      </c>
      <c r="AG352" s="34" t="str">
        <f t="shared" si="352"/>
        <v/>
      </c>
      <c r="AH352" s="34" t="str">
        <f t="shared" si="352"/>
        <v/>
      </c>
      <c r="AI352" s="34" t="str">
        <f t="shared" si="352"/>
        <v/>
      </c>
      <c r="AJ352" s="34" t="str">
        <f t="shared" si="352"/>
        <v/>
      </c>
      <c r="AK352" s="34" t="str">
        <f t="shared" si="352"/>
        <v/>
      </c>
      <c r="AL352" s="34" t="str">
        <f t="shared" si="352"/>
        <v/>
      </c>
      <c r="AM352" s="34" t="str">
        <f t="shared" si="352"/>
        <v/>
      </c>
      <c r="AN352" s="34" t="str">
        <f t="shared" si="352"/>
        <v/>
      </c>
      <c r="AO352" s="34" t="str">
        <f t="shared" si="352"/>
        <v/>
      </c>
      <c r="AP352" s="34" t="str">
        <f t="shared" si="352"/>
        <v/>
      </c>
      <c r="AQ352" s="76" t="s">
        <v>391</v>
      </c>
      <c r="AR352" s="77"/>
      <c r="AS352" s="77"/>
      <c r="AT352" s="77"/>
      <c r="AU352" s="77"/>
      <c r="AV352" s="77"/>
      <c r="AW352" s="77"/>
      <c r="AX352" s="77"/>
      <c r="AY352" s="77"/>
      <c r="AZ352" s="77"/>
      <c r="BA352" s="77"/>
      <c r="BB352" s="77"/>
      <c r="BC352" s="77"/>
      <c r="BD352" s="77"/>
      <c r="BE352" s="77"/>
      <c r="BF352" s="77"/>
      <c r="BG352" s="77"/>
      <c r="BH352" s="77"/>
      <c r="BI352" s="77"/>
      <c r="BJ352" s="77"/>
      <c r="BK352" s="77"/>
      <c r="BL352" s="77"/>
      <c r="BM352" s="78"/>
    </row>
    <row r="353">
      <c r="A353" s="41">
        <v>2.642857142857143</v>
      </c>
      <c r="B353" s="41" t="b">
        <v>0</v>
      </c>
      <c r="C353" s="41" t="b">
        <f t="shared" si="3"/>
        <v>0</v>
      </c>
      <c r="D353" s="42" t="s">
        <v>1565</v>
      </c>
      <c r="E353" s="43" t="s">
        <v>1108</v>
      </c>
      <c r="F353" s="44" t="s">
        <v>1401</v>
      </c>
      <c r="G353" s="29" t="s">
        <v>830</v>
      </c>
      <c r="H353" s="32">
        <v>-7.079934720615035</v>
      </c>
      <c r="I353" s="32">
        <v>-1.692054595702296</v>
      </c>
      <c r="J353" s="45" t="s">
        <v>2001</v>
      </c>
      <c r="K353" s="29">
        <v>30.3</v>
      </c>
      <c r="L353" s="41">
        <v>73.85714285714286</v>
      </c>
      <c r="M353" s="46">
        <v>25.0</v>
      </c>
      <c r="N353" s="46">
        <v>7.0</v>
      </c>
      <c r="O353" s="47">
        <v>-1.180250550150981</v>
      </c>
      <c r="P353" s="47">
        <v>-1.7296849331853972</v>
      </c>
      <c r="Q353" s="47">
        <v>-1.3357466187507268</v>
      </c>
      <c r="R353" s="47">
        <v>0.21868675214052585</v>
      </c>
      <c r="S353" s="47">
        <v>-1.537920911517797</v>
      </c>
      <c r="T353" s="47">
        <v>-0.16952108464970286</v>
      </c>
      <c r="U353" s="47">
        <v>-2.2144292581404854</v>
      </c>
      <c r="V353" s="47">
        <v>0.0</v>
      </c>
      <c r="W353" s="47">
        <v>2.316433785961655</v>
      </c>
      <c r="X353" s="47">
        <v>-1.4475019023221263</v>
      </c>
      <c r="Y353" s="50" t="s">
        <v>69</v>
      </c>
      <c r="Z353" s="50" t="s">
        <v>69</v>
      </c>
      <c r="AA353" s="50" t="s">
        <v>69</v>
      </c>
      <c r="AB353" s="50" t="s">
        <v>69</v>
      </c>
      <c r="AC353" s="34" t="str">
        <f t="shared" ref="AC353:AP353" si="353">LET(
  skater, IFERROR(INDEX(AllProj, MATCH($E353, AllProjNames, 0), MATCH(AC$2, AllProjCats, 0) + 1), ""),
  goalie, IFERROR(INDEX(AllGProj, MATCH($E353, AllGProjNames, 0), MATCH(AC$2, AllGProjCats, 0) + 1), ""),
  val, IF(skater &lt;&gt; "", skater, goalie),
  IF(OR($E353="", AC$2="", val=""), "", val * AC$1)
)</f>
        <v/>
      </c>
      <c r="AD353" s="34" t="str">
        <f t="shared" si="353"/>
        <v/>
      </c>
      <c r="AE353" s="34" t="str">
        <f t="shared" si="353"/>
        <v/>
      </c>
      <c r="AF353" s="34" t="str">
        <f t="shared" si="353"/>
        <v/>
      </c>
      <c r="AG353" s="34" t="str">
        <f t="shared" si="353"/>
        <v/>
      </c>
      <c r="AH353" s="34" t="str">
        <f t="shared" si="353"/>
        <v/>
      </c>
      <c r="AI353" s="34" t="str">
        <f t="shared" si="353"/>
        <v/>
      </c>
      <c r="AJ353" s="34" t="str">
        <f t="shared" si="353"/>
        <v/>
      </c>
      <c r="AK353" s="34" t="str">
        <f t="shared" si="353"/>
        <v/>
      </c>
      <c r="AL353" s="34" t="str">
        <f t="shared" si="353"/>
        <v/>
      </c>
      <c r="AM353" s="34" t="str">
        <f t="shared" si="353"/>
        <v/>
      </c>
      <c r="AN353" s="34" t="str">
        <f t="shared" si="353"/>
        <v/>
      </c>
      <c r="AO353" s="34" t="str">
        <f t="shared" si="353"/>
        <v/>
      </c>
      <c r="AP353" s="34" t="str">
        <f t="shared" si="353"/>
        <v/>
      </c>
      <c r="AQ353" s="76" t="s">
        <v>392</v>
      </c>
      <c r="AR353" s="77"/>
      <c r="AS353" s="77"/>
      <c r="AT353" s="77"/>
      <c r="AU353" s="77"/>
      <c r="AV353" s="77"/>
      <c r="AW353" s="77"/>
      <c r="AX353" s="77"/>
      <c r="AY353" s="77"/>
      <c r="AZ353" s="77"/>
      <c r="BA353" s="77"/>
      <c r="BB353" s="77"/>
      <c r="BC353" s="77"/>
      <c r="BD353" s="77"/>
      <c r="BE353" s="77"/>
      <c r="BF353" s="77"/>
      <c r="BG353" s="77"/>
      <c r="BH353" s="77"/>
      <c r="BI353" s="77"/>
      <c r="BJ353" s="77"/>
      <c r="BK353" s="77"/>
      <c r="BL353" s="77"/>
      <c r="BM353" s="78"/>
    </row>
    <row r="354">
      <c r="A354" s="79">
        <v>2.5</v>
      </c>
      <c r="B354" s="79" t="b">
        <v>0</v>
      </c>
      <c r="C354" s="79" t="b">
        <f t="shared" si="3"/>
        <v>0</v>
      </c>
      <c r="D354" s="80" t="s">
        <v>1565</v>
      </c>
      <c r="E354" s="81" t="s">
        <v>908</v>
      </c>
      <c r="F354" s="82" t="s">
        <v>1594</v>
      </c>
      <c r="G354" s="35" t="s">
        <v>832</v>
      </c>
      <c r="H354" s="37">
        <v>-7.113905754260233</v>
      </c>
      <c r="I354" s="37">
        <v>-1.6717681455323756</v>
      </c>
      <c r="J354" s="83" t="s">
        <v>2002</v>
      </c>
      <c r="K354" s="35">
        <v>23.8</v>
      </c>
      <c r="L354" s="79">
        <v>78.15897058823529</v>
      </c>
      <c r="M354" s="84">
        <v>26.0</v>
      </c>
      <c r="N354" s="84">
        <v>6.0</v>
      </c>
      <c r="O354" s="85">
        <v>-0.3428089300294106</v>
      </c>
      <c r="P354" s="85">
        <v>-0.9441394387349705</v>
      </c>
      <c r="Q354" s="85">
        <v>-1.9480056872633031</v>
      </c>
      <c r="R354" s="85">
        <v>-1.3490307318885344</v>
      </c>
      <c r="S354" s="85">
        <v>-0.4572399500745492</v>
      </c>
      <c r="T354" s="85">
        <v>-0.7798611475601467</v>
      </c>
      <c r="U354" s="85">
        <v>0.01096317522488081</v>
      </c>
      <c r="V354" s="85">
        <v>0.0</v>
      </c>
      <c r="W354" s="85">
        <v>0.2600755468706546</v>
      </c>
      <c r="X354" s="85">
        <v>-1.5638585908048546</v>
      </c>
      <c r="Y354" s="50" t="s">
        <v>69</v>
      </c>
      <c r="Z354" s="50" t="s">
        <v>69</v>
      </c>
      <c r="AA354" s="50" t="s">
        <v>69</v>
      </c>
      <c r="AB354" s="50" t="s">
        <v>69</v>
      </c>
      <c r="AC354" s="34" t="str">
        <f t="shared" ref="AC354:AP354" si="354">LET(
  skater, IFERROR(INDEX(AllProj, MATCH($E354, AllProjNames, 0), MATCH(AC$2, AllProjCats, 0) + 1), ""),
  goalie, IFERROR(INDEX(AllGProj, MATCH($E354, AllGProjNames, 0), MATCH(AC$2, AllGProjCats, 0) + 1), ""),
  val, IF(skater &lt;&gt; "", skater, goalie),
  IF(OR($E354="", AC$2="", val=""), "", val * AC$1)
)</f>
        <v/>
      </c>
      <c r="AD354" s="34" t="str">
        <f t="shared" si="354"/>
        <v/>
      </c>
      <c r="AE354" s="34" t="str">
        <f t="shared" si="354"/>
        <v/>
      </c>
      <c r="AF354" s="34" t="str">
        <f t="shared" si="354"/>
        <v/>
      </c>
      <c r="AG354" s="34" t="str">
        <f t="shared" si="354"/>
        <v/>
      </c>
      <c r="AH354" s="34" t="str">
        <f t="shared" si="354"/>
        <v/>
      </c>
      <c r="AI354" s="34" t="str">
        <f t="shared" si="354"/>
        <v/>
      </c>
      <c r="AJ354" s="34" t="str">
        <f t="shared" si="354"/>
        <v/>
      </c>
      <c r="AK354" s="34" t="str">
        <f t="shared" si="354"/>
        <v/>
      </c>
      <c r="AL354" s="34" t="str">
        <f t="shared" si="354"/>
        <v/>
      </c>
      <c r="AM354" s="34" t="str">
        <f t="shared" si="354"/>
        <v/>
      </c>
      <c r="AN354" s="34" t="str">
        <f t="shared" si="354"/>
        <v/>
      </c>
      <c r="AO354" s="34" t="str">
        <f t="shared" si="354"/>
        <v/>
      </c>
      <c r="AP354" s="34" t="str">
        <f t="shared" si="354"/>
        <v/>
      </c>
      <c r="AQ354" s="76" t="s">
        <v>393</v>
      </c>
      <c r="AR354" s="77"/>
      <c r="AS354" s="77"/>
      <c r="AT354" s="77"/>
      <c r="AU354" s="77"/>
      <c r="AV354" s="77"/>
      <c r="AW354" s="77"/>
      <c r="AX354" s="77"/>
      <c r="AY354" s="77"/>
      <c r="AZ354" s="77"/>
      <c r="BA354" s="77"/>
      <c r="BB354" s="77"/>
      <c r="BC354" s="77"/>
      <c r="BD354" s="77"/>
      <c r="BE354" s="77"/>
      <c r="BF354" s="77"/>
      <c r="BG354" s="77"/>
      <c r="BH354" s="77"/>
      <c r="BI354" s="77"/>
      <c r="BJ354" s="77"/>
      <c r="BK354" s="77"/>
      <c r="BL354" s="77"/>
      <c r="BM354" s="78"/>
    </row>
    <row r="355">
      <c r="A355" s="41">
        <v>2.4285714285714284</v>
      </c>
      <c r="B355" s="41" t="b">
        <v>0</v>
      </c>
      <c r="C355" s="41" t="b">
        <f t="shared" si="3"/>
        <v>0</v>
      </c>
      <c r="D355" s="42" t="s">
        <v>1565</v>
      </c>
      <c r="E355" s="43" t="s">
        <v>870</v>
      </c>
      <c r="F355" s="44" t="s">
        <v>1419</v>
      </c>
      <c r="G355" s="29" t="s">
        <v>835</v>
      </c>
      <c r="H355" s="32">
        <v>-7.129709552228774</v>
      </c>
      <c r="I355" s="32">
        <v>-1.741829427316035</v>
      </c>
      <c r="J355" s="45" t="s">
        <v>2003</v>
      </c>
      <c r="K355" s="29">
        <v>34.1</v>
      </c>
      <c r="L355" s="41">
        <v>81.119</v>
      </c>
      <c r="M355" s="46">
        <v>23.0</v>
      </c>
      <c r="N355" s="46">
        <v>7.0</v>
      </c>
      <c r="O355" s="47">
        <v>-1.066866421469625</v>
      </c>
      <c r="P355" s="47">
        <v>-1.2426303152673124</v>
      </c>
      <c r="Q355" s="47">
        <v>0.8829616206134969</v>
      </c>
      <c r="R355" s="47">
        <v>-1.0655569087942554</v>
      </c>
      <c r="S355" s="47">
        <v>-1.7218208661748193</v>
      </c>
      <c r="T355" s="47">
        <v>0.1674939460524245</v>
      </c>
      <c r="U355" s="47">
        <v>-1.25130991355618</v>
      </c>
      <c r="V355" s="47">
        <v>0.0</v>
      </c>
      <c r="W355" s="47">
        <v>-0.6760976458700997</v>
      </c>
      <c r="X355" s="47">
        <v>-1.1558830477624034</v>
      </c>
      <c r="Y355" s="50" t="s">
        <v>69</v>
      </c>
      <c r="Z355" s="50" t="s">
        <v>69</v>
      </c>
      <c r="AA355" s="50" t="s">
        <v>69</v>
      </c>
      <c r="AB355" s="50" t="s">
        <v>69</v>
      </c>
      <c r="AC355" s="34" t="str">
        <f t="shared" ref="AC355:AP355" si="355">LET(
  skater, IFERROR(INDEX(AllProj, MATCH($E355, AllProjNames, 0), MATCH(AC$2, AllProjCats, 0) + 1), ""),
  goalie, IFERROR(INDEX(AllGProj, MATCH($E355, AllGProjNames, 0), MATCH(AC$2, AllGProjCats, 0) + 1), ""),
  val, IF(skater &lt;&gt; "", skater, goalie),
  IF(OR($E355="", AC$2="", val=""), "", val * AC$1)
)</f>
        <v/>
      </c>
      <c r="AD355" s="34" t="str">
        <f t="shared" si="355"/>
        <v/>
      </c>
      <c r="AE355" s="34" t="str">
        <f t="shared" si="355"/>
        <v/>
      </c>
      <c r="AF355" s="34" t="str">
        <f t="shared" si="355"/>
        <v/>
      </c>
      <c r="AG355" s="34" t="str">
        <f t="shared" si="355"/>
        <v/>
      </c>
      <c r="AH355" s="34" t="str">
        <f t="shared" si="355"/>
        <v/>
      </c>
      <c r="AI355" s="34" t="str">
        <f t="shared" si="355"/>
        <v/>
      </c>
      <c r="AJ355" s="34" t="str">
        <f t="shared" si="355"/>
        <v/>
      </c>
      <c r="AK355" s="34" t="str">
        <f t="shared" si="355"/>
        <v/>
      </c>
      <c r="AL355" s="34" t="str">
        <f t="shared" si="355"/>
        <v/>
      </c>
      <c r="AM355" s="34" t="str">
        <f t="shared" si="355"/>
        <v/>
      </c>
      <c r="AN355" s="34" t="str">
        <f t="shared" si="355"/>
        <v/>
      </c>
      <c r="AO355" s="34" t="str">
        <f t="shared" si="355"/>
        <v/>
      </c>
      <c r="AP355" s="34" t="str">
        <f t="shared" si="355"/>
        <v/>
      </c>
      <c r="AQ355" s="76" t="s">
        <v>394</v>
      </c>
      <c r="AR355" s="77"/>
      <c r="AS355" s="77"/>
      <c r="AT355" s="77"/>
      <c r="AU355" s="77"/>
      <c r="AV355" s="77"/>
      <c r="AW355" s="77"/>
      <c r="AX355" s="77"/>
      <c r="AY355" s="77"/>
      <c r="AZ355" s="77"/>
      <c r="BA355" s="77"/>
      <c r="BB355" s="77"/>
      <c r="BC355" s="77"/>
      <c r="BD355" s="77"/>
      <c r="BE355" s="77"/>
      <c r="BF355" s="77"/>
      <c r="BG355" s="77"/>
      <c r="BH355" s="77"/>
      <c r="BI355" s="77"/>
      <c r="BJ355" s="77"/>
      <c r="BK355" s="77"/>
      <c r="BL355" s="77"/>
      <c r="BM355" s="78"/>
    </row>
    <row r="356">
      <c r="A356" s="79">
        <v>2.642857142857143</v>
      </c>
      <c r="B356" s="79" t="b">
        <v>0</v>
      </c>
      <c r="C356" s="79" t="b">
        <f t="shared" si="3"/>
        <v>0</v>
      </c>
      <c r="D356" s="80" t="s">
        <v>1565</v>
      </c>
      <c r="E356" s="81" t="s">
        <v>1105</v>
      </c>
      <c r="F356" s="82" t="s">
        <v>1439</v>
      </c>
      <c r="G356" s="35" t="s">
        <v>284</v>
      </c>
      <c r="H356" s="37">
        <v>-7.15741627104636</v>
      </c>
      <c r="I356" s="37">
        <v>-2.119350250863275</v>
      </c>
      <c r="J356" s="83" t="s">
        <v>2004</v>
      </c>
      <c r="K356" s="35">
        <v>25.6</v>
      </c>
      <c r="L356" s="79">
        <v>82.06735294117647</v>
      </c>
      <c r="M356" s="84">
        <v>25.0</v>
      </c>
      <c r="N356" s="84">
        <v>6.0</v>
      </c>
      <c r="O356" s="85">
        <v>-0.854798891697444</v>
      </c>
      <c r="P356" s="85">
        <v>-1.217894756844791</v>
      </c>
      <c r="Q356" s="85">
        <v>-0.20654777355185633</v>
      </c>
      <c r="R356" s="85">
        <v>-0.34483628275630634</v>
      </c>
      <c r="S356" s="85">
        <v>-1.258988166474426</v>
      </c>
      <c r="T356" s="85">
        <v>-0.39365188396698786</v>
      </c>
      <c r="U356" s="85">
        <v>-1.6163522227976441</v>
      </c>
      <c r="V356" s="85">
        <v>0.0</v>
      </c>
      <c r="W356" s="85">
        <v>0.03726391736283</v>
      </c>
      <c r="X356" s="85">
        <v>-1.301610210319734</v>
      </c>
      <c r="Y356" s="50" t="s">
        <v>69</v>
      </c>
      <c r="Z356" s="50" t="s">
        <v>69</v>
      </c>
      <c r="AA356" s="50" t="s">
        <v>69</v>
      </c>
      <c r="AB356" s="50" t="s">
        <v>69</v>
      </c>
      <c r="AC356" s="34" t="str">
        <f t="shared" ref="AC356:AP356" si="356">LET(
  skater, IFERROR(INDEX(AllProj, MATCH($E356, AllProjNames, 0), MATCH(AC$2, AllProjCats, 0) + 1), ""),
  goalie, IFERROR(INDEX(AllGProj, MATCH($E356, AllGProjNames, 0), MATCH(AC$2, AllGProjCats, 0) + 1), ""),
  val, IF(skater &lt;&gt; "", skater, goalie),
  IF(OR($E356="", AC$2="", val=""), "", val * AC$1)
)</f>
        <v/>
      </c>
      <c r="AD356" s="34" t="str">
        <f t="shared" si="356"/>
        <v/>
      </c>
      <c r="AE356" s="34" t="str">
        <f t="shared" si="356"/>
        <v/>
      </c>
      <c r="AF356" s="34" t="str">
        <f t="shared" si="356"/>
        <v/>
      </c>
      <c r="AG356" s="34" t="str">
        <f t="shared" si="356"/>
        <v/>
      </c>
      <c r="AH356" s="34" t="str">
        <f t="shared" si="356"/>
        <v/>
      </c>
      <c r="AI356" s="34" t="str">
        <f t="shared" si="356"/>
        <v/>
      </c>
      <c r="AJ356" s="34" t="str">
        <f t="shared" si="356"/>
        <v/>
      </c>
      <c r="AK356" s="34" t="str">
        <f t="shared" si="356"/>
        <v/>
      </c>
      <c r="AL356" s="34" t="str">
        <f t="shared" si="356"/>
        <v/>
      </c>
      <c r="AM356" s="34" t="str">
        <f t="shared" si="356"/>
        <v/>
      </c>
      <c r="AN356" s="34" t="str">
        <f t="shared" si="356"/>
        <v/>
      </c>
      <c r="AO356" s="34" t="str">
        <f t="shared" si="356"/>
        <v/>
      </c>
      <c r="AP356" s="34" t="str">
        <f t="shared" si="356"/>
        <v/>
      </c>
      <c r="AQ356" s="76" t="s">
        <v>395</v>
      </c>
      <c r="AR356" s="77"/>
      <c r="AS356" s="77"/>
      <c r="AT356" s="77"/>
      <c r="AU356" s="77"/>
      <c r="AV356" s="77"/>
      <c r="AW356" s="77"/>
      <c r="AX356" s="77"/>
      <c r="AY356" s="77"/>
      <c r="AZ356" s="77"/>
      <c r="BA356" s="77"/>
      <c r="BB356" s="77"/>
      <c r="BC356" s="77"/>
      <c r="BD356" s="77"/>
      <c r="BE356" s="77"/>
      <c r="BF356" s="77"/>
      <c r="BG356" s="77"/>
      <c r="BH356" s="77"/>
      <c r="BI356" s="77"/>
      <c r="BJ356" s="77"/>
      <c r="BK356" s="77"/>
      <c r="BL356" s="77"/>
      <c r="BM356" s="78"/>
    </row>
    <row r="357">
      <c r="A357" s="41">
        <v>2.5714285714285716</v>
      </c>
      <c r="B357" s="41" t="b">
        <v>0</v>
      </c>
      <c r="C357" s="41" t="b">
        <f t="shared" si="3"/>
        <v>0</v>
      </c>
      <c r="D357" s="42" t="s">
        <v>1565</v>
      </c>
      <c r="E357" s="43" t="s">
        <v>1068</v>
      </c>
      <c r="F357" s="44" t="s">
        <v>1710</v>
      </c>
      <c r="G357" s="29" t="s">
        <v>837</v>
      </c>
      <c r="H357" s="32">
        <v>-7.165802846698156</v>
      </c>
      <c r="I357" s="32">
        <v>-1.635944074769255</v>
      </c>
      <c r="J357" s="45" t="s">
        <v>2005</v>
      </c>
      <c r="K357" s="29">
        <v>30.7</v>
      </c>
      <c r="L357" s="41">
        <v>79.77777777777777</v>
      </c>
      <c r="M357" s="46">
        <v>23.0</v>
      </c>
      <c r="N357" s="46">
        <v>6.0</v>
      </c>
      <c r="O357" s="47">
        <v>-2.1008762759115847</v>
      </c>
      <c r="P357" s="47">
        <v>-1.432988147249161</v>
      </c>
      <c r="Q357" s="47">
        <v>-1.5830410114197988</v>
      </c>
      <c r="R357" s="47">
        <v>1.2746065516921496</v>
      </c>
      <c r="S357" s="47">
        <v>-1.7079419619741707</v>
      </c>
      <c r="T357" s="47">
        <v>-0.7871777123417198</v>
      </c>
      <c r="U357" s="47">
        <v>-2.0297542810024494</v>
      </c>
      <c r="V357" s="47">
        <v>0.0</v>
      </c>
      <c r="W357" s="47">
        <v>-0.4582141655000698</v>
      </c>
      <c r="X357" s="47">
        <v>1.659584157008648</v>
      </c>
      <c r="Y357" s="50" t="s">
        <v>69</v>
      </c>
      <c r="Z357" s="50" t="s">
        <v>69</v>
      </c>
      <c r="AA357" s="50" t="s">
        <v>69</v>
      </c>
      <c r="AB357" s="50" t="s">
        <v>69</v>
      </c>
      <c r="AC357" s="34" t="str">
        <f t="shared" ref="AC357:AP357" si="357">LET(
  skater, IFERROR(INDEX(AllProj, MATCH($E357, AllProjNames, 0), MATCH(AC$2, AllProjCats, 0) + 1), ""),
  goalie, IFERROR(INDEX(AllGProj, MATCH($E357, AllGProjNames, 0), MATCH(AC$2, AllGProjCats, 0) + 1), ""),
  val, IF(skater &lt;&gt; "", skater, goalie),
  IF(OR($E357="", AC$2="", val=""), "", val * AC$1)
)</f>
        <v/>
      </c>
      <c r="AD357" s="34" t="str">
        <f t="shared" si="357"/>
        <v/>
      </c>
      <c r="AE357" s="34" t="str">
        <f t="shared" si="357"/>
        <v/>
      </c>
      <c r="AF357" s="34" t="str">
        <f t="shared" si="357"/>
        <v/>
      </c>
      <c r="AG357" s="34" t="str">
        <f t="shared" si="357"/>
        <v/>
      </c>
      <c r="AH357" s="34" t="str">
        <f t="shared" si="357"/>
        <v/>
      </c>
      <c r="AI357" s="34" t="str">
        <f t="shared" si="357"/>
        <v/>
      </c>
      <c r="AJ357" s="34" t="str">
        <f t="shared" si="357"/>
        <v/>
      </c>
      <c r="AK357" s="34" t="str">
        <f t="shared" si="357"/>
        <v/>
      </c>
      <c r="AL357" s="34" t="str">
        <f t="shared" si="357"/>
        <v/>
      </c>
      <c r="AM357" s="34" t="str">
        <f t="shared" si="357"/>
        <v/>
      </c>
      <c r="AN357" s="34" t="str">
        <f t="shared" si="357"/>
        <v/>
      </c>
      <c r="AO357" s="34" t="str">
        <f t="shared" si="357"/>
        <v/>
      </c>
      <c r="AP357" s="34" t="str">
        <f t="shared" si="357"/>
        <v/>
      </c>
      <c r="AQ357" s="76" t="s">
        <v>396</v>
      </c>
      <c r="AR357" s="77"/>
      <c r="AS357" s="77"/>
      <c r="AT357" s="77"/>
      <c r="AU357" s="77"/>
      <c r="AV357" s="77"/>
      <c r="AW357" s="77"/>
      <c r="AX357" s="77"/>
      <c r="AY357" s="77"/>
      <c r="AZ357" s="77"/>
      <c r="BA357" s="77"/>
      <c r="BB357" s="77"/>
      <c r="BC357" s="77"/>
      <c r="BD357" s="77"/>
      <c r="BE357" s="77"/>
      <c r="BF357" s="77"/>
      <c r="BG357" s="77"/>
      <c r="BH357" s="77"/>
      <c r="BI357" s="77"/>
      <c r="BJ357" s="77"/>
      <c r="BK357" s="77"/>
      <c r="BL357" s="77"/>
      <c r="BM357" s="78"/>
    </row>
    <row r="358">
      <c r="A358" s="79">
        <v>2.5714285714285716</v>
      </c>
      <c r="B358" s="79" t="b">
        <v>0</v>
      </c>
      <c r="C358" s="79" t="b">
        <f t="shared" si="3"/>
        <v>0</v>
      </c>
      <c r="D358" s="80" t="s">
        <v>1565</v>
      </c>
      <c r="E358" s="81" t="s">
        <v>947</v>
      </c>
      <c r="F358" s="82" t="s">
        <v>1444</v>
      </c>
      <c r="G358" s="35" t="s">
        <v>832</v>
      </c>
      <c r="H358" s="37">
        <v>-7.1789908816759365</v>
      </c>
      <c r="I358" s="37">
        <v>-1.7368532729480792</v>
      </c>
      <c r="J358" s="83" t="s">
        <v>2006</v>
      </c>
      <c r="K358" s="35">
        <v>23.2</v>
      </c>
      <c r="L358" s="79">
        <v>82.0</v>
      </c>
      <c r="M358" s="84">
        <v>33.0</v>
      </c>
      <c r="N358" s="84">
        <v>6.0</v>
      </c>
      <c r="O358" s="85">
        <v>-1.3994281405423823</v>
      </c>
      <c r="P358" s="85">
        <v>-1.864242467728156</v>
      </c>
      <c r="Q358" s="96" t="s">
        <v>69</v>
      </c>
      <c r="R358" s="85">
        <v>-0.9359171408271372</v>
      </c>
      <c r="S358" s="96" t="s">
        <v>69</v>
      </c>
      <c r="T358" s="96" t="s">
        <v>69</v>
      </c>
      <c r="U358" s="85">
        <v>-2.1861693861940954</v>
      </c>
      <c r="V358" s="96" t="s">
        <v>69</v>
      </c>
      <c r="W358" s="85">
        <v>0.5354080048700505</v>
      </c>
      <c r="X358" s="85">
        <v>-1.328641751254216</v>
      </c>
      <c r="Y358" s="50" t="s">
        <v>69</v>
      </c>
      <c r="Z358" s="50" t="s">
        <v>69</v>
      </c>
      <c r="AA358" s="50" t="s">
        <v>69</v>
      </c>
      <c r="AB358" s="50" t="s">
        <v>69</v>
      </c>
      <c r="AC358" s="34" t="str">
        <f t="shared" ref="AC358:AP358" si="358">LET(
  skater, IFERROR(INDEX(AllProj, MATCH($E358, AllProjNames, 0), MATCH(AC$2, AllProjCats, 0) + 1), ""),
  goalie, IFERROR(INDEX(AllGProj, MATCH($E358, AllGProjNames, 0), MATCH(AC$2, AllGProjCats, 0) + 1), ""),
  val, IF(skater &lt;&gt; "", skater, goalie),
  IF(OR($E358="", AC$2="", val=""), "", val * AC$1)
)</f>
        <v/>
      </c>
      <c r="AD358" s="34" t="str">
        <f t="shared" si="358"/>
        <v/>
      </c>
      <c r="AE358" s="34" t="str">
        <f t="shared" si="358"/>
        <v/>
      </c>
      <c r="AF358" s="34" t="str">
        <f t="shared" si="358"/>
        <v/>
      </c>
      <c r="AG358" s="34" t="str">
        <f t="shared" si="358"/>
        <v/>
      </c>
      <c r="AH358" s="34" t="str">
        <f t="shared" si="358"/>
        <v/>
      </c>
      <c r="AI358" s="34" t="str">
        <f t="shared" si="358"/>
        <v/>
      </c>
      <c r="AJ358" s="34" t="str">
        <f t="shared" si="358"/>
        <v/>
      </c>
      <c r="AK358" s="34" t="str">
        <f t="shared" si="358"/>
        <v/>
      </c>
      <c r="AL358" s="34" t="str">
        <f t="shared" si="358"/>
        <v/>
      </c>
      <c r="AM358" s="34" t="str">
        <f t="shared" si="358"/>
        <v/>
      </c>
      <c r="AN358" s="34" t="str">
        <f t="shared" si="358"/>
        <v/>
      </c>
      <c r="AO358" s="34" t="str">
        <f t="shared" si="358"/>
        <v/>
      </c>
      <c r="AP358" s="34" t="str">
        <f t="shared" si="358"/>
        <v/>
      </c>
      <c r="AQ358" s="76" t="s">
        <v>397</v>
      </c>
      <c r="AR358" s="77"/>
      <c r="AS358" s="77"/>
      <c r="AT358" s="77"/>
      <c r="AU358" s="77"/>
      <c r="AV358" s="77"/>
      <c r="AW358" s="77"/>
      <c r="AX358" s="77"/>
      <c r="AY358" s="77"/>
      <c r="AZ358" s="77"/>
      <c r="BA358" s="77"/>
      <c r="BB358" s="77"/>
      <c r="BC358" s="77"/>
      <c r="BD358" s="77"/>
      <c r="BE358" s="77"/>
      <c r="BF358" s="77"/>
      <c r="BG358" s="77"/>
      <c r="BH358" s="77"/>
      <c r="BI358" s="77"/>
      <c r="BJ358" s="77"/>
      <c r="BK358" s="77"/>
      <c r="BL358" s="77"/>
      <c r="BM358" s="78"/>
    </row>
    <row r="359">
      <c r="A359" s="41">
        <v>2.5714285714285716</v>
      </c>
      <c r="B359" s="41" t="b">
        <v>0</v>
      </c>
      <c r="C359" s="41" t="b">
        <f t="shared" si="3"/>
        <v>0</v>
      </c>
      <c r="D359" s="42" t="s">
        <v>1565</v>
      </c>
      <c r="E359" s="43" t="s">
        <v>993</v>
      </c>
      <c r="F359" s="44" t="s">
        <v>854</v>
      </c>
      <c r="G359" s="29" t="s">
        <v>837</v>
      </c>
      <c r="H359" s="32">
        <v>-7.186726254732079</v>
      </c>
      <c r="I359" s="32">
        <v>-1.656867482803178</v>
      </c>
      <c r="J359" s="45" t="s">
        <v>2007</v>
      </c>
      <c r="K359" s="29">
        <v>37.3</v>
      </c>
      <c r="L359" s="41">
        <v>77.9585</v>
      </c>
      <c r="M359" s="46">
        <v>16.0</v>
      </c>
      <c r="N359" s="46">
        <v>6.0</v>
      </c>
      <c r="O359" s="47">
        <v>-2.0154445545142945</v>
      </c>
      <c r="P359" s="47">
        <v>-0.7921238504168553</v>
      </c>
      <c r="Q359" s="47">
        <v>1.7629279339761952</v>
      </c>
      <c r="R359" s="47">
        <v>-1.640200630381526</v>
      </c>
      <c r="S359" s="47">
        <v>-1.6596538467789597</v>
      </c>
      <c r="T359" s="47">
        <v>-0.14478073056543952</v>
      </c>
      <c r="U359" s="47">
        <v>-2.1642122098698247</v>
      </c>
      <c r="V359" s="47">
        <v>0.0</v>
      </c>
      <c r="W359" s="47">
        <v>-1.7797575254075984</v>
      </c>
      <c r="X359" s="47">
        <v>1.2465191592262241</v>
      </c>
      <c r="Y359" s="50" t="s">
        <v>69</v>
      </c>
      <c r="Z359" s="50" t="s">
        <v>69</v>
      </c>
      <c r="AA359" s="50" t="s">
        <v>69</v>
      </c>
      <c r="AB359" s="50" t="s">
        <v>69</v>
      </c>
      <c r="AC359" s="34" t="str">
        <f t="shared" ref="AC359:AP359" si="359">LET(
  skater, IFERROR(INDEX(AllProj, MATCH($E359, AllProjNames, 0), MATCH(AC$2, AllProjCats, 0) + 1), ""),
  goalie, IFERROR(INDEX(AllGProj, MATCH($E359, AllGProjNames, 0), MATCH(AC$2, AllGProjCats, 0) + 1), ""),
  val, IF(skater &lt;&gt; "", skater, goalie),
  IF(OR($E359="", AC$2="", val=""), "", val * AC$1)
)</f>
        <v/>
      </c>
      <c r="AD359" s="34" t="str">
        <f t="shared" si="359"/>
        <v/>
      </c>
      <c r="AE359" s="34" t="str">
        <f t="shared" si="359"/>
        <v/>
      </c>
      <c r="AF359" s="34" t="str">
        <f t="shared" si="359"/>
        <v/>
      </c>
      <c r="AG359" s="34" t="str">
        <f t="shared" si="359"/>
        <v/>
      </c>
      <c r="AH359" s="34" t="str">
        <f t="shared" si="359"/>
        <v/>
      </c>
      <c r="AI359" s="34" t="str">
        <f t="shared" si="359"/>
        <v/>
      </c>
      <c r="AJ359" s="34" t="str">
        <f t="shared" si="359"/>
        <v/>
      </c>
      <c r="AK359" s="34" t="str">
        <f t="shared" si="359"/>
        <v/>
      </c>
      <c r="AL359" s="34" t="str">
        <f t="shared" si="359"/>
        <v/>
      </c>
      <c r="AM359" s="34" t="str">
        <f t="shared" si="359"/>
        <v/>
      </c>
      <c r="AN359" s="34" t="str">
        <f t="shared" si="359"/>
        <v/>
      </c>
      <c r="AO359" s="34" t="str">
        <f t="shared" si="359"/>
        <v/>
      </c>
      <c r="AP359" s="34" t="str">
        <f t="shared" si="359"/>
        <v/>
      </c>
      <c r="AQ359" s="76" t="s">
        <v>398</v>
      </c>
      <c r="AR359" s="77"/>
      <c r="AS359" s="77"/>
      <c r="AT359" s="77"/>
      <c r="AU359" s="77"/>
      <c r="AV359" s="77"/>
      <c r="AW359" s="77"/>
      <c r="AX359" s="77"/>
      <c r="AY359" s="77"/>
      <c r="AZ359" s="77"/>
      <c r="BA359" s="77"/>
      <c r="BB359" s="77"/>
      <c r="BC359" s="77"/>
      <c r="BD359" s="77"/>
      <c r="BE359" s="77"/>
      <c r="BF359" s="77"/>
      <c r="BG359" s="77"/>
      <c r="BH359" s="77"/>
      <c r="BI359" s="77"/>
      <c r="BJ359" s="77"/>
      <c r="BK359" s="77"/>
      <c r="BL359" s="77"/>
      <c r="BM359" s="78"/>
    </row>
    <row r="360">
      <c r="A360" s="79">
        <v>2.642857142857143</v>
      </c>
      <c r="B360" s="79" t="b">
        <v>0</v>
      </c>
      <c r="C360" s="79" t="b">
        <f t="shared" si="3"/>
        <v>0</v>
      </c>
      <c r="D360" s="80" t="s">
        <v>1565</v>
      </c>
      <c r="E360" s="81" t="s">
        <v>1102</v>
      </c>
      <c r="F360" s="82" t="s">
        <v>930</v>
      </c>
      <c r="G360" s="35" t="s">
        <v>832</v>
      </c>
      <c r="H360" s="37">
        <v>-7.196886793611614</v>
      </c>
      <c r="I360" s="37">
        <v>-1.7547491848837566</v>
      </c>
      <c r="J360" s="83" t="s">
        <v>2008</v>
      </c>
      <c r="K360" s="35">
        <v>34.8</v>
      </c>
      <c r="L360" s="79">
        <v>72.2</v>
      </c>
      <c r="M360" s="84">
        <v>29.0</v>
      </c>
      <c r="N360" s="84">
        <v>7.0</v>
      </c>
      <c r="O360" s="85">
        <v>-1.977913256165589</v>
      </c>
      <c r="P360" s="85">
        <v>-2.140317409290023</v>
      </c>
      <c r="Q360" s="85">
        <v>-0.5921658530257347</v>
      </c>
      <c r="R360" s="85">
        <v>0.48158117700085523</v>
      </c>
      <c r="S360" s="85">
        <v>-1.72461069241107</v>
      </c>
      <c r="T360" s="85">
        <v>-0.16952108464970286</v>
      </c>
      <c r="U360" s="85">
        <v>-2.4971594188692503</v>
      </c>
      <c r="V360" s="85">
        <v>0.0</v>
      </c>
      <c r="W360" s="85">
        <v>2.299337811994569</v>
      </c>
      <c r="X360" s="85">
        <v>-0.8761180681956686</v>
      </c>
      <c r="Y360" s="50" t="s">
        <v>69</v>
      </c>
      <c r="Z360" s="50" t="s">
        <v>69</v>
      </c>
      <c r="AA360" s="50" t="s">
        <v>69</v>
      </c>
      <c r="AB360" s="50" t="s">
        <v>69</v>
      </c>
      <c r="AC360" s="34" t="str">
        <f t="shared" ref="AC360:AP360" si="360">LET(
  skater, IFERROR(INDEX(AllProj, MATCH($E360, AllProjNames, 0), MATCH(AC$2, AllProjCats, 0) + 1), ""),
  goalie, IFERROR(INDEX(AllGProj, MATCH($E360, AllGProjNames, 0), MATCH(AC$2, AllGProjCats, 0) + 1), ""),
  val, IF(skater &lt;&gt; "", skater, goalie),
  IF(OR($E360="", AC$2="", val=""), "", val * AC$1)
)</f>
        <v/>
      </c>
      <c r="AD360" s="34" t="str">
        <f t="shared" si="360"/>
        <v/>
      </c>
      <c r="AE360" s="34" t="str">
        <f t="shared" si="360"/>
        <v/>
      </c>
      <c r="AF360" s="34" t="str">
        <f t="shared" si="360"/>
        <v/>
      </c>
      <c r="AG360" s="34" t="str">
        <f t="shared" si="360"/>
        <v/>
      </c>
      <c r="AH360" s="34" t="str">
        <f t="shared" si="360"/>
        <v/>
      </c>
      <c r="AI360" s="34" t="str">
        <f t="shared" si="360"/>
        <v/>
      </c>
      <c r="AJ360" s="34" t="str">
        <f t="shared" si="360"/>
        <v/>
      </c>
      <c r="AK360" s="34" t="str">
        <f t="shared" si="360"/>
        <v/>
      </c>
      <c r="AL360" s="34" t="str">
        <f t="shared" si="360"/>
        <v/>
      </c>
      <c r="AM360" s="34" t="str">
        <f t="shared" si="360"/>
        <v/>
      </c>
      <c r="AN360" s="34" t="str">
        <f t="shared" si="360"/>
        <v/>
      </c>
      <c r="AO360" s="34" t="str">
        <f t="shared" si="360"/>
        <v/>
      </c>
      <c r="AP360" s="34" t="str">
        <f t="shared" si="360"/>
        <v/>
      </c>
      <c r="AQ360" s="76" t="s">
        <v>399</v>
      </c>
      <c r="AR360" s="77"/>
      <c r="AS360" s="77"/>
      <c r="AT360" s="77"/>
      <c r="AU360" s="77"/>
      <c r="AV360" s="77"/>
      <c r="AW360" s="77"/>
      <c r="AX360" s="77"/>
      <c r="AY360" s="77"/>
      <c r="AZ360" s="77"/>
      <c r="BA360" s="77"/>
      <c r="BB360" s="77"/>
      <c r="BC360" s="77"/>
      <c r="BD360" s="77"/>
      <c r="BE360" s="77"/>
      <c r="BF360" s="77"/>
      <c r="BG360" s="77"/>
      <c r="BH360" s="77"/>
      <c r="BI360" s="77"/>
      <c r="BJ360" s="77"/>
      <c r="BK360" s="77"/>
      <c r="BL360" s="77"/>
      <c r="BM360" s="78"/>
    </row>
    <row r="361">
      <c r="A361" s="41">
        <v>2.5714285714285716</v>
      </c>
      <c r="B361" s="41" t="b">
        <v>0</v>
      </c>
      <c r="C361" s="41" t="b">
        <f t="shared" si="3"/>
        <v>0</v>
      </c>
      <c r="D361" s="42" t="s">
        <v>1565</v>
      </c>
      <c r="E361" s="43" t="s">
        <v>1040</v>
      </c>
      <c r="F361" s="44" t="s">
        <v>1444</v>
      </c>
      <c r="G361" s="29" t="s">
        <v>837</v>
      </c>
      <c r="H361" s="32">
        <v>-7.2136479938321685</v>
      </c>
      <c r="I361" s="32">
        <v>-1.6837892219032673</v>
      </c>
      <c r="J361" s="45" t="s">
        <v>2009</v>
      </c>
      <c r="K361" s="29">
        <v>27.9</v>
      </c>
      <c r="L361" s="41">
        <v>76.41911764705883</v>
      </c>
      <c r="M361" s="46">
        <v>33.0</v>
      </c>
      <c r="N361" s="46">
        <v>6.0</v>
      </c>
      <c r="O361" s="47">
        <v>-1.695094619658354</v>
      </c>
      <c r="P361" s="47">
        <v>-0.5752982291844868</v>
      </c>
      <c r="Q361" s="47">
        <v>-1.6624831528749922</v>
      </c>
      <c r="R361" s="47">
        <v>0.2881428943191573</v>
      </c>
      <c r="S361" s="47">
        <v>-0.8578110043913479</v>
      </c>
      <c r="T361" s="47">
        <v>-0.7696491265993466</v>
      </c>
      <c r="U361" s="47">
        <v>-1.3063093834162722</v>
      </c>
      <c r="V361" s="47">
        <v>0.0</v>
      </c>
      <c r="W361" s="47">
        <v>-1.614776569071333</v>
      </c>
      <c r="X361" s="47">
        <v>0.9796311970448071</v>
      </c>
      <c r="Y361" s="50" t="s">
        <v>69</v>
      </c>
      <c r="Z361" s="50" t="s">
        <v>69</v>
      </c>
      <c r="AA361" s="50" t="s">
        <v>69</v>
      </c>
      <c r="AB361" s="50" t="s">
        <v>69</v>
      </c>
      <c r="AC361" s="34" t="str">
        <f t="shared" ref="AC361:AP361" si="361">LET(
  skater, IFERROR(INDEX(AllProj, MATCH($E361, AllProjNames, 0), MATCH(AC$2, AllProjCats, 0) + 1), ""),
  goalie, IFERROR(INDEX(AllGProj, MATCH($E361, AllGProjNames, 0), MATCH(AC$2, AllGProjCats, 0) + 1), ""),
  val, IF(skater &lt;&gt; "", skater, goalie),
  IF(OR($E361="", AC$2="", val=""), "", val * AC$1)
)</f>
        <v/>
      </c>
      <c r="AD361" s="34" t="str">
        <f t="shared" si="361"/>
        <v/>
      </c>
      <c r="AE361" s="34" t="str">
        <f t="shared" si="361"/>
        <v/>
      </c>
      <c r="AF361" s="34" t="str">
        <f t="shared" si="361"/>
        <v/>
      </c>
      <c r="AG361" s="34" t="str">
        <f t="shared" si="361"/>
        <v/>
      </c>
      <c r="AH361" s="34" t="str">
        <f t="shared" si="361"/>
        <v/>
      </c>
      <c r="AI361" s="34" t="str">
        <f t="shared" si="361"/>
        <v/>
      </c>
      <c r="AJ361" s="34" t="str">
        <f t="shared" si="361"/>
        <v/>
      </c>
      <c r="AK361" s="34" t="str">
        <f t="shared" si="361"/>
        <v/>
      </c>
      <c r="AL361" s="34" t="str">
        <f t="shared" si="361"/>
        <v/>
      </c>
      <c r="AM361" s="34" t="str">
        <f t="shared" si="361"/>
        <v/>
      </c>
      <c r="AN361" s="34" t="str">
        <f t="shared" si="361"/>
        <v/>
      </c>
      <c r="AO361" s="34" t="str">
        <f t="shared" si="361"/>
        <v/>
      </c>
      <c r="AP361" s="34" t="str">
        <f t="shared" si="361"/>
        <v/>
      </c>
      <c r="AQ361" s="76" t="s">
        <v>400</v>
      </c>
      <c r="AR361" s="77"/>
      <c r="AS361" s="77"/>
      <c r="AT361" s="77"/>
      <c r="AU361" s="77"/>
      <c r="AV361" s="77"/>
      <c r="AW361" s="77"/>
      <c r="AX361" s="77"/>
      <c r="AY361" s="77"/>
      <c r="AZ361" s="77"/>
      <c r="BA361" s="77"/>
      <c r="BB361" s="77"/>
      <c r="BC361" s="77"/>
      <c r="BD361" s="77"/>
      <c r="BE361" s="77"/>
      <c r="BF361" s="77"/>
      <c r="BG361" s="77"/>
      <c r="BH361" s="77"/>
      <c r="BI361" s="77"/>
      <c r="BJ361" s="77"/>
      <c r="BK361" s="77"/>
      <c r="BL361" s="77"/>
      <c r="BM361" s="78"/>
    </row>
    <row r="362">
      <c r="A362" s="79">
        <v>2.5714285714285716</v>
      </c>
      <c r="B362" s="79" t="b">
        <v>0</v>
      </c>
      <c r="C362" s="79" t="b">
        <f t="shared" si="3"/>
        <v>0</v>
      </c>
      <c r="D362" s="80" t="s">
        <v>1565</v>
      </c>
      <c r="E362" s="81" t="s">
        <v>959</v>
      </c>
      <c r="F362" s="82" t="s">
        <v>1482</v>
      </c>
      <c r="G362" s="35" t="s">
        <v>836</v>
      </c>
      <c r="H362" s="37">
        <v>-7.217757865342016</v>
      </c>
      <c r="I362" s="37">
        <v>-1.7756202566141583</v>
      </c>
      <c r="J362" s="83" t="s">
        <v>2010</v>
      </c>
      <c r="K362" s="35">
        <v>27.1</v>
      </c>
      <c r="L362" s="79">
        <v>83.06099999999999</v>
      </c>
      <c r="M362" s="84">
        <v>27.0</v>
      </c>
      <c r="N362" s="84">
        <v>6.0</v>
      </c>
      <c r="O362" s="85">
        <v>-0.49200602521457154</v>
      </c>
      <c r="P362" s="85">
        <v>-1.3071729522500548</v>
      </c>
      <c r="Q362" s="85">
        <v>-0.5524340706960934</v>
      </c>
      <c r="R362" s="85">
        <v>-1.7267809811110755</v>
      </c>
      <c r="S362" s="85">
        <v>-0.8712668512776889</v>
      </c>
      <c r="T362" s="85">
        <v>-0.7712249223172938</v>
      </c>
      <c r="U362" s="85">
        <v>-0.506721243853244</v>
      </c>
      <c r="V362" s="85">
        <v>0.0</v>
      </c>
      <c r="W362" s="85">
        <v>0.2634049976973553</v>
      </c>
      <c r="X362" s="85">
        <v>-1.2535558163193499</v>
      </c>
      <c r="Y362" s="50" t="s">
        <v>69</v>
      </c>
      <c r="Z362" s="50" t="s">
        <v>69</v>
      </c>
      <c r="AA362" s="50" t="s">
        <v>69</v>
      </c>
      <c r="AB362" s="50" t="s">
        <v>69</v>
      </c>
      <c r="AC362" s="34" t="str">
        <f t="shared" ref="AC362:AP362" si="362">LET(
  skater, IFERROR(INDEX(AllProj, MATCH($E362, AllProjNames, 0), MATCH(AC$2, AllProjCats, 0) + 1), ""),
  goalie, IFERROR(INDEX(AllGProj, MATCH($E362, AllGProjNames, 0), MATCH(AC$2, AllGProjCats, 0) + 1), ""),
  val, IF(skater &lt;&gt; "", skater, goalie),
  IF(OR($E362="", AC$2="", val=""), "", val * AC$1)
)</f>
        <v/>
      </c>
      <c r="AD362" s="34" t="str">
        <f t="shared" si="362"/>
        <v/>
      </c>
      <c r="AE362" s="34" t="str">
        <f t="shared" si="362"/>
        <v/>
      </c>
      <c r="AF362" s="34" t="str">
        <f t="shared" si="362"/>
        <v/>
      </c>
      <c r="AG362" s="34" t="str">
        <f t="shared" si="362"/>
        <v/>
      </c>
      <c r="AH362" s="34" t="str">
        <f t="shared" si="362"/>
        <v/>
      </c>
      <c r="AI362" s="34" t="str">
        <f t="shared" si="362"/>
        <v/>
      </c>
      <c r="AJ362" s="34" t="str">
        <f t="shared" si="362"/>
        <v/>
      </c>
      <c r="AK362" s="34" t="str">
        <f t="shared" si="362"/>
        <v/>
      </c>
      <c r="AL362" s="34" t="str">
        <f t="shared" si="362"/>
        <v/>
      </c>
      <c r="AM362" s="34" t="str">
        <f t="shared" si="362"/>
        <v/>
      </c>
      <c r="AN362" s="34" t="str">
        <f t="shared" si="362"/>
        <v/>
      </c>
      <c r="AO362" s="34" t="str">
        <f t="shared" si="362"/>
        <v/>
      </c>
      <c r="AP362" s="34" t="str">
        <f t="shared" si="362"/>
        <v/>
      </c>
      <c r="AQ362" s="76" t="s">
        <v>401</v>
      </c>
      <c r="AR362" s="77"/>
      <c r="AS362" s="77"/>
      <c r="AT362" s="77"/>
      <c r="AU362" s="77"/>
      <c r="AV362" s="77"/>
      <c r="AW362" s="77"/>
      <c r="AX362" s="77"/>
      <c r="AY362" s="77"/>
      <c r="AZ362" s="77"/>
      <c r="BA362" s="77"/>
      <c r="BB362" s="77"/>
      <c r="BC362" s="77"/>
      <c r="BD362" s="77"/>
      <c r="BE362" s="77"/>
      <c r="BF362" s="77"/>
      <c r="BG362" s="77"/>
      <c r="BH362" s="77"/>
      <c r="BI362" s="77"/>
      <c r="BJ362" s="77"/>
      <c r="BK362" s="77"/>
      <c r="BL362" s="77"/>
      <c r="BM362" s="78"/>
    </row>
    <row r="363">
      <c r="A363" s="41">
        <v>2.642857142857143</v>
      </c>
      <c r="B363" s="41" t="b">
        <v>0</v>
      </c>
      <c r="C363" s="41" t="b">
        <f t="shared" si="3"/>
        <v>0</v>
      </c>
      <c r="D363" s="42" t="s">
        <v>1565</v>
      </c>
      <c r="E363" s="43" t="s">
        <v>1111</v>
      </c>
      <c r="F363" s="44" t="s">
        <v>1451</v>
      </c>
      <c r="G363" s="29" t="s">
        <v>832</v>
      </c>
      <c r="H363" s="32">
        <v>-7.221645078521812</v>
      </c>
      <c r="I363" s="32">
        <v>-1.7795074697939546</v>
      </c>
      <c r="J363" s="45" t="s">
        <v>2011</v>
      </c>
      <c r="K363" s="29">
        <v>29.4</v>
      </c>
      <c r="L363" s="41">
        <v>82.14285714285714</v>
      </c>
      <c r="M363" s="46">
        <v>29.0</v>
      </c>
      <c r="N363" s="46">
        <v>7.0</v>
      </c>
      <c r="O363" s="47">
        <v>-1.568302677401331</v>
      </c>
      <c r="P363" s="47">
        <v>-1.6090471435953377</v>
      </c>
      <c r="Q363" s="47">
        <v>-1.5377466728094744</v>
      </c>
      <c r="R363" s="47">
        <v>0.15651577328842092</v>
      </c>
      <c r="S363" s="47">
        <v>-1.6546020245760928</v>
      </c>
      <c r="T363" s="47">
        <v>-0.16952108464970286</v>
      </c>
      <c r="U363" s="47">
        <v>-2.161195545869379</v>
      </c>
      <c r="V363" s="47">
        <v>0.0</v>
      </c>
      <c r="W363" s="47">
        <v>2.6782595363609345</v>
      </c>
      <c r="X363" s="47">
        <v>-1.3560052392698498</v>
      </c>
      <c r="Y363" s="50" t="s">
        <v>69</v>
      </c>
      <c r="Z363" s="50" t="s">
        <v>69</v>
      </c>
      <c r="AA363" s="50" t="s">
        <v>69</v>
      </c>
      <c r="AB363" s="50" t="s">
        <v>69</v>
      </c>
      <c r="AC363" s="34" t="str">
        <f t="shared" ref="AC363:AP363" si="363">LET(
  skater, IFERROR(INDEX(AllProj, MATCH($E363, AllProjNames, 0), MATCH(AC$2, AllProjCats, 0) + 1), ""),
  goalie, IFERROR(INDEX(AllGProj, MATCH($E363, AllGProjNames, 0), MATCH(AC$2, AllGProjCats, 0) + 1), ""),
  val, IF(skater &lt;&gt; "", skater, goalie),
  IF(OR($E363="", AC$2="", val=""), "", val * AC$1)
)</f>
        <v/>
      </c>
      <c r="AD363" s="34" t="str">
        <f t="shared" si="363"/>
        <v/>
      </c>
      <c r="AE363" s="34" t="str">
        <f t="shared" si="363"/>
        <v/>
      </c>
      <c r="AF363" s="34" t="str">
        <f t="shared" si="363"/>
        <v/>
      </c>
      <c r="AG363" s="34" t="str">
        <f t="shared" si="363"/>
        <v/>
      </c>
      <c r="AH363" s="34" t="str">
        <f t="shared" si="363"/>
        <v/>
      </c>
      <c r="AI363" s="34" t="str">
        <f t="shared" si="363"/>
        <v/>
      </c>
      <c r="AJ363" s="34" t="str">
        <f t="shared" si="363"/>
        <v/>
      </c>
      <c r="AK363" s="34" t="str">
        <f t="shared" si="363"/>
        <v/>
      </c>
      <c r="AL363" s="34" t="str">
        <f t="shared" si="363"/>
        <v/>
      </c>
      <c r="AM363" s="34" t="str">
        <f t="shared" si="363"/>
        <v/>
      </c>
      <c r="AN363" s="34" t="str">
        <f t="shared" si="363"/>
        <v/>
      </c>
      <c r="AO363" s="34" t="str">
        <f t="shared" si="363"/>
        <v/>
      </c>
      <c r="AP363" s="34" t="str">
        <f t="shared" si="363"/>
        <v/>
      </c>
      <c r="AQ363" s="76" t="s">
        <v>402</v>
      </c>
      <c r="AR363" s="77"/>
      <c r="AS363" s="77"/>
      <c r="AT363" s="77"/>
      <c r="AU363" s="77"/>
      <c r="AV363" s="77"/>
      <c r="AW363" s="77"/>
      <c r="AX363" s="77"/>
      <c r="AY363" s="77"/>
      <c r="AZ363" s="77"/>
      <c r="BA363" s="77"/>
      <c r="BB363" s="77"/>
      <c r="BC363" s="77"/>
      <c r="BD363" s="77"/>
      <c r="BE363" s="77"/>
      <c r="BF363" s="77"/>
      <c r="BG363" s="77"/>
      <c r="BH363" s="77"/>
      <c r="BI363" s="77"/>
      <c r="BJ363" s="77"/>
      <c r="BK363" s="77"/>
      <c r="BL363" s="77"/>
      <c r="BM363" s="78"/>
    </row>
    <row r="364">
      <c r="A364" s="79">
        <v>2.5714285714285716</v>
      </c>
      <c r="B364" s="79" t="b">
        <v>0</v>
      </c>
      <c r="C364" s="79" t="b">
        <f t="shared" si="3"/>
        <v>0</v>
      </c>
      <c r="D364" s="80" t="s">
        <v>1565</v>
      </c>
      <c r="E364" s="81" t="s">
        <v>934</v>
      </c>
      <c r="F364" s="82" t="s">
        <v>1416</v>
      </c>
      <c r="G364" s="35" t="s">
        <v>835</v>
      </c>
      <c r="H364" s="37">
        <v>-7.231193919183431</v>
      </c>
      <c r="I364" s="37">
        <v>-1.843313794270692</v>
      </c>
      <c r="J364" s="83" t="s">
        <v>2012</v>
      </c>
      <c r="K364" s="35">
        <v>24.0</v>
      </c>
      <c r="L364" s="79">
        <v>76.0</v>
      </c>
      <c r="M364" s="84">
        <v>29.0</v>
      </c>
      <c r="N364" s="84">
        <v>7.0</v>
      </c>
      <c r="O364" s="85">
        <v>-1.90245867586691</v>
      </c>
      <c r="P364" s="85">
        <v>-1.6206469310559204</v>
      </c>
      <c r="Q364" s="96" t="s">
        <v>69</v>
      </c>
      <c r="R364" s="85">
        <v>-0.06552343689766801</v>
      </c>
      <c r="S364" s="96" t="s">
        <v>69</v>
      </c>
      <c r="T364" s="96" t="s">
        <v>69</v>
      </c>
      <c r="U364" s="85">
        <v>-1.6341160737529925</v>
      </c>
      <c r="V364" s="96" t="s">
        <v>69</v>
      </c>
      <c r="W364" s="85">
        <v>-0.5301629752702254</v>
      </c>
      <c r="X364" s="85">
        <v>-1.4782858263397145</v>
      </c>
      <c r="Y364" s="50" t="s">
        <v>69</v>
      </c>
      <c r="Z364" s="50" t="s">
        <v>69</v>
      </c>
      <c r="AA364" s="50" t="s">
        <v>69</v>
      </c>
      <c r="AB364" s="50" t="s">
        <v>69</v>
      </c>
      <c r="AC364" s="34" t="str">
        <f t="shared" ref="AC364:AP364" si="364">LET(
  skater, IFERROR(INDEX(AllProj, MATCH($E364, AllProjNames, 0), MATCH(AC$2, AllProjCats, 0) + 1), ""),
  goalie, IFERROR(INDEX(AllGProj, MATCH($E364, AllGProjNames, 0), MATCH(AC$2, AllGProjCats, 0) + 1), ""),
  val, IF(skater &lt;&gt; "", skater, goalie),
  IF(OR($E364="", AC$2="", val=""), "", val * AC$1)
)</f>
        <v/>
      </c>
      <c r="AD364" s="34" t="str">
        <f t="shared" si="364"/>
        <v/>
      </c>
      <c r="AE364" s="34" t="str">
        <f t="shared" si="364"/>
        <v/>
      </c>
      <c r="AF364" s="34" t="str">
        <f t="shared" si="364"/>
        <v/>
      </c>
      <c r="AG364" s="34" t="str">
        <f t="shared" si="364"/>
        <v/>
      </c>
      <c r="AH364" s="34" t="str">
        <f t="shared" si="364"/>
        <v/>
      </c>
      <c r="AI364" s="34" t="str">
        <f t="shared" si="364"/>
        <v/>
      </c>
      <c r="AJ364" s="34" t="str">
        <f t="shared" si="364"/>
        <v/>
      </c>
      <c r="AK364" s="34" t="str">
        <f t="shared" si="364"/>
        <v/>
      </c>
      <c r="AL364" s="34" t="str">
        <f t="shared" si="364"/>
        <v/>
      </c>
      <c r="AM364" s="34" t="str">
        <f t="shared" si="364"/>
        <v/>
      </c>
      <c r="AN364" s="34" t="str">
        <f t="shared" si="364"/>
        <v/>
      </c>
      <c r="AO364" s="34" t="str">
        <f t="shared" si="364"/>
        <v/>
      </c>
      <c r="AP364" s="34" t="str">
        <f t="shared" si="364"/>
        <v/>
      </c>
      <c r="AQ364" s="76" t="s">
        <v>403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77"/>
      <c r="BC364" s="77"/>
      <c r="BD364" s="77"/>
      <c r="BE364" s="77"/>
      <c r="BF364" s="77"/>
      <c r="BG364" s="77"/>
      <c r="BH364" s="77"/>
      <c r="BI364" s="77"/>
      <c r="BJ364" s="77"/>
      <c r="BK364" s="77"/>
      <c r="BL364" s="77"/>
      <c r="BM364" s="78"/>
    </row>
    <row r="365">
      <c r="A365" s="41">
        <v>2.642857142857143</v>
      </c>
      <c r="B365" s="41" t="b">
        <v>0</v>
      </c>
      <c r="C365" s="41" t="b">
        <f t="shared" si="3"/>
        <v>0</v>
      </c>
      <c r="D365" s="42" t="s">
        <v>1565</v>
      </c>
      <c r="E365" s="43" t="s">
        <v>1109</v>
      </c>
      <c r="F365" s="44" t="s">
        <v>1563</v>
      </c>
      <c r="G365" s="29" t="s">
        <v>837</v>
      </c>
      <c r="H365" s="32">
        <v>-7.243447914387144</v>
      </c>
      <c r="I365" s="32">
        <v>-1.7135891424582432</v>
      </c>
      <c r="J365" s="45" t="s">
        <v>2013</v>
      </c>
      <c r="K365" s="29">
        <v>25.7</v>
      </c>
      <c r="L365" s="41">
        <v>79.24882352941177</v>
      </c>
      <c r="M365" s="46">
        <v>29.0</v>
      </c>
      <c r="N365" s="46">
        <v>6.0</v>
      </c>
      <c r="O365" s="47">
        <v>-1.8866293473406777</v>
      </c>
      <c r="P365" s="47">
        <v>-0.7354200971275573</v>
      </c>
      <c r="Q365" s="47">
        <v>-1.018296466848087</v>
      </c>
      <c r="R365" s="47">
        <v>-0.8134405416251534</v>
      </c>
      <c r="S365" s="47">
        <v>-0.9631223749083857</v>
      </c>
      <c r="T365" s="47">
        <v>-0.3307116069444869</v>
      </c>
      <c r="U365" s="47">
        <v>-1.58410039464902</v>
      </c>
      <c r="V365" s="47">
        <v>0.0</v>
      </c>
      <c r="W365" s="47">
        <v>-1.790222825306078</v>
      </c>
      <c r="X365" s="47">
        <v>1.8784957403623013</v>
      </c>
      <c r="Y365" s="50" t="s">
        <v>69</v>
      </c>
      <c r="Z365" s="50" t="s">
        <v>69</v>
      </c>
      <c r="AA365" s="50" t="s">
        <v>69</v>
      </c>
      <c r="AB365" s="50" t="s">
        <v>69</v>
      </c>
      <c r="AC365" s="34" t="str">
        <f t="shared" ref="AC365:AP365" si="365">LET(
  skater, IFERROR(INDEX(AllProj, MATCH($E365, AllProjNames, 0), MATCH(AC$2, AllProjCats, 0) + 1), ""),
  goalie, IFERROR(INDEX(AllGProj, MATCH($E365, AllGProjNames, 0), MATCH(AC$2, AllGProjCats, 0) + 1), ""),
  val, IF(skater &lt;&gt; "", skater, goalie),
  IF(OR($E365="", AC$2="", val=""), "", val * AC$1)
)</f>
        <v/>
      </c>
      <c r="AD365" s="34" t="str">
        <f t="shared" si="365"/>
        <v/>
      </c>
      <c r="AE365" s="34" t="str">
        <f t="shared" si="365"/>
        <v/>
      </c>
      <c r="AF365" s="34" t="str">
        <f t="shared" si="365"/>
        <v/>
      </c>
      <c r="AG365" s="34" t="str">
        <f t="shared" si="365"/>
        <v/>
      </c>
      <c r="AH365" s="34" t="str">
        <f t="shared" si="365"/>
        <v/>
      </c>
      <c r="AI365" s="34" t="str">
        <f t="shared" si="365"/>
        <v/>
      </c>
      <c r="AJ365" s="34" t="str">
        <f t="shared" si="365"/>
        <v/>
      </c>
      <c r="AK365" s="34" t="str">
        <f t="shared" si="365"/>
        <v/>
      </c>
      <c r="AL365" s="34" t="str">
        <f t="shared" si="365"/>
        <v/>
      </c>
      <c r="AM365" s="34" t="str">
        <f t="shared" si="365"/>
        <v/>
      </c>
      <c r="AN365" s="34" t="str">
        <f t="shared" si="365"/>
        <v/>
      </c>
      <c r="AO365" s="34" t="str">
        <f t="shared" si="365"/>
        <v/>
      </c>
      <c r="AP365" s="34" t="str">
        <f t="shared" si="365"/>
        <v/>
      </c>
      <c r="AQ365" s="76" t="s">
        <v>404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77"/>
      <c r="BC365" s="77"/>
      <c r="BD365" s="77"/>
      <c r="BE365" s="77"/>
      <c r="BF365" s="77"/>
      <c r="BG365" s="77"/>
      <c r="BH365" s="77"/>
      <c r="BI365" s="77"/>
      <c r="BJ365" s="77"/>
      <c r="BK365" s="77"/>
      <c r="BL365" s="77"/>
      <c r="BM365" s="78"/>
    </row>
    <row r="366">
      <c r="A366" s="79">
        <v>3.0714285714285716</v>
      </c>
      <c r="B366" s="79" t="b">
        <v>0</v>
      </c>
      <c r="C366" s="79" t="b">
        <f t="shared" si="3"/>
        <v>0</v>
      </c>
      <c r="D366" s="80" t="s">
        <v>1565</v>
      </c>
      <c r="E366" s="81" t="s">
        <v>1392</v>
      </c>
      <c r="F366" s="82" t="s">
        <v>1299</v>
      </c>
      <c r="G366" s="35" t="s">
        <v>6</v>
      </c>
      <c r="H366" s="37">
        <v>-7.243493321936462</v>
      </c>
      <c r="I366" s="37">
        <v>-2.9052703434663485</v>
      </c>
      <c r="J366" s="83" t="s">
        <v>2014</v>
      </c>
      <c r="K366" s="35">
        <v>31.2</v>
      </c>
      <c r="L366" s="79">
        <v>24.8</v>
      </c>
      <c r="M366" s="84">
        <v>31.0</v>
      </c>
      <c r="N366" s="84">
        <v>7.0</v>
      </c>
      <c r="O366" s="96" t="s">
        <v>69</v>
      </c>
      <c r="P366" s="96" t="s">
        <v>69</v>
      </c>
      <c r="Q366" s="96" t="s">
        <v>69</v>
      </c>
      <c r="R366" s="96" t="s">
        <v>69</v>
      </c>
      <c r="S366" s="96" t="s">
        <v>69</v>
      </c>
      <c r="T366" s="96" t="s">
        <v>69</v>
      </c>
      <c r="U366" s="96" t="s">
        <v>69</v>
      </c>
      <c r="V366" s="96" t="s">
        <v>69</v>
      </c>
      <c r="W366" s="96" t="s">
        <v>69</v>
      </c>
      <c r="X366" s="96" t="s">
        <v>69</v>
      </c>
      <c r="Y366" s="95">
        <v>-2.808646559682582</v>
      </c>
      <c r="Z366" s="95">
        <v>-2.48062760107121</v>
      </c>
      <c r="AA366" s="95">
        <v>-1.954219161182671</v>
      </c>
      <c r="AB366" s="95">
        <v>0.0</v>
      </c>
      <c r="AC366" s="34" t="str">
        <f t="shared" ref="AC366:AP366" si="366">LET(
  skater, IFERROR(INDEX(AllProj, MATCH($E366, AllProjNames, 0), MATCH(AC$2, AllProjCats, 0) + 1), ""),
  goalie, IFERROR(INDEX(AllGProj, MATCH($E366, AllGProjNames, 0), MATCH(AC$2, AllGProjCats, 0) + 1), ""),
  val, IF(skater &lt;&gt; "", skater, goalie),
  IF(OR($E366="", AC$2="", val=""), "", val * AC$1)
)</f>
        <v/>
      </c>
      <c r="AD366" s="34" t="str">
        <f t="shared" si="366"/>
        <v/>
      </c>
      <c r="AE366" s="34" t="str">
        <f t="shared" si="366"/>
        <v/>
      </c>
      <c r="AF366" s="34" t="str">
        <f t="shared" si="366"/>
        <v/>
      </c>
      <c r="AG366" s="34" t="str">
        <f t="shared" si="366"/>
        <v/>
      </c>
      <c r="AH366" s="34" t="str">
        <f t="shared" si="366"/>
        <v/>
      </c>
      <c r="AI366" s="34" t="str">
        <f t="shared" si="366"/>
        <v/>
      </c>
      <c r="AJ366" s="34" t="str">
        <f t="shared" si="366"/>
        <v/>
      </c>
      <c r="AK366" s="34" t="str">
        <f t="shared" si="366"/>
        <v/>
      </c>
      <c r="AL366" s="34" t="str">
        <f t="shared" si="366"/>
        <v/>
      </c>
      <c r="AM366" s="34" t="str">
        <f t="shared" si="366"/>
        <v/>
      </c>
      <c r="AN366" s="34" t="str">
        <f t="shared" si="366"/>
        <v/>
      </c>
      <c r="AO366" s="34" t="str">
        <f t="shared" si="366"/>
        <v/>
      </c>
      <c r="AP366" s="34" t="str">
        <f t="shared" si="366"/>
        <v/>
      </c>
      <c r="AQ366" s="76" t="s">
        <v>405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77"/>
      <c r="BC366" s="77"/>
      <c r="BD366" s="77"/>
      <c r="BE366" s="77"/>
      <c r="BF366" s="77"/>
      <c r="BG366" s="77"/>
      <c r="BH366" s="77"/>
      <c r="BI366" s="77"/>
      <c r="BJ366" s="77"/>
      <c r="BK366" s="77"/>
      <c r="BL366" s="77"/>
      <c r="BM366" s="78"/>
    </row>
    <row r="367">
      <c r="A367" s="41">
        <v>2.5</v>
      </c>
      <c r="B367" s="41" t="b">
        <v>0</v>
      </c>
      <c r="C367" s="41" t="b">
        <f t="shared" si="3"/>
        <v>0</v>
      </c>
      <c r="D367" s="42" t="s">
        <v>1565</v>
      </c>
      <c r="E367" s="43" t="s">
        <v>904</v>
      </c>
      <c r="F367" s="44" t="s">
        <v>1710</v>
      </c>
      <c r="G367" s="29" t="s">
        <v>830</v>
      </c>
      <c r="H367" s="32">
        <v>-7.255482330428808</v>
      </c>
      <c r="I367" s="32">
        <v>-1.8676022055160688</v>
      </c>
      <c r="J367" s="45" t="s">
        <v>2015</v>
      </c>
      <c r="K367" s="29">
        <v>33.3</v>
      </c>
      <c r="L367" s="41">
        <v>76.66691176470589</v>
      </c>
      <c r="M367" s="46">
        <v>23.0</v>
      </c>
      <c r="N367" s="46">
        <v>6.0</v>
      </c>
      <c r="O367" s="47">
        <v>-0.4413149229335159</v>
      </c>
      <c r="P367" s="47">
        <v>-0.20472498318905596</v>
      </c>
      <c r="Q367" s="47">
        <v>-2.9000813368509237</v>
      </c>
      <c r="R367" s="47">
        <v>-0.20215205438988212</v>
      </c>
      <c r="S367" s="47">
        <v>0.10447754353619973</v>
      </c>
      <c r="T367" s="47">
        <v>0.06321541507596648</v>
      </c>
      <c r="U367" s="47">
        <v>-0.7658038921028539</v>
      </c>
      <c r="V367" s="47">
        <v>0.0</v>
      </c>
      <c r="W367" s="47">
        <v>-1.6465672484997929</v>
      </c>
      <c r="X367" s="47">
        <v>-1.2625308510749482</v>
      </c>
      <c r="Y367" s="50" t="s">
        <v>69</v>
      </c>
      <c r="Z367" s="50" t="s">
        <v>69</v>
      </c>
      <c r="AA367" s="50" t="s">
        <v>69</v>
      </c>
      <c r="AB367" s="50" t="s">
        <v>69</v>
      </c>
      <c r="AC367" s="34" t="str">
        <f t="shared" ref="AC367:AP367" si="367">LET(
  skater, IFERROR(INDEX(AllProj, MATCH($E367, AllProjNames, 0), MATCH(AC$2, AllProjCats, 0) + 1), ""),
  goalie, IFERROR(INDEX(AllGProj, MATCH($E367, AllGProjNames, 0), MATCH(AC$2, AllGProjCats, 0) + 1), ""),
  val, IF(skater &lt;&gt; "", skater, goalie),
  IF(OR($E367="", AC$2="", val=""), "", val * AC$1)
)</f>
        <v/>
      </c>
      <c r="AD367" s="34" t="str">
        <f t="shared" si="367"/>
        <v/>
      </c>
      <c r="AE367" s="34" t="str">
        <f t="shared" si="367"/>
        <v/>
      </c>
      <c r="AF367" s="34" t="str">
        <f t="shared" si="367"/>
        <v/>
      </c>
      <c r="AG367" s="34" t="str">
        <f t="shared" si="367"/>
        <v/>
      </c>
      <c r="AH367" s="34" t="str">
        <f t="shared" si="367"/>
        <v/>
      </c>
      <c r="AI367" s="34" t="str">
        <f t="shared" si="367"/>
        <v/>
      </c>
      <c r="AJ367" s="34" t="str">
        <f t="shared" si="367"/>
        <v/>
      </c>
      <c r="AK367" s="34" t="str">
        <f t="shared" si="367"/>
        <v/>
      </c>
      <c r="AL367" s="34" t="str">
        <f t="shared" si="367"/>
        <v/>
      </c>
      <c r="AM367" s="34" t="str">
        <f t="shared" si="367"/>
        <v/>
      </c>
      <c r="AN367" s="34" t="str">
        <f t="shared" si="367"/>
        <v/>
      </c>
      <c r="AO367" s="34" t="str">
        <f t="shared" si="367"/>
        <v/>
      </c>
      <c r="AP367" s="34" t="str">
        <f t="shared" si="367"/>
        <v/>
      </c>
      <c r="AQ367" s="76" t="s">
        <v>406</v>
      </c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77"/>
      <c r="BC367" s="77"/>
      <c r="BD367" s="77"/>
      <c r="BE367" s="77"/>
      <c r="BF367" s="77"/>
      <c r="BG367" s="77"/>
      <c r="BH367" s="77"/>
      <c r="BI367" s="77"/>
      <c r="BJ367" s="77"/>
      <c r="BK367" s="77"/>
      <c r="BL367" s="77"/>
      <c r="BM367" s="78"/>
    </row>
    <row r="368">
      <c r="A368" s="79" t="s">
        <v>69</v>
      </c>
      <c r="B368" s="79" t="b">
        <v>0</v>
      </c>
      <c r="C368" s="79" t="b">
        <f t="shared" si="3"/>
        <v>1</v>
      </c>
      <c r="D368" s="80" t="s">
        <v>22</v>
      </c>
      <c r="E368" s="81" t="s">
        <v>2016</v>
      </c>
      <c r="F368" s="82" t="s">
        <v>1299</v>
      </c>
      <c r="G368" s="35" t="s">
        <v>837</v>
      </c>
      <c r="H368" s="37">
        <v>-7.280889283374935</v>
      </c>
      <c r="I368" s="37">
        <v>-1.751030511446034</v>
      </c>
      <c r="J368" s="83" t="s">
        <v>2017</v>
      </c>
      <c r="K368" s="35">
        <v>21.7</v>
      </c>
      <c r="L368" s="79">
        <v>78.66666666666667</v>
      </c>
      <c r="M368" s="84">
        <v>31.0</v>
      </c>
      <c r="N368" s="84">
        <v>7.0</v>
      </c>
      <c r="O368" s="85">
        <v>-2.1120547322521297</v>
      </c>
      <c r="P368" s="85">
        <v>-1.2363073065286152</v>
      </c>
      <c r="Q368" s="85">
        <v>-0.7670038767441374</v>
      </c>
      <c r="R368" s="85">
        <v>0.13549606139080425</v>
      </c>
      <c r="S368" s="85">
        <v>-0.6569785079276647</v>
      </c>
      <c r="T368" s="96" t="s">
        <v>69</v>
      </c>
      <c r="U368" s="85">
        <v>-1.114265871204287</v>
      </c>
      <c r="V368" s="85">
        <v>0.0</v>
      </c>
      <c r="W368" s="85">
        <v>-1.105981139538336</v>
      </c>
      <c r="X368" s="85">
        <v>-0.4237939105705687</v>
      </c>
      <c r="Y368" s="50" t="s">
        <v>69</v>
      </c>
      <c r="Z368" s="50" t="s">
        <v>69</v>
      </c>
      <c r="AA368" s="50" t="s">
        <v>69</v>
      </c>
      <c r="AB368" s="50" t="s">
        <v>69</v>
      </c>
      <c r="AC368" s="34" t="str">
        <f t="shared" ref="AC368:AP368" si="368">LET(
  skater, IFERROR(INDEX(AllProj, MATCH($E368, AllProjNames, 0), MATCH(AC$2, AllProjCats, 0) + 1), ""),
  goalie, IFERROR(INDEX(AllGProj, MATCH($E368, AllGProjNames, 0), MATCH(AC$2, AllGProjCats, 0) + 1), ""),
  val, IF(skater &lt;&gt; "", skater, goalie),
  IF(OR($E368="", AC$2="", val=""), "", val * AC$1)
)</f>
        <v/>
      </c>
      <c r="AD368" s="34" t="str">
        <f t="shared" si="368"/>
        <v/>
      </c>
      <c r="AE368" s="34" t="str">
        <f t="shared" si="368"/>
        <v/>
      </c>
      <c r="AF368" s="34" t="str">
        <f t="shared" si="368"/>
        <v/>
      </c>
      <c r="AG368" s="34" t="str">
        <f t="shared" si="368"/>
        <v/>
      </c>
      <c r="AH368" s="34" t="str">
        <f t="shared" si="368"/>
        <v/>
      </c>
      <c r="AI368" s="34" t="str">
        <f t="shared" si="368"/>
        <v/>
      </c>
      <c r="AJ368" s="34" t="str">
        <f t="shared" si="368"/>
        <v/>
      </c>
      <c r="AK368" s="34" t="str">
        <f t="shared" si="368"/>
        <v/>
      </c>
      <c r="AL368" s="34" t="str">
        <f t="shared" si="368"/>
        <v/>
      </c>
      <c r="AM368" s="34" t="str">
        <f t="shared" si="368"/>
        <v/>
      </c>
      <c r="AN368" s="34" t="str">
        <f t="shared" si="368"/>
        <v/>
      </c>
      <c r="AO368" s="34" t="str">
        <f t="shared" si="368"/>
        <v/>
      </c>
      <c r="AP368" s="34" t="str">
        <f t="shared" si="368"/>
        <v/>
      </c>
      <c r="AQ368" s="76" t="s">
        <v>407</v>
      </c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77"/>
      <c r="BC368" s="77"/>
      <c r="BD368" s="77"/>
      <c r="BE368" s="77"/>
      <c r="BF368" s="77"/>
      <c r="BG368" s="77"/>
      <c r="BH368" s="77"/>
      <c r="BI368" s="77"/>
      <c r="BJ368" s="77"/>
      <c r="BK368" s="77"/>
      <c r="BL368" s="77"/>
      <c r="BM368" s="78"/>
    </row>
    <row r="369">
      <c r="A369" s="41">
        <v>2.5714285714285716</v>
      </c>
      <c r="B369" s="41" t="b">
        <v>0</v>
      </c>
      <c r="C369" s="41" t="b">
        <f t="shared" si="3"/>
        <v>0</v>
      </c>
      <c r="D369" s="42" t="s">
        <v>1565</v>
      </c>
      <c r="E369" s="43" t="s">
        <v>1089</v>
      </c>
      <c r="F369" s="44" t="s">
        <v>854</v>
      </c>
      <c r="G369" s="29" t="s">
        <v>835</v>
      </c>
      <c r="H369" s="32">
        <v>-7.289333964117853</v>
      </c>
      <c r="I369" s="32">
        <v>-1.9014538392051143</v>
      </c>
      <c r="J369" s="45" t="s">
        <v>2018</v>
      </c>
      <c r="K369" s="29">
        <v>29.6</v>
      </c>
      <c r="L369" s="41">
        <v>69.57142857142857</v>
      </c>
      <c r="M369" s="46">
        <v>16.0</v>
      </c>
      <c r="N369" s="46">
        <v>6.0</v>
      </c>
      <c r="O369" s="47">
        <v>-1.8629348480914112</v>
      </c>
      <c r="P369" s="47">
        <v>-1.838722935314874</v>
      </c>
      <c r="Q369" s="47">
        <v>-0.7666616170951756</v>
      </c>
      <c r="R369" s="47">
        <v>2.545657674890739</v>
      </c>
      <c r="S369" s="47">
        <v>-1.6919399807547475</v>
      </c>
      <c r="T369" s="47">
        <v>-0.7871777123417198</v>
      </c>
      <c r="U369" s="47">
        <v>-1.869395937864796</v>
      </c>
      <c r="V369" s="47">
        <v>0.0</v>
      </c>
      <c r="W369" s="47">
        <v>0.6858759949228259</v>
      </c>
      <c r="X369" s="47">
        <v>-1.704034602468695</v>
      </c>
      <c r="Y369" s="50" t="s">
        <v>69</v>
      </c>
      <c r="Z369" s="50" t="s">
        <v>69</v>
      </c>
      <c r="AA369" s="50" t="s">
        <v>69</v>
      </c>
      <c r="AB369" s="50" t="s">
        <v>69</v>
      </c>
      <c r="AC369" s="34" t="str">
        <f t="shared" ref="AC369:AP369" si="369">LET(
  skater, IFERROR(INDEX(AllProj, MATCH($E369, AllProjNames, 0), MATCH(AC$2, AllProjCats, 0) + 1), ""),
  goalie, IFERROR(INDEX(AllGProj, MATCH($E369, AllGProjNames, 0), MATCH(AC$2, AllGProjCats, 0) + 1), ""),
  val, IF(skater &lt;&gt; "", skater, goalie),
  IF(OR($E369="", AC$2="", val=""), "", val * AC$1)
)</f>
        <v/>
      </c>
      <c r="AD369" s="34" t="str">
        <f t="shared" si="369"/>
        <v/>
      </c>
      <c r="AE369" s="34" t="str">
        <f t="shared" si="369"/>
        <v/>
      </c>
      <c r="AF369" s="34" t="str">
        <f t="shared" si="369"/>
        <v/>
      </c>
      <c r="AG369" s="34" t="str">
        <f t="shared" si="369"/>
        <v/>
      </c>
      <c r="AH369" s="34" t="str">
        <f t="shared" si="369"/>
        <v/>
      </c>
      <c r="AI369" s="34" t="str">
        <f t="shared" si="369"/>
        <v/>
      </c>
      <c r="AJ369" s="34" t="str">
        <f t="shared" si="369"/>
        <v/>
      </c>
      <c r="AK369" s="34" t="str">
        <f t="shared" si="369"/>
        <v/>
      </c>
      <c r="AL369" s="34" t="str">
        <f t="shared" si="369"/>
        <v/>
      </c>
      <c r="AM369" s="34" t="str">
        <f t="shared" si="369"/>
        <v/>
      </c>
      <c r="AN369" s="34" t="str">
        <f t="shared" si="369"/>
        <v/>
      </c>
      <c r="AO369" s="34" t="str">
        <f t="shared" si="369"/>
        <v/>
      </c>
      <c r="AP369" s="34" t="str">
        <f t="shared" si="369"/>
        <v/>
      </c>
      <c r="AQ369" s="76" t="s">
        <v>408</v>
      </c>
      <c r="AR369" s="77"/>
      <c r="AS369" s="77"/>
      <c r="AT369" s="77"/>
      <c r="AU369" s="77"/>
      <c r="AV369" s="77"/>
      <c r="AW369" s="77"/>
      <c r="AX369" s="77"/>
      <c r="AY369" s="77"/>
      <c r="AZ369" s="77"/>
      <c r="BA369" s="77"/>
      <c r="BB369" s="77"/>
      <c r="BC369" s="77"/>
      <c r="BD369" s="77"/>
      <c r="BE369" s="77"/>
      <c r="BF369" s="77"/>
      <c r="BG369" s="77"/>
      <c r="BH369" s="77"/>
      <c r="BI369" s="77"/>
      <c r="BJ369" s="77"/>
      <c r="BK369" s="77"/>
      <c r="BL369" s="77"/>
      <c r="BM369" s="78"/>
    </row>
    <row r="370">
      <c r="A370" s="79">
        <v>2.642857142857143</v>
      </c>
      <c r="B370" s="79" t="b">
        <v>0</v>
      </c>
      <c r="C370" s="79" t="b">
        <f t="shared" si="3"/>
        <v>0</v>
      </c>
      <c r="D370" s="80" t="s">
        <v>1565</v>
      </c>
      <c r="E370" s="81" t="s">
        <v>1228</v>
      </c>
      <c r="F370" s="82" t="s">
        <v>1505</v>
      </c>
      <c r="G370" s="35" t="s">
        <v>284</v>
      </c>
      <c r="H370" s="37">
        <v>-7.310407464287068</v>
      </c>
      <c r="I370" s="37">
        <v>-2.272341444103983</v>
      </c>
      <c r="J370" s="83" t="s">
        <v>2019</v>
      </c>
      <c r="K370" s="35">
        <v>26.3</v>
      </c>
      <c r="L370" s="79">
        <v>77.84720588235294</v>
      </c>
      <c r="M370" s="84">
        <v>30.0</v>
      </c>
      <c r="N370" s="84">
        <v>5.0</v>
      </c>
      <c r="O370" s="85">
        <v>-0.8751769557412933</v>
      </c>
      <c r="P370" s="85">
        <v>-1.1003962795390458</v>
      </c>
      <c r="Q370" s="85">
        <v>-0.859649956839557</v>
      </c>
      <c r="R370" s="85">
        <v>0.02781036091758297</v>
      </c>
      <c r="S370" s="85">
        <v>-0.8978194053128755</v>
      </c>
      <c r="T370" s="85">
        <v>-0.6448949229068327</v>
      </c>
      <c r="U370" s="85">
        <v>-0.7081770006637655</v>
      </c>
      <c r="V370" s="85">
        <v>1.1252568866242583</v>
      </c>
      <c r="W370" s="85">
        <v>-1.8321396942774426</v>
      </c>
      <c r="X370" s="85">
        <v>-1.5452204965480973</v>
      </c>
      <c r="Y370" s="50" t="s">
        <v>69</v>
      </c>
      <c r="Z370" s="50" t="s">
        <v>69</v>
      </c>
      <c r="AA370" s="50" t="s">
        <v>69</v>
      </c>
      <c r="AB370" s="50" t="s">
        <v>69</v>
      </c>
      <c r="AC370" s="34" t="str">
        <f t="shared" ref="AC370:AP370" si="370">LET(
  skater, IFERROR(INDEX(AllProj, MATCH($E370, AllProjNames, 0), MATCH(AC$2, AllProjCats, 0) + 1), ""),
  goalie, IFERROR(INDEX(AllGProj, MATCH($E370, AllGProjNames, 0), MATCH(AC$2, AllGProjCats, 0) + 1), ""),
  val, IF(skater &lt;&gt; "", skater, goalie),
  IF(OR($E370="", AC$2="", val=""), "", val * AC$1)
)</f>
        <v/>
      </c>
      <c r="AD370" s="34" t="str">
        <f t="shared" si="370"/>
        <v/>
      </c>
      <c r="AE370" s="34" t="str">
        <f t="shared" si="370"/>
        <v/>
      </c>
      <c r="AF370" s="34" t="str">
        <f t="shared" si="370"/>
        <v/>
      </c>
      <c r="AG370" s="34" t="str">
        <f t="shared" si="370"/>
        <v/>
      </c>
      <c r="AH370" s="34" t="str">
        <f t="shared" si="370"/>
        <v/>
      </c>
      <c r="AI370" s="34" t="str">
        <f t="shared" si="370"/>
        <v/>
      </c>
      <c r="AJ370" s="34" t="str">
        <f t="shared" si="370"/>
        <v/>
      </c>
      <c r="AK370" s="34" t="str">
        <f t="shared" si="370"/>
        <v/>
      </c>
      <c r="AL370" s="34" t="str">
        <f t="shared" si="370"/>
        <v/>
      </c>
      <c r="AM370" s="34" t="str">
        <f t="shared" si="370"/>
        <v/>
      </c>
      <c r="AN370" s="34" t="str">
        <f t="shared" si="370"/>
        <v/>
      </c>
      <c r="AO370" s="34" t="str">
        <f t="shared" si="370"/>
        <v/>
      </c>
      <c r="AP370" s="34" t="str">
        <f t="shared" si="370"/>
        <v/>
      </c>
      <c r="AQ370" s="76" t="s">
        <v>409</v>
      </c>
      <c r="AR370" s="77"/>
      <c r="AS370" s="77"/>
      <c r="AT370" s="77"/>
      <c r="AU370" s="77"/>
      <c r="AV370" s="77"/>
      <c r="AW370" s="77"/>
      <c r="AX370" s="77"/>
      <c r="AY370" s="77"/>
      <c r="AZ370" s="77"/>
      <c r="BA370" s="77"/>
      <c r="BB370" s="77"/>
      <c r="BC370" s="77"/>
      <c r="BD370" s="77"/>
      <c r="BE370" s="77"/>
      <c r="BF370" s="77"/>
      <c r="BG370" s="77"/>
      <c r="BH370" s="77"/>
      <c r="BI370" s="77"/>
      <c r="BJ370" s="77"/>
      <c r="BK370" s="77"/>
      <c r="BL370" s="77"/>
      <c r="BM370" s="78"/>
    </row>
    <row r="371">
      <c r="A371" s="41">
        <v>2.5</v>
      </c>
      <c r="B371" s="41" t="b">
        <v>0</v>
      </c>
      <c r="C371" s="41" t="b">
        <f t="shared" si="3"/>
        <v>0</v>
      </c>
      <c r="D371" s="42" t="s">
        <v>1565</v>
      </c>
      <c r="E371" s="43" t="s">
        <v>886</v>
      </c>
      <c r="F371" s="44" t="s">
        <v>1489</v>
      </c>
      <c r="G371" s="29" t="s">
        <v>837</v>
      </c>
      <c r="H371" s="32">
        <v>-7.310942016488318</v>
      </c>
      <c r="I371" s="32">
        <v>-1.781083244559417</v>
      </c>
      <c r="J371" s="45" t="s">
        <v>2020</v>
      </c>
      <c r="K371" s="29">
        <v>27.3</v>
      </c>
      <c r="L371" s="41">
        <v>80.11111111111111</v>
      </c>
      <c r="M371" s="46">
        <v>28.0</v>
      </c>
      <c r="N371" s="46">
        <v>7.0</v>
      </c>
      <c r="O371" s="47">
        <v>-2.0673409068899495</v>
      </c>
      <c r="P371" s="47">
        <v>-1.301266116307878</v>
      </c>
      <c r="Q371" s="47">
        <v>0.42677718760446076</v>
      </c>
      <c r="R371" s="47">
        <v>-1.261969385473732</v>
      </c>
      <c r="S371" s="47">
        <v>-1.72461069241107</v>
      </c>
      <c r="T371" s="47">
        <v>-0.16952108464970286</v>
      </c>
      <c r="U371" s="47">
        <v>-2.1212520059348177</v>
      </c>
      <c r="V371" s="47">
        <v>0.0</v>
      </c>
      <c r="W371" s="47">
        <v>-0.3083967071812019</v>
      </c>
      <c r="X371" s="47">
        <v>1.2166376947555733</v>
      </c>
      <c r="Y371" s="50" t="s">
        <v>69</v>
      </c>
      <c r="Z371" s="50" t="s">
        <v>69</v>
      </c>
      <c r="AA371" s="50" t="s">
        <v>69</v>
      </c>
      <c r="AB371" s="50" t="s">
        <v>69</v>
      </c>
      <c r="AC371" s="34" t="str">
        <f t="shared" ref="AC371:AP371" si="371">LET(
  skater, IFERROR(INDEX(AllProj, MATCH($E371, AllProjNames, 0), MATCH(AC$2, AllProjCats, 0) + 1), ""),
  goalie, IFERROR(INDEX(AllGProj, MATCH($E371, AllGProjNames, 0), MATCH(AC$2, AllGProjCats, 0) + 1), ""),
  val, IF(skater &lt;&gt; "", skater, goalie),
  IF(OR($E371="", AC$2="", val=""), "", val * AC$1)
)</f>
        <v/>
      </c>
      <c r="AD371" s="34" t="str">
        <f t="shared" si="371"/>
        <v/>
      </c>
      <c r="AE371" s="34" t="str">
        <f t="shared" si="371"/>
        <v/>
      </c>
      <c r="AF371" s="34" t="str">
        <f t="shared" si="371"/>
        <v/>
      </c>
      <c r="AG371" s="34" t="str">
        <f t="shared" si="371"/>
        <v/>
      </c>
      <c r="AH371" s="34" t="str">
        <f t="shared" si="371"/>
        <v/>
      </c>
      <c r="AI371" s="34" t="str">
        <f t="shared" si="371"/>
        <v/>
      </c>
      <c r="AJ371" s="34" t="str">
        <f t="shared" si="371"/>
        <v/>
      </c>
      <c r="AK371" s="34" t="str">
        <f t="shared" si="371"/>
        <v/>
      </c>
      <c r="AL371" s="34" t="str">
        <f t="shared" si="371"/>
        <v/>
      </c>
      <c r="AM371" s="34" t="str">
        <f t="shared" si="371"/>
        <v/>
      </c>
      <c r="AN371" s="34" t="str">
        <f t="shared" si="371"/>
        <v/>
      </c>
      <c r="AO371" s="34" t="str">
        <f t="shared" si="371"/>
        <v/>
      </c>
      <c r="AP371" s="34" t="str">
        <f t="shared" si="371"/>
        <v/>
      </c>
      <c r="AQ371" s="76" t="s">
        <v>410</v>
      </c>
      <c r="AR371" s="77"/>
      <c r="AS371" s="77"/>
      <c r="AT371" s="77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77"/>
      <c r="BJ371" s="77"/>
      <c r="BK371" s="77"/>
      <c r="BL371" s="77"/>
      <c r="BM371" s="78"/>
    </row>
    <row r="372">
      <c r="A372" s="79">
        <v>2.5</v>
      </c>
      <c r="B372" s="79" t="b">
        <v>0</v>
      </c>
      <c r="C372" s="79" t="b">
        <f t="shared" si="3"/>
        <v>0</v>
      </c>
      <c r="D372" s="80" t="s">
        <v>1565</v>
      </c>
      <c r="E372" s="81" t="s">
        <v>920</v>
      </c>
      <c r="F372" s="82" t="s">
        <v>1594</v>
      </c>
      <c r="G372" s="35" t="s">
        <v>837</v>
      </c>
      <c r="H372" s="37">
        <v>-7.34890392514212</v>
      </c>
      <c r="I372" s="37">
        <v>-1.819045153213219</v>
      </c>
      <c r="J372" s="83" t="s">
        <v>2021</v>
      </c>
      <c r="K372" s="35">
        <v>33.8</v>
      </c>
      <c r="L372" s="79">
        <v>83.5</v>
      </c>
      <c r="M372" s="84">
        <v>26.0</v>
      </c>
      <c r="N372" s="84">
        <v>6.0</v>
      </c>
      <c r="O372" s="85">
        <v>-1.8665279233437295</v>
      </c>
      <c r="P372" s="85">
        <v>-1.2181343061737022</v>
      </c>
      <c r="Q372" s="85">
        <v>-1.5487072144941074</v>
      </c>
      <c r="R372" s="85">
        <v>-0.4909505636142146</v>
      </c>
      <c r="S372" s="85">
        <v>-1.7207213219757935</v>
      </c>
      <c r="T372" s="85">
        <v>-0.7871777123417198</v>
      </c>
      <c r="U372" s="85">
        <v>-1.3764911946138112</v>
      </c>
      <c r="V372" s="85">
        <v>0.0</v>
      </c>
      <c r="W372" s="85">
        <v>-0.24386395917759104</v>
      </c>
      <c r="X372" s="85">
        <v>1.9036702705925503</v>
      </c>
      <c r="Y372" s="50" t="s">
        <v>69</v>
      </c>
      <c r="Z372" s="50" t="s">
        <v>69</v>
      </c>
      <c r="AA372" s="50" t="s">
        <v>69</v>
      </c>
      <c r="AB372" s="50" t="s">
        <v>69</v>
      </c>
      <c r="AC372" s="34" t="str">
        <f t="shared" ref="AC372:AP372" si="372">LET(
  skater, IFERROR(INDEX(AllProj, MATCH($E372, AllProjNames, 0), MATCH(AC$2, AllProjCats, 0) + 1), ""),
  goalie, IFERROR(INDEX(AllGProj, MATCH($E372, AllGProjNames, 0), MATCH(AC$2, AllGProjCats, 0) + 1), ""),
  val, IF(skater &lt;&gt; "", skater, goalie),
  IF(OR($E372="", AC$2="", val=""), "", val * AC$1)
)</f>
        <v/>
      </c>
      <c r="AD372" s="34" t="str">
        <f t="shared" si="372"/>
        <v/>
      </c>
      <c r="AE372" s="34" t="str">
        <f t="shared" si="372"/>
        <v/>
      </c>
      <c r="AF372" s="34" t="str">
        <f t="shared" si="372"/>
        <v/>
      </c>
      <c r="AG372" s="34" t="str">
        <f t="shared" si="372"/>
        <v/>
      </c>
      <c r="AH372" s="34" t="str">
        <f t="shared" si="372"/>
        <v/>
      </c>
      <c r="AI372" s="34" t="str">
        <f t="shared" si="372"/>
        <v/>
      </c>
      <c r="AJ372" s="34" t="str">
        <f t="shared" si="372"/>
        <v/>
      </c>
      <c r="AK372" s="34" t="str">
        <f t="shared" si="372"/>
        <v/>
      </c>
      <c r="AL372" s="34" t="str">
        <f t="shared" si="372"/>
        <v/>
      </c>
      <c r="AM372" s="34" t="str">
        <f t="shared" si="372"/>
        <v/>
      </c>
      <c r="AN372" s="34" t="str">
        <f t="shared" si="372"/>
        <v/>
      </c>
      <c r="AO372" s="34" t="str">
        <f t="shared" si="372"/>
        <v/>
      </c>
      <c r="AP372" s="34" t="str">
        <f t="shared" si="372"/>
        <v/>
      </c>
      <c r="AQ372" s="76" t="s">
        <v>411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77"/>
      <c r="BJ372" s="77"/>
      <c r="BK372" s="77"/>
      <c r="BL372" s="77"/>
      <c r="BM372" s="78"/>
    </row>
    <row r="373">
      <c r="A373" s="41">
        <v>2.5714285714285716</v>
      </c>
      <c r="B373" s="41" t="b">
        <v>0</v>
      </c>
      <c r="C373" s="41" t="b">
        <f t="shared" si="3"/>
        <v>0</v>
      </c>
      <c r="D373" s="42" t="s">
        <v>1565</v>
      </c>
      <c r="E373" s="43" t="s">
        <v>955</v>
      </c>
      <c r="F373" s="44" t="s">
        <v>1706</v>
      </c>
      <c r="G373" s="29" t="s">
        <v>837</v>
      </c>
      <c r="H373" s="32">
        <v>-7.3900826306669085</v>
      </c>
      <c r="I373" s="32">
        <v>-1.8602238587380073</v>
      </c>
      <c r="J373" s="45" t="s">
        <v>2022</v>
      </c>
      <c r="K373" s="29">
        <v>37.6</v>
      </c>
      <c r="L373" s="41">
        <v>82.28571428571429</v>
      </c>
      <c r="M373" s="46">
        <v>31.0</v>
      </c>
      <c r="N373" s="46">
        <v>7.0</v>
      </c>
      <c r="O373" s="47">
        <v>-2.3551861576589848</v>
      </c>
      <c r="P373" s="47">
        <v>-1.5023290989579774</v>
      </c>
      <c r="Q373" s="47">
        <v>-0.5382520543576237</v>
      </c>
      <c r="R373" s="47">
        <v>0.44072596232661526</v>
      </c>
      <c r="S373" s="47">
        <v>-1.72461069241107</v>
      </c>
      <c r="T373" s="47">
        <v>-0.16952108464970286</v>
      </c>
      <c r="U373" s="47">
        <v>-2.4115911554408798</v>
      </c>
      <c r="V373" s="47">
        <v>0.0</v>
      </c>
      <c r="W373" s="47">
        <v>-1.1484283351757922</v>
      </c>
      <c r="X373" s="47">
        <v>2.019109985658506</v>
      </c>
      <c r="Y373" s="50" t="s">
        <v>69</v>
      </c>
      <c r="Z373" s="50" t="s">
        <v>69</v>
      </c>
      <c r="AA373" s="50" t="s">
        <v>69</v>
      </c>
      <c r="AB373" s="50" t="s">
        <v>69</v>
      </c>
      <c r="AC373" s="34" t="str">
        <f t="shared" ref="AC373:AP373" si="373">LET(
  skater, IFERROR(INDEX(AllProj, MATCH($E373, AllProjNames, 0), MATCH(AC$2, AllProjCats, 0) + 1), ""),
  goalie, IFERROR(INDEX(AllGProj, MATCH($E373, AllGProjNames, 0), MATCH(AC$2, AllGProjCats, 0) + 1), ""),
  val, IF(skater &lt;&gt; "", skater, goalie),
  IF(OR($E373="", AC$2="", val=""), "", val * AC$1)
)</f>
        <v/>
      </c>
      <c r="AD373" s="34" t="str">
        <f t="shared" si="373"/>
        <v/>
      </c>
      <c r="AE373" s="34" t="str">
        <f t="shared" si="373"/>
        <v/>
      </c>
      <c r="AF373" s="34" t="str">
        <f t="shared" si="373"/>
        <v/>
      </c>
      <c r="AG373" s="34" t="str">
        <f t="shared" si="373"/>
        <v/>
      </c>
      <c r="AH373" s="34" t="str">
        <f t="shared" si="373"/>
        <v/>
      </c>
      <c r="AI373" s="34" t="str">
        <f t="shared" si="373"/>
        <v/>
      </c>
      <c r="AJ373" s="34" t="str">
        <f t="shared" si="373"/>
        <v/>
      </c>
      <c r="AK373" s="34" t="str">
        <f t="shared" si="373"/>
        <v/>
      </c>
      <c r="AL373" s="34" t="str">
        <f t="shared" si="373"/>
        <v/>
      </c>
      <c r="AM373" s="34" t="str">
        <f t="shared" si="373"/>
        <v/>
      </c>
      <c r="AN373" s="34" t="str">
        <f t="shared" si="373"/>
        <v/>
      </c>
      <c r="AO373" s="34" t="str">
        <f t="shared" si="373"/>
        <v/>
      </c>
      <c r="AP373" s="34" t="str">
        <f t="shared" si="373"/>
        <v/>
      </c>
      <c r="AQ373" s="76" t="s">
        <v>412</v>
      </c>
      <c r="AR373" s="77"/>
      <c r="AS373" s="77"/>
      <c r="AT373" s="77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77"/>
      <c r="BJ373" s="77"/>
      <c r="BK373" s="77"/>
      <c r="BL373" s="77"/>
      <c r="BM373" s="78"/>
    </row>
    <row r="374">
      <c r="A374" s="79" t="s">
        <v>69</v>
      </c>
      <c r="B374" s="79" t="b">
        <v>0</v>
      </c>
      <c r="C374" s="79" t="b">
        <f t="shared" si="3"/>
        <v>1</v>
      </c>
      <c r="D374" s="80" t="s">
        <v>502</v>
      </c>
      <c r="E374" s="81" t="s">
        <v>2023</v>
      </c>
      <c r="F374" s="82" t="s">
        <v>1706</v>
      </c>
      <c r="G374" s="35" t="s">
        <v>832</v>
      </c>
      <c r="H374" s="37">
        <v>-7.427031402416583</v>
      </c>
      <c r="I374" s="37">
        <v>-1.9848937936887259</v>
      </c>
      <c r="J374" s="83" t="s">
        <v>2024</v>
      </c>
      <c r="K374" s="35">
        <v>37.8</v>
      </c>
      <c r="L374" s="79">
        <v>75.25750000000001</v>
      </c>
      <c r="M374" s="84">
        <v>31.0</v>
      </c>
      <c r="N374" s="84">
        <v>7.0</v>
      </c>
      <c r="O374" s="85">
        <v>-0.2222860693538207</v>
      </c>
      <c r="P374" s="85">
        <v>0.6443865689968311</v>
      </c>
      <c r="Q374" s="85">
        <v>-2.2465890824273234</v>
      </c>
      <c r="R374" s="85">
        <v>-1.8101167974964478</v>
      </c>
      <c r="S374" s="85">
        <v>0.7661105005946058</v>
      </c>
      <c r="T374" s="85">
        <v>-0.7871777123417198</v>
      </c>
      <c r="U374" s="85">
        <v>0.4033172003314896</v>
      </c>
      <c r="V374" s="85">
        <v>0.0</v>
      </c>
      <c r="W374" s="85">
        <v>-2.1905193522945403</v>
      </c>
      <c r="X374" s="85">
        <v>-1.9841566584256571</v>
      </c>
      <c r="Y374" s="50" t="s">
        <v>69</v>
      </c>
      <c r="Z374" s="50" t="s">
        <v>69</v>
      </c>
      <c r="AA374" s="50" t="s">
        <v>69</v>
      </c>
      <c r="AB374" s="50" t="s">
        <v>69</v>
      </c>
      <c r="AC374" s="34" t="str">
        <f t="shared" ref="AC374:AP374" si="374">LET(
  skater, IFERROR(INDEX(AllProj, MATCH($E374, AllProjNames, 0), MATCH(AC$2, AllProjCats, 0) + 1), ""),
  goalie, IFERROR(INDEX(AllGProj, MATCH($E374, AllGProjNames, 0), MATCH(AC$2, AllGProjCats, 0) + 1), ""),
  val, IF(skater &lt;&gt; "", skater, goalie),
  IF(OR($E374="", AC$2="", val=""), "", val * AC$1)
)</f>
        <v/>
      </c>
      <c r="AD374" s="34" t="str">
        <f t="shared" si="374"/>
        <v/>
      </c>
      <c r="AE374" s="34" t="str">
        <f t="shared" si="374"/>
        <v/>
      </c>
      <c r="AF374" s="34" t="str">
        <f t="shared" si="374"/>
        <v/>
      </c>
      <c r="AG374" s="34" t="str">
        <f t="shared" si="374"/>
        <v/>
      </c>
      <c r="AH374" s="34" t="str">
        <f t="shared" si="374"/>
        <v/>
      </c>
      <c r="AI374" s="34" t="str">
        <f t="shared" si="374"/>
        <v/>
      </c>
      <c r="AJ374" s="34" t="str">
        <f t="shared" si="374"/>
        <v/>
      </c>
      <c r="AK374" s="34" t="str">
        <f t="shared" si="374"/>
        <v/>
      </c>
      <c r="AL374" s="34" t="str">
        <f t="shared" si="374"/>
        <v/>
      </c>
      <c r="AM374" s="34" t="str">
        <f t="shared" si="374"/>
        <v/>
      </c>
      <c r="AN374" s="34" t="str">
        <f t="shared" si="374"/>
        <v/>
      </c>
      <c r="AO374" s="34" t="str">
        <f t="shared" si="374"/>
        <v/>
      </c>
      <c r="AP374" s="34" t="str">
        <f t="shared" si="374"/>
        <v/>
      </c>
      <c r="AQ374" s="76" t="s">
        <v>413</v>
      </c>
      <c r="AR374" s="77"/>
      <c r="AS374" s="77"/>
      <c r="AT374" s="77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77"/>
      <c r="BJ374" s="77"/>
      <c r="BK374" s="77"/>
      <c r="BL374" s="77"/>
      <c r="BM374" s="78"/>
    </row>
    <row r="375">
      <c r="A375" s="41">
        <v>2.857142857142857</v>
      </c>
      <c r="B375" s="41" t="b">
        <v>0</v>
      </c>
      <c r="C375" s="41" t="b">
        <f t="shared" si="3"/>
        <v>0</v>
      </c>
      <c r="D375" s="42" t="s">
        <v>1565</v>
      </c>
      <c r="E375" s="43" t="s">
        <v>1376</v>
      </c>
      <c r="F375" s="44" t="s">
        <v>1299</v>
      </c>
      <c r="G375" s="29" t="s">
        <v>6</v>
      </c>
      <c r="H375" s="32">
        <v>-7.43900875879941</v>
      </c>
      <c r="I375" s="32">
        <v>-3.1007857803292964</v>
      </c>
      <c r="J375" s="45" t="s">
        <v>2025</v>
      </c>
      <c r="K375" s="29">
        <v>30.7</v>
      </c>
      <c r="L375" s="41">
        <v>34.0</v>
      </c>
      <c r="M375" s="46">
        <v>31.0</v>
      </c>
      <c r="N375" s="46">
        <v>7.0</v>
      </c>
      <c r="O375" s="94" t="s">
        <v>69</v>
      </c>
      <c r="P375" s="94" t="s">
        <v>69</v>
      </c>
      <c r="Q375" s="94" t="s">
        <v>69</v>
      </c>
      <c r="R375" s="94" t="s">
        <v>69</v>
      </c>
      <c r="S375" s="94" t="s">
        <v>69</v>
      </c>
      <c r="T375" s="94" t="s">
        <v>69</v>
      </c>
      <c r="U375" s="94" t="s">
        <v>69</v>
      </c>
      <c r="V375" s="94" t="s">
        <v>69</v>
      </c>
      <c r="W375" s="94" t="s">
        <v>69</v>
      </c>
      <c r="X375" s="94" t="s">
        <v>69</v>
      </c>
      <c r="Y375" s="95">
        <v>-1.8222753272731007</v>
      </c>
      <c r="Z375" s="95">
        <v>-3.6831947277836505</v>
      </c>
      <c r="AA375" s="95">
        <v>-1.9335387037426588</v>
      </c>
      <c r="AB375" s="95">
        <v>0.0</v>
      </c>
      <c r="AC375" s="34" t="str">
        <f t="shared" ref="AC375:AP375" si="375">LET(
  skater, IFERROR(INDEX(AllProj, MATCH($E375, AllProjNames, 0), MATCH(AC$2, AllProjCats, 0) + 1), ""),
  goalie, IFERROR(INDEX(AllGProj, MATCH($E375, AllGProjNames, 0), MATCH(AC$2, AllGProjCats, 0) + 1), ""),
  val, IF(skater &lt;&gt; "", skater, goalie),
  IF(OR($E375="", AC$2="", val=""), "", val * AC$1)
)</f>
        <v/>
      </c>
      <c r="AD375" s="34" t="str">
        <f t="shared" si="375"/>
        <v/>
      </c>
      <c r="AE375" s="34" t="str">
        <f t="shared" si="375"/>
        <v/>
      </c>
      <c r="AF375" s="34" t="str">
        <f t="shared" si="375"/>
        <v/>
      </c>
      <c r="AG375" s="34" t="str">
        <f t="shared" si="375"/>
        <v/>
      </c>
      <c r="AH375" s="34" t="str">
        <f t="shared" si="375"/>
        <v/>
      </c>
      <c r="AI375" s="34" t="str">
        <f t="shared" si="375"/>
        <v/>
      </c>
      <c r="AJ375" s="34" t="str">
        <f t="shared" si="375"/>
        <v/>
      </c>
      <c r="AK375" s="34" t="str">
        <f t="shared" si="375"/>
        <v/>
      </c>
      <c r="AL375" s="34" t="str">
        <f t="shared" si="375"/>
        <v/>
      </c>
      <c r="AM375" s="34" t="str">
        <f t="shared" si="375"/>
        <v/>
      </c>
      <c r="AN375" s="34" t="str">
        <f t="shared" si="375"/>
        <v/>
      </c>
      <c r="AO375" s="34" t="str">
        <f t="shared" si="375"/>
        <v/>
      </c>
      <c r="AP375" s="34" t="str">
        <f t="shared" si="375"/>
        <v/>
      </c>
      <c r="AQ375" s="76" t="s">
        <v>414</v>
      </c>
      <c r="AR375" s="77"/>
      <c r="AS375" s="77"/>
      <c r="AT375" s="77"/>
      <c r="AU375" s="77"/>
      <c r="AV375" s="77"/>
      <c r="AW375" s="77"/>
      <c r="AX375" s="77"/>
      <c r="AY375" s="77"/>
      <c r="AZ375" s="77"/>
      <c r="BA375" s="77"/>
      <c r="BB375" s="77"/>
      <c r="BC375" s="77"/>
      <c r="BD375" s="77"/>
      <c r="BE375" s="77"/>
      <c r="BF375" s="77"/>
      <c r="BG375" s="77"/>
      <c r="BH375" s="77"/>
      <c r="BI375" s="77"/>
      <c r="BJ375" s="77"/>
      <c r="BK375" s="77"/>
      <c r="BL375" s="77"/>
      <c r="BM375" s="78"/>
    </row>
    <row r="376">
      <c r="A376" s="79">
        <v>2.5714285714285716</v>
      </c>
      <c r="B376" s="79" t="b">
        <v>0</v>
      </c>
      <c r="C376" s="79" t="b">
        <f t="shared" si="3"/>
        <v>0</v>
      </c>
      <c r="D376" s="80" t="s">
        <v>1565</v>
      </c>
      <c r="E376" s="81" t="s">
        <v>1008</v>
      </c>
      <c r="F376" s="82" t="s">
        <v>1464</v>
      </c>
      <c r="G376" s="35" t="s">
        <v>829</v>
      </c>
      <c r="H376" s="37">
        <v>-7.474767936089062</v>
      </c>
      <c r="I376" s="37">
        <v>-2.032630327361205</v>
      </c>
      <c r="J376" s="83" t="s">
        <v>2026</v>
      </c>
      <c r="K376" s="35">
        <v>24.9</v>
      </c>
      <c r="L376" s="79">
        <v>83.77</v>
      </c>
      <c r="M376" s="84">
        <v>24.0</v>
      </c>
      <c r="N376" s="84">
        <v>7.0</v>
      </c>
      <c r="O376" s="85">
        <v>-0.0386025572762669</v>
      </c>
      <c r="P376" s="85">
        <v>-0.9544916733901407</v>
      </c>
      <c r="Q376" s="85">
        <v>-1.1943841447828738</v>
      </c>
      <c r="R376" s="85">
        <v>-1.2902990365989464</v>
      </c>
      <c r="S376" s="85">
        <v>-0.8685306235399224</v>
      </c>
      <c r="T376" s="85">
        <v>0.28798484930653206</v>
      </c>
      <c r="U376" s="85">
        <v>-0.37207217013073335</v>
      </c>
      <c r="V376" s="85">
        <v>0.0</v>
      </c>
      <c r="W376" s="85">
        <v>-1.9251860426401863</v>
      </c>
      <c r="X376" s="85">
        <v>-1.119186537036524</v>
      </c>
      <c r="Y376" s="50" t="s">
        <v>69</v>
      </c>
      <c r="Z376" s="50" t="s">
        <v>69</v>
      </c>
      <c r="AA376" s="50" t="s">
        <v>69</v>
      </c>
      <c r="AB376" s="50" t="s">
        <v>69</v>
      </c>
      <c r="AC376" s="34" t="str">
        <f t="shared" ref="AC376:AP376" si="376">LET(
  skater, IFERROR(INDEX(AllProj, MATCH($E376, AllProjNames, 0), MATCH(AC$2, AllProjCats, 0) + 1), ""),
  goalie, IFERROR(INDEX(AllGProj, MATCH($E376, AllGProjNames, 0), MATCH(AC$2, AllGProjCats, 0) + 1), ""),
  val, IF(skater &lt;&gt; "", skater, goalie),
  IF(OR($E376="", AC$2="", val=""), "", val * AC$1)
)</f>
        <v/>
      </c>
      <c r="AD376" s="34" t="str">
        <f t="shared" si="376"/>
        <v/>
      </c>
      <c r="AE376" s="34" t="str">
        <f t="shared" si="376"/>
        <v/>
      </c>
      <c r="AF376" s="34" t="str">
        <f t="shared" si="376"/>
        <v/>
      </c>
      <c r="AG376" s="34" t="str">
        <f t="shared" si="376"/>
        <v/>
      </c>
      <c r="AH376" s="34" t="str">
        <f t="shared" si="376"/>
        <v/>
      </c>
      <c r="AI376" s="34" t="str">
        <f t="shared" si="376"/>
        <v/>
      </c>
      <c r="AJ376" s="34" t="str">
        <f t="shared" si="376"/>
        <v/>
      </c>
      <c r="AK376" s="34" t="str">
        <f t="shared" si="376"/>
        <v/>
      </c>
      <c r="AL376" s="34" t="str">
        <f t="shared" si="376"/>
        <v/>
      </c>
      <c r="AM376" s="34" t="str">
        <f t="shared" si="376"/>
        <v/>
      </c>
      <c r="AN376" s="34" t="str">
        <f t="shared" si="376"/>
        <v/>
      </c>
      <c r="AO376" s="34" t="str">
        <f t="shared" si="376"/>
        <v/>
      </c>
      <c r="AP376" s="34" t="str">
        <f t="shared" si="376"/>
        <v/>
      </c>
      <c r="AQ376" s="76" t="s">
        <v>415</v>
      </c>
      <c r="AR376" s="77"/>
      <c r="AS376" s="77"/>
      <c r="AT376" s="77"/>
      <c r="AU376" s="77"/>
      <c r="AV376" s="77"/>
      <c r="AW376" s="77"/>
      <c r="AX376" s="77"/>
      <c r="AY376" s="77"/>
      <c r="AZ376" s="77"/>
      <c r="BA376" s="77"/>
      <c r="BB376" s="77"/>
      <c r="BC376" s="77"/>
      <c r="BD376" s="77"/>
      <c r="BE376" s="77"/>
      <c r="BF376" s="77"/>
      <c r="BG376" s="77"/>
      <c r="BH376" s="77"/>
      <c r="BI376" s="77"/>
      <c r="BJ376" s="77"/>
      <c r="BK376" s="77"/>
      <c r="BL376" s="77"/>
      <c r="BM376" s="78"/>
    </row>
    <row r="377">
      <c r="A377" s="41">
        <v>2.4285714285714284</v>
      </c>
      <c r="B377" s="41" t="b">
        <v>0</v>
      </c>
      <c r="C377" s="41" t="b">
        <f t="shared" si="3"/>
        <v>0</v>
      </c>
      <c r="D377" s="42" t="s">
        <v>1565</v>
      </c>
      <c r="E377" s="43" t="s">
        <v>875</v>
      </c>
      <c r="F377" s="44" t="s">
        <v>1299</v>
      </c>
      <c r="G377" s="29" t="s">
        <v>837</v>
      </c>
      <c r="H377" s="32">
        <v>-7.483981784428135</v>
      </c>
      <c r="I377" s="32">
        <v>-1.9541230124992337</v>
      </c>
      <c r="J377" s="45" t="s">
        <v>2027</v>
      </c>
      <c r="K377" s="29">
        <v>35.1</v>
      </c>
      <c r="L377" s="41">
        <v>81.56558823529411</v>
      </c>
      <c r="M377" s="46">
        <v>31.0</v>
      </c>
      <c r="N377" s="46">
        <v>7.0</v>
      </c>
      <c r="O377" s="47">
        <v>-1.9810647079448602</v>
      </c>
      <c r="P377" s="47">
        <v>-0.06236440418468236</v>
      </c>
      <c r="Q377" s="47">
        <v>-2.186830861026301</v>
      </c>
      <c r="R377" s="47">
        <v>-0.46836688797820586</v>
      </c>
      <c r="S377" s="47">
        <v>-0.027802925589553405</v>
      </c>
      <c r="T377" s="47">
        <v>-0.762433882219846</v>
      </c>
      <c r="U377" s="47">
        <v>-1.3118460835730914</v>
      </c>
      <c r="V377" s="47">
        <v>0.0</v>
      </c>
      <c r="W377" s="47">
        <v>-0.2584455384309737</v>
      </c>
      <c r="X377" s="47">
        <v>-0.4248264934806191</v>
      </c>
      <c r="Y377" s="50" t="s">
        <v>69</v>
      </c>
      <c r="Z377" s="50" t="s">
        <v>69</v>
      </c>
      <c r="AA377" s="50" t="s">
        <v>69</v>
      </c>
      <c r="AB377" s="50" t="s">
        <v>69</v>
      </c>
      <c r="AC377" s="34" t="str">
        <f t="shared" ref="AC377:AP377" si="377">LET(
  skater, IFERROR(INDEX(AllProj, MATCH($E377, AllProjNames, 0), MATCH(AC$2, AllProjCats, 0) + 1), ""),
  goalie, IFERROR(INDEX(AllGProj, MATCH($E377, AllGProjNames, 0), MATCH(AC$2, AllGProjCats, 0) + 1), ""),
  val, IF(skater &lt;&gt; "", skater, goalie),
  IF(OR($E377="", AC$2="", val=""), "", val * AC$1)
)</f>
        <v/>
      </c>
      <c r="AD377" s="34" t="str">
        <f t="shared" si="377"/>
        <v/>
      </c>
      <c r="AE377" s="34" t="str">
        <f t="shared" si="377"/>
        <v/>
      </c>
      <c r="AF377" s="34" t="str">
        <f t="shared" si="377"/>
        <v/>
      </c>
      <c r="AG377" s="34" t="str">
        <f t="shared" si="377"/>
        <v/>
      </c>
      <c r="AH377" s="34" t="str">
        <f t="shared" si="377"/>
        <v/>
      </c>
      <c r="AI377" s="34" t="str">
        <f t="shared" si="377"/>
        <v/>
      </c>
      <c r="AJ377" s="34" t="str">
        <f t="shared" si="377"/>
        <v/>
      </c>
      <c r="AK377" s="34" t="str">
        <f t="shared" si="377"/>
        <v/>
      </c>
      <c r="AL377" s="34" t="str">
        <f t="shared" si="377"/>
        <v/>
      </c>
      <c r="AM377" s="34" t="str">
        <f t="shared" si="377"/>
        <v/>
      </c>
      <c r="AN377" s="34" t="str">
        <f t="shared" si="377"/>
        <v/>
      </c>
      <c r="AO377" s="34" t="str">
        <f t="shared" si="377"/>
        <v/>
      </c>
      <c r="AP377" s="34" t="str">
        <f t="shared" si="377"/>
        <v/>
      </c>
      <c r="AQ377" s="76" t="s">
        <v>416</v>
      </c>
      <c r="AR377" s="77"/>
      <c r="AS377" s="77"/>
      <c r="AT377" s="77"/>
      <c r="AU377" s="77"/>
      <c r="AV377" s="77"/>
      <c r="AW377" s="77"/>
      <c r="AX377" s="77"/>
      <c r="AY377" s="77"/>
      <c r="AZ377" s="77"/>
      <c r="BA377" s="77"/>
      <c r="BB377" s="77"/>
      <c r="BC377" s="77"/>
      <c r="BD377" s="77"/>
      <c r="BE377" s="77"/>
      <c r="BF377" s="77"/>
      <c r="BG377" s="77"/>
      <c r="BH377" s="77"/>
      <c r="BI377" s="77"/>
      <c r="BJ377" s="77"/>
      <c r="BK377" s="77"/>
      <c r="BL377" s="77"/>
      <c r="BM377" s="78"/>
    </row>
    <row r="378">
      <c r="A378" s="79" t="s">
        <v>69</v>
      </c>
      <c r="B378" s="79" t="b">
        <v>0</v>
      </c>
      <c r="C378" s="79" t="b">
        <f t="shared" si="3"/>
        <v>1</v>
      </c>
      <c r="D378" s="80" t="s">
        <v>502</v>
      </c>
      <c r="E378" s="81" t="s">
        <v>2028</v>
      </c>
      <c r="F378" s="82" t="s">
        <v>1594</v>
      </c>
      <c r="G378" s="35" t="s">
        <v>832</v>
      </c>
      <c r="H378" s="37">
        <v>-7.492564518388992</v>
      </c>
      <c r="I378" s="37">
        <v>-2.0504269096611347</v>
      </c>
      <c r="J378" s="83" t="s">
        <v>2029</v>
      </c>
      <c r="K378" s="35">
        <v>36.3</v>
      </c>
      <c r="L378" s="79">
        <v>79.13676470588236</v>
      </c>
      <c r="M378" s="84">
        <v>26.0</v>
      </c>
      <c r="N378" s="84">
        <v>6.0</v>
      </c>
      <c r="O378" s="85">
        <v>0.19281195763504544</v>
      </c>
      <c r="P378" s="85">
        <v>-0.29930499997331217</v>
      </c>
      <c r="Q378" s="85">
        <v>-1.8969617094823847</v>
      </c>
      <c r="R378" s="85">
        <v>-1.3000000415394644</v>
      </c>
      <c r="S378" s="85">
        <v>-0.05668542948938876</v>
      </c>
      <c r="T378" s="85">
        <v>-0.7741064383455981</v>
      </c>
      <c r="U378" s="85">
        <v>-0.13841628711178294</v>
      </c>
      <c r="V378" s="85">
        <v>0.0</v>
      </c>
      <c r="W378" s="85">
        <v>-1.725576949309927</v>
      </c>
      <c r="X378" s="85">
        <v>-1.49432462077218</v>
      </c>
      <c r="Y378" s="50" t="s">
        <v>69</v>
      </c>
      <c r="Z378" s="50" t="s">
        <v>69</v>
      </c>
      <c r="AA378" s="50" t="s">
        <v>69</v>
      </c>
      <c r="AB378" s="50" t="s">
        <v>69</v>
      </c>
      <c r="AC378" s="34" t="str">
        <f t="shared" ref="AC378:AP378" si="378">LET(
  skater, IFERROR(INDEX(AllProj, MATCH($E378, AllProjNames, 0), MATCH(AC$2, AllProjCats, 0) + 1), ""),
  goalie, IFERROR(INDEX(AllGProj, MATCH($E378, AllGProjNames, 0), MATCH(AC$2, AllGProjCats, 0) + 1), ""),
  val, IF(skater &lt;&gt; "", skater, goalie),
  IF(OR($E378="", AC$2="", val=""), "", val * AC$1)
)</f>
        <v/>
      </c>
      <c r="AD378" s="34" t="str">
        <f t="shared" si="378"/>
        <v/>
      </c>
      <c r="AE378" s="34" t="str">
        <f t="shared" si="378"/>
        <v/>
      </c>
      <c r="AF378" s="34" t="str">
        <f t="shared" si="378"/>
        <v/>
      </c>
      <c r="AG378" s="34" t="str">
        <f t="shared" si="378"/>
        <v/>
      </c>
      <c r="AH378" s="34" t="str">
        <f t="shared" si="378"/>
        <v/>
      </c>
      <c r="AI378" s="34" t="str">
        <f t="shared" si="378"/>
        <v/>
      </c>
      <c r="AJ378" s="34" t="str">
        <f t="shared" si="378"/>
        <v/>
      </c>
      <c r="AK378" s="34" t="str">
        <f t="shared" si="378"/>
        <v/>
      </c>
      <c r="AL378" s="34" t="str">
        <f t="shared" si="378"/>
        <v/>
      </c>
      <c r="AM378" s="34" t="str">
        <f t="shared" si="378"/>
        <v/>
      </c>
      <c r="AN378" s="34" t="str">
        <f t="shared" si="378"/>
        <v/>
      </c>
      <c r="AO378" s="34" t="str">
        <f t="shared" si="378"/>
        <v/>
      </c>
      <c r="AP378" s="34" t="str">
        <f t="shared" si="378"/>
        <v/>
      </c>
      <c r="AQ378" s="76" t="s">
        <v>417</v>
      </c>
      <c r="AR378" s="77"/>
      <c r="AS378" s="77"/>
      <c r="AT378" s="77"/>
      <c r="AU378" s="77"/>
      <c r="AV378" s="77"/>
      <c r="AW378" s="77"/>
      <c r="AX378" s="77"/>
      <c r="AY378" s="77"/>
      <c r="AZ378" s="77"/>
      <c r="BA378" s="77"/>
      <c r="BB378" s="77"/>
      <c r="BC378" s="77"/>
      <c r="BD378" s="77"/>
      <c r="BE378" s="77"/>
      <c r="BF378" s="77"/>
      <c r="BG378" s="77"/>
      <c r="BH378" s="77"/>
      <c r="BI378" s="77"/>
      <c r="BJ378" s="77"/>
      <c r="BK378" s="77"/>
      <c r="BL378" s="77"/>
      <c r="BM378" s="78"/>
    </row>
    <row r="379">
      <c r="A379" s="41">
        <v>2.642857142857143</v>
      </c>
      <c r="B379" s="41" t="b">
        <v>0</v>
      </c>
      <c r="C379" s="41" t="b">
        <f t="shared" si="3"/>
        <v>0</v>
      </c>
      <c r="D379" s="42" t="s">
        <v>1565</v>
      </c>
      <c r="E379" s="43" t="s">
        <v>1180</v>
      </c>
      <c r="F379" s="44" t="s">
        <v>1451</v>
      </c>
      <c r="G379" s="29" t="s">
        <v>837</v>
      </c>
      <c r="H379" s="32">
        <v>-7.49322925772379</v>
      </c>
      <c r="I379" s="32">
        <v>-1.963370485794889</v>
      </c>
      <c r="J379" s="45" t="s">
        <v>2030</v>
      </c>
      <c r="K379" s="29">
        <v>35.4</v>
      </c>
      <c r="L379" s="41">
        <v>81.0</v>
      </c>
      <c r="M379" s="46">
        <v>29.0</v>
      </c>
      <c r="N379" s="46">
        <v>7.0</v>
      </c>
      <c r="O379" s="47">
        <v>-2.074926287978177</v>
      </c>
      <c r="P379" s="47">
        <v>-1.750564550614446</v>
      </c>
      <c r="Q379" s="47">
        <v>-2.663616655306356</v>
      </c>
      <c r="R379" s="47">
        <v>0.8759228142913498</v>
      </c>
      <c r="S379" s="47">
        <v>-1.6265985574421018</v>
      </c>
      <c r="T379" s="47">
        <v>-0.7871777123417198</v>
      </c>
      <c r="U379" s="47">
        <v>-1.5874544247252325</v>
      </c>
      <c r="V379" s="47">
        <v>0.0</v>
      </c>
      <c r="W379" s="47">
        <v>0.3808416648936588</v>
      </c>
      <c r="X379" s="47">
        <v>1.740344451499235</v>
      </c>
      <c r="Y379" s="50" t="s">
        <v>69</v>
      </c>
      <c r="Z379" s="50" t="s">
        <v>69</v>
      </c>
      <c r="AA379" s="50" t="s">
        <v>69</v>
      </c>
      <c r="AB379" s="50" t="s">
        <v>69</v>
      </c>
      <c r="AC379" s="34" t="str">
        <f t="shared" ref="AC379:AP379" si="379">LET(
  skater, IFERROR(INDEX(AllProj, MATCH($E379, AllProjNames, 0), MATCH(AC$2, AllProjCats, 0) + 1), ""),
  goalie, IFERROR(INDEX(AllGProj, MATCH($E379, AllGProjNames, 0), MATCH(AC$2, AllGProjCats, 0) + 1), ""),
  val, IF(skater &lt;&gt; "", skater, goalie),
  IF(OR($E379="", AC$2="", val=""), "", val * AC$1)
)</f>
        <v/>
      </c>
      <c r="AD379" s="34" t="str">
        <f t="shared" si="379"/>
        <v/>
      </c>
      <c r="AE379" s="34" t="str">
        <f t="shared" si="379"/>
        <v/>
      </c>
      <c r="AF379" s="34" t="str">
        <f t="shared" si="379"/>
        <v/>
      </c>
      <c r="AG379" s="34" t="str">
        <f t="shared" si="379"/>
        <v/>
      </c>
      <c r="AH379" s="34" t="str">
        <f t="shared" si="379"/>
        <v/>
      </c>
      <c r="AI379" s="34" t="str">
        <f t="shared" si="379"/>
        <v/>
      </c>
      <c r="AJ379" s="34" t="str">
        <f t="shared" si="379"/>
        <v/>
      </c>
      <c r="AK379" s="34" t="str">
        <f t="shared" si="379"/>
        <v/>
      </c>
      <c r="AL379" s="34" t="str">
        <f t="shared" si="379"/>
        <v/>
      </c>
      <c r="AM379" s="34" t="str">
        <f t="shared" si="379"/>
        <v/>
      </c>
      <c r="AN379" s="34" t="str">
        <f t="shared" si="379"/>
        <v/>
      </c>
      <c r="AO379" s="34" t="str">
        <f t="shared" si="379"/>
        <v/>
      </c>
      <c r="AP379" s="34" t="str">
        <f t="shared" si="379"/>
        <v/>
      </c>
      <c r="AQ379" s="76" t="s">
        <v>418</v>
      </c>
      <c r="AR379" s="77"/>
      <c r="AS379" s="77"/>
      <c r="AT379" s="77"/>
      <c r="AU379" s="77"/>
      <c r="AV379" s="77"/>
      <c r="AW379" s="77"/>
      <c r="AX379" s="77"/>
      <c r="AY379" s="77"/>
      <c r="AZ379" s="77"/>
      <c r="BA379" s="77"/>
      <c r="BB379" s="77"/>
      <c r="BC379" s="77"/>
      <c r="BD379" s="77"/>
      <c r="BE379" s="77"/>
      <c r="BF379" s="77"/>
      <c r="BG379" s="77"/>
      <c r="BH379" s="77"/>
      <c r="BI379" s="77"/>
      <c r="BJ379" s="77"/>
      <c r="BK379" s="77"/>
      <c r="BL379" s="77"/>
      <c r="BM379" s="78"/>
    </row>
    <row r="380">
      <c r="A380" s="79" t="s">
        <v>69</v>
      </c>
      <c r="B380" s="79" t="b">
        <v>0</v>
      </c>
      <c r="C380" s="79" t="b">
        <f t="shared" si="3"/>
        <v>1</v>
      </c>
      <c r="D380" s="80" t="s">
        <v>773</v>
      </c>
      <c r="E380" s="81" t="s">
        <v>2031</v>
      </c>
      <c r="F380" s="82" t="s">
        <v>1451</v>
      </c>
      <c r="G380" s="35" t="s">
        <v>830</v>
      </c>
      <c r="H380" s="37">
        <v>-7.505314925739613</v>
      </c>
      <c r="I380" s="37">
        <v>-2.1174348008268744</v>
      </c>
      <c r="J380" s="83" t="s">
        <v>2032</v>
      </c>
      <c r="K380" s="35">
        <v>32.2</v>
      </c>
      <c r="L380" s="79">
        <v>81.0619642857143</v>
      </c>
      <c r="M380" s="84">
        <v>29.0</v>
      </c>
      <c r="N380" s="84">
        <v>7.0</v>
      </c>
      <c r="O380" s="85">
        <v>-1.1129469756039396</v>
      </c>
      <c r="P380" s="85">
        <v>-0.3986734454509176</v>
      </c>
      <c r="Q380" s="85">
        <v>-0.9180597676769606</v>
      </c>
      <c r="R380" s="85">
        <v>-1.40750441749052</v>
      </c>
      <c r="S380" s="85">
        <v>-0.8906051563034001</v>
      </c>
      <c r="T380" s="85">
        <v>-0.1720943642753436</v>
      </c>
      <c r="U380" s="85">
        <v>-1.1773300682646657</v>
      </c>
      <c r="V380" s="85">
        <v>1.3468271697154526</v>
      </c>
      <c r="W380" s="85">
        <v>-1.8502287637724566</v>
      </c>
      <c r="X380" s="85">
        <v>-0.9246991366168618</v>
      </c>
      <c r="Y380" s="50" t="s">
        <v>69</v>
      </c>
      <c r="Z380" s="50" t="s">
        <v>69</v>
      </c>
      <c r="AA380" s="50" t="s">
        <v>69</v>
      </c>
      <c r="AB380" s="50" t="s">
        <v>69</v>
      </c>
      <c r="AC380" s="34" t="str">
        <f t="shared" ref="AC380:AP380" si="380">LET(
  skater, IFERROR(INDEX(AllProj, MATCH($E380, AllProjNames, 0), MATCH(AC$2, AllProjCats, 0) + 1), ""),
  goalie, IFERROR(INDEX(AllGProj, MATCH($E380, AllGProjNames, 0), MATCH(AC$2, AllGProjCats, 0) + 1), ""),
  val, IF(skater &lt;&gt; "", skater, goalie),
  IF(OR($E380="", AC$2="", val=""), "", val * AC$1)
)</f>
        <v/>
      </c>
      <c r="AD380" s="34" t="str">
        <f t="shared" si="380"/>
        <v/>
      </c>
      <c r="AE380" s="34" t="str">
        <f t="shared" si="380"/>
        <v/>
      </c>
      <c r="AF380" s="34" t="str">
        <f t="shared" si="380"/>
        <v/>
      </c>
      <c r="AG380" s="34" t="str">
        <f t="shared" si="380"/>
        <v/>
      </c>
      <c r="AH380" s="34" t="str">
        <f t="shared" si="380"/>
        <v/>
      </c>
      <c r="AI380" s="34" t="str">
        <f t="shared" si="380"/>
        <v/>
      </c>
      <c r="AJ380" s="34" t="str">
        <f t="shared" si="380"/>
        <v/>
      </c>
      <c r="AK380" s="34" t="str">
        <f t="shared" si="380"/>
        <v/>
      </c>
      <c r="AL380" s="34" t="str">
        <f t="shared" si="380"/>
        <v/>
      </c>
      <c r="AM380" s="34" t="str">
        <f t="shared" si="380"/>
        <v/>
      </c>
      <c r="AN380" s="34" t="str">
        <f t="shared" si="380"/>
        <v/>
      </c>
      <c r="AO380" s="34" t="str">
        <f t="shared" si="380"/>
        <v/>
      </c>
      <c r="AP380" s="34" t="str">
        <f t="shared" si="380"/>
        <v/>
      </c>
      <c r="AQ380" s="76" t="s">
        <v>419</v>
      </c>
      <c r="AR380" s="77"/>
      <c r="AS380" s="77"/>
      <c r="AT380" s="77"/>
      <c r="AU380" s="77"/>
      <c r="AV380" s="77"/>
      <c r="AW380" s="77"/>
      <c r="AX380" s="77"/>
      <c r="AY380" s="77"/>
      <c r="AZ380" s="77"/>
      <c r="BA380" s="77"/>
      <c r="BB380" s="77"/>
      <c r="BC380" s="77"/>
      <c r="BD380" s="77"/>
      <c r="BE380" s="77"/>
      <c r="BF380" s="77"/>
      <c r="BG380" s="77"/>
      <c r="BH380" s="77"/>
      <c r="BI380" s="77"/>
      <c r="BJ380" s="77"/>
      <c r="BK380" s="77"/>
      <c r="BL380" s="77"/>
      <c r="BM380" s="78"/>
    </row>
    <row r="381">
      <c r="A381" s="41" t="s">
        <v>69</v>
      </c>
      <c r="B381" s="41" t="b">
        <v>0</v>
      </c>
      <c r="C381" s="41" t="b">
        <f t="shared" si="3"/>
        <v>1</v>
      </c>
      <c r="D381" s="42" t="s">
        <v>22</v>
      </c>
      <c r="E381" s="43" t="s">
        <v>2033</v>
      </c>
      <c r="F381" s="44" t="s">
        <v>1299</v>
      </c>
      <c r="G381" s="29" t="s">
        <v>284</v>
      </c>
      <c r="H381" s="32">
        <v>-7.538143036936063</v>
      </c>
      <c r="I381" s="32">
        <v>-2.5000770167529778</v>
      </c>
      <c r="J381" s="45" t="s">
        <v>2034</v>
      </c>
      <c r="K381" s="29">
        <v>19.6</v>
      </c>
      <c r="L381" s="41">
        <v>78.0</v>
      </c>
      <c r="M381" s="46">
        <v>31.0</v>
      </c>
      <c r="N381" s="46">
        <v>7.0</v>
      </c>
      <c r="O381" s="47">
        <v>0.12457114618162979</v>
      </c>
      <c r="P381" s="47">
        <v>-0.3381012984568023</v>
      </c>
      <c r="Q381" s="47">
        <v>-1.4978892145970248</v>
      </c>
      <c r="R381" s="47">
        <v>-1.4971167454247405</v>
      </c>
      <c r="S381" s="47">
        <v>-0.0442587856593719</v>
      </c>
      <c r="T381" s="47">
        <v>-0.784365563134223</v>
      </c>
      <c r="U381" s="47">
        <v>-0.6928545186462908</v>
      </c>
      <c r="V381" s="47">
        <v>0.4798509908878788</v>
      </c>
      <c r="W381" s="47">
        <v>-1.962418837524384</v>
      </c>
      <c r="X381" s="47">
        <v>-1.3255602105627347</v>
      </c>
      <c r="Y381" s="50" t="s">
        <v>69</v>
      </c>
      <c r="Z381" s="50" t="s">
        <v>69</v>
      </c>
      <c r="AA381" s="50" t="s">
        <v>69</v>
      </c>
      <c r="AB381" s="50" t="s">
        <v>69</v>
      </c>
      <c r="AC381" s="34" t="str">
        <f t="shared" ref="AC381:AP381" si="381">LET(
  skater, IFERROR(INDEX(AllProj, MATCH($E381, AllProjNames, 0), MATCH(AC$2, AllProjCats, 0) + 1), ""),
  goalie, IFERROR(INDEX(AllGProj, MATCH($E381, AllGProjNames, 0), MATCH(AC$2, AllGProjCats, 0) + 1), ""),
  val, IF(skater &lt;&gt; "", skater, goalie),
  IF(OR($E381="", AC$2="", val=""), "", val * AC$1)
)</f>
        <v/>
      </c>
      <c r="AD381" s="34" t="str">
        <f t="shared" si="381"/>
        <v/>
      </c>
      <c r="AE381" s="34" t="str">
        <f t="shared" si="381"/>
        <v/>
      </c>
      <c r="AF381" s="34" t="str">
        <f t="shared" si="381"/>
        <v/>
      </c>
      <c r="AG381" s="34" t="str">
        <f t="shared" si="381"/>
        <v/>
      </c>
      <c r="AH381" s="34" t="str">
        <f t="shared" si="381"/>
        <v/>
      </c>
      <c r="AI381" s="34" t="str">
        <f t="shared" si="381"/>
        <v/>
      </c>
      <c r="AJ381" s="34" t="str">
        <f t="shared" si="381"/>
        <v/>
      </c>
      <c r="AK381" s="34" t="str">
        <f t="shared" si="381"/>
        <v/>
      </c>
      <c r="AL381" s="34" t="str">
        <f t="shared" si="381"/>
        <v/>
      </c>
      <c r="AM381" s="34" t="str">
        <f t="shared" si="381"/>
        <v/>
      </c>
      <c r="AN381" s="34" t="str">
        <f t="shared" si="381"/>
        <v/>
      </c>
      <c r="AO381" s="34" t="str">
        <f t="shared" si="381"/>
        <v/>
      </c>
      <c r="AP381" s="34" t="str">
        <f t="shared" si="381"/>
        <v/>
      </c>
      <c r="AQ381" s="76" t="s">
        <v>420</v>
      </c>
      <c r="AR381" s="77"/>
      <c r="AS381" s="77"/>
      <c r="AT381" s="77"/>
      <c r="AU381" s="77"/>
      <c r="AV381" s="77"/>
      <c r="AW381" s="77"/>
      <c r="AX381" s="77"/>
      <c r="AY381" s="77"/>
      <c r="AZ381" s="77"/>
      <c r="BA381" s="77"/>
      <c r="BB381" s="77"/>
      <c r="BC381" s="77"/>
      <c r="BD381" s="77"/>
      <c r="BE381" s="77"/>
      <c r="BF381" s="77"/>
      <c r="BG381" s="77"/>
      <c r="BH381" s="77"/>
      <c r="BI381" s="77"/>
      <c r="BJ381" s="77"/>
      <c r="BK381" s="77"/>
      <c r="BL381" s="77"/>
      <c r="BM381" s="78"/>
    </row>
    <row r="382">
      <c r="A382" s="79">
        <v>2.5</v>
      </c>
      <c r="B382" s="79" t="b">
        <v>0</v>
      </c>
      <c r="C382" s="79" t="b">
        <f t="shared" si="3"/>
        <v>0</v>
      </c>
      <c r="D382" s="80" t="s">
        <v>1565</v>
      </c>
      <c r="E382" s="81" t="s">
        <v>912</v>
      </c>
      <c r="F382" s="82" t="s">
        <v>1482</v>
      </c>
      <c r="G382" s="35" t="s">
        <v>837</v>
      </c>
      <c r="H382" s="37">
        <v>-7.557375262713182</v>
      </c>
      <c r="I382" s="37">
        <v>-2.027516490784281</v>
      </c>
      <c r="J382" s="83" t="s">
        <v>2035</v>
      </c>
      <c r="K382" s="35">
        <v>25.6</v>
      </c>
      <c r="L382" s="79">
        <v>78.10352941176471</v>
      </c>
      <c r="M382" s="84">
        <v>27.0</v>
      </c>
      <c r="N382" s="84">
        <v>6.0</v>
      </c>
      <c r="O382" s="85">
        <v>-1.8317480580058951</v>
      </c>
      <c r="P382" s="85">
        <v>-0.5737544996937743</v>
      </c>
      <c r="Q382" s="85">
        <v>1.380495279251726</v>
      </c>
      <c r="R382" s="85">
        <v>-1.5535790699273964</v>
      </c>
      <c r="S382" s="85">
        <v>-1.2344320767167816</v>
      </c>
      <c r="T382" s="85">
        <v>-0.7824095703331476</v>
      </c>
      <c r="U382" s="85">
        <v>-1.264051501544694</v>
      </c>
      <c r="V382" s="85">
        <v>0.0</v>
      </c>
      <c r="W382" s="85">
        <v>-1.225864361069852</v>
      </c>
      <c r="X382" s="85">
        <v>-0.472031404673368</v>
      </c>
      <c r="Y382" s="50" t="s">
        <v>69</v>
      </c>
      <c r="Z382" s="50" t="s">
        <v>69</v>
      </c>
      <c r="AA382" s="50" t="s">
        <v>69</v>
      </c>
      <c r="AB382" s="50" t="s">
        <v>69</v>
      </c>
      <c r="AC382" s="34" t="str">
        <f t="shared" ref="AC382:AP382" si="382">LET(
  skater, IFERROR(INDEX(AllProj, MATCH($E382, AllProjNames, 0), MATCH(AC$2, AllProjCats, 0) + 1), ""),
  goalie, IFERROR(INDEX(AllGProj, MATCH($E382, AllGProjNames, 0), MATCH(AC$2, AllGProjCats, 0) + 1), ""),
  val, IF(skater &lt;&gt; "", skater, goalie),
  IF(OR($E382="", AC$2="", val=""), "", val * AC$1)
)</f>
        <v/>
      </c>
      <c r="AD382" s="34" t="str">
        <f t="shared" si="382"/>
        <v/>
      </c>
      <c r="AE382" s="34" t="str">
        <f t="shared" si="382"/>
        <v/>
      </c>
      <c r="AF382" s="34" t="str">
        <f t="shared" si="382"/>
        <v/>
      </c>
      <c r="AG382" s="34" t="str">
        <f t="shared" si="382"/>
        <v/>
      </c>
      <c r="AH382" s="34" t="str">
        <f t="shared" si="382"/>
        <v/>
      </c>
      <c r="AI382" s="34" t="str">
        <f t="shared" si="382"/>
        <v/>
      </c>
      <c r="AJ382" s="34" t="str">
        <f t="shared" si="382"/>
        <v/>
      </c>
      <c r="AK382" s="34" t="str">
        <f t="shared" si="382"/>
        <v/>
      </c>
      <c r="AL382" s="34" t="str">
        <f t="shared" si="382"/>
        <v/>
      </c>
      <c r="AM382" s="34" t="str">
        <f t="shared" si="382"/>
        <v/>
      </c>
      <c r="AN382" s="34" t="str">
        <f t="shared" si="382"/>
        <v/>
      </c>
      <c r="AO382" s="34" t="str">
        <f t="shared" si="382"/>
        <v/>
      </c>
      <c r="AP382" s="34" t="str">
        <f t="shared" si="382"/>
        <v/>
      </c>
      <c r="AQ382" s="76" t="s">
        <v>421</v>
      </c>
      <c r="AR382" s="77"/>
      <c r="AS382" s="77"/>
      <c r="AT382" s="77"/>
      <c r="AU382" s="77"/>
      <c r="AV382" s="77"/>
      <c r="AW382" s="77"/>
      <c r="AX382" s="77"/>
      <c r="AY382" s="77"/>
      <c r="AZ382" s="77"/>
      <c r="BA382" s="77"/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8"/>
    </row>
    <row r="383">
      <c r="A383" s="41" t="s">
        <v>69</v>
      </c>
      <c r="B383" s="41" t="b">
        <v>0</v>
      </c>
      <c r="C383" s="41" t="b">
        <f t="shared" si="3"/>
        <v>1</v>
      </c>
      <c r="D383" s="42" t="s">
        <v>824</v>
      </c>
      <c r="E383" s="43" t="s">
        <v>2036</v>
      </c>
      <c r="F383" s="44" t="s">
        <v>1512</v>
      </c>
      <c r="G383" s="29" t="s">
        <v>837</v>
      </c>
      <c r="H383" s="32">
        <v>-7.5596327187737975</v>
      </c>
      <c r="I383" s="32">
        <v>-2.0297739468448963</v>
      </c>
      <c r="J383" s="45" t="s">
        <v>2037</v>
      </c>
      <c r="K383" s="29">
        <v>25.2</v>
      </c>
      <c r="L383" s="41">
        <v>79.15191176470589</v>
      </c>
      <c r="M383" s="46">
        <v>21.0</v>
      </c>
      <c r="N383" s="46">
        <v>7.0</v>
      </c>
      <c r="O383" s="47">
        <v>-1.664055559644995</v>
      </c>
      <c r="P383" s="47">
        <v>-0.1751864595321174</v>
      </c>
      <c r="Q383" s="47">
        <v>-0.01696216794820308</v>
      </c>
      <c r="R383" s="47">
        <v>-1.6939708893598753</v>
      </c>
      <c r="S383" s="47">
        <v>-0.7031617272099008</v>
      </c>
      <c r="T383" s="47">
        <v>-0.7337865576471051</v>
      </c>
      <c r="U383" s="47">
        <v>-1.294821136726566</v>
      </c>
      <c r="V383" s="47">
        <v>0.0</v>
      </c>
      <c r="W383" s="47">
        <v>-1.8073495289891621</v>
      </c>
      <c r="X383" s="47">
        <v>0.5296613082841268</v>
      </c>
      <c r="Y383" s="50" t="s">
        <v>69</v>
      </c>
      <c r="Z383" s="50" t="s">
        <v>69</v>
      </c>
      <c r="AA383" s="50" t="s">
        <v>69</v>
      </c>
      <c r="AB383" s="50" t="s">
        <v>69</v>
      </c>
      <c r="AC383" s="34" t="str">
        <f t="shared" ref="AC383:AP383" si="383">LET(
  skater, IFERROR(INDEX(AllProj, MATCH($E383, AllProjNames, 0), MATCH(AC$2, AllProjCats, 0) + 1), ""),
  goalie, IFERROR(INDEX(AllGProj, MATCH($E383, AllGProjNames, 0), MATCH(AC$2, AllGProjCats, 0) + 1), ""),
  val, IF(skater &lt;&gt; "", skater, goalie),
  IF(OR($E383="", AC$2="", val=""), "", val * AC$1)
)</f>
        <v/>
      </c>
      <c r="AD383" s="34" t="str">
        <f t="shared" si="383"/>
        <v/>
      </c>
      <c r="AE383" s="34" t="str">
        <f t="shared" si="383"/>
        <v/>
      </c>
      <c r="AF383" s="34" t="str">
        <f t="shared" si="383"/>
        <v/>
      </c>
      <c r="AG383" s="34" t="str">
        <f t="shared" si="383"/>
        <v/>
      </c>
      <c r="AH383" s="34" t="str">
        <f t="shared" si="383"/>
        <v/>
      </c>
      <c r="AI383" s="34" t="str">
        <f t="shared" si="383"/>
        <v/>
      </c>
      <c r="AJ383" s="34" t="str">
        <f t="shared" si="383"/>
        <v/>
      </c>
      <c r="AK383" s="34" t="str">
        <f t="shared" si="383"/>
        <v/>
      </c>
      <c r="AL383" s="34" t="str">
        <f t="shared" si="383"/>
        <v/>
      </c>
      <c r="AM383" s="34" t="str">
        <f t="shared" si="383"/>
        <v/>
      </c>
      <c r="AN383" s="34" t="str">
        <f t="shared" si="383"/>
        <v/>
      </c>
      <c r="AO383" s="34" t="str">
        <f t="shared" si="383"/>
        <v/>
      </c>
      <c r="AP383" s="34" t="str">
        <f t="shared" si="383"/>
        <v/>
      </c>
      <c r="AQ383" s="76" t="s">
        <v>422</v>
      </c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 s="77"/>
      <c r="BH383" s="77"/>
      <c r="BI383" s="77"/>
      <c r="BJ383" s="77"/>
      <c r="BK383" s="77"/>
      <c r="BL383" s="77"/>
      <c r="BM383" s="78"/>
    </row>
    <row r="384">
      <c r="A384" s="79">
        <v>2.642857142857143</v>
      </c>
      <c r="B384" s="79" t="b">
        <v>0</v>
      </c>
      <c r="C384" s="79" t="b">
        <f t="shared" si="3"/>
        <v>0</v>
      </c>
      <c r="D384" s="80" t="s">
        <v>1565</v>
      </c>
      <c r="E384" s="81" t="s">
        <v>1231</v>
      </c>
      <c r="F384" s="82" t="s">
        <v>1426</v>
      </c>
      <c r="G384" s="35" t="s">
        <v>837</v>
      </c>
      <c r="H384" s="37">
        <v>-7.563395429014101</v>
      </c>
      <c r="I384" s="37">
        <v>-2.0335366570851994</v>
      </c>
      <c r="J384" s="83" t="s">
        <v>2038</v>
      </c>
      <c r="K384" s="35">
        <v>32.7</v>
      </c>
      <c r="L384" s="79">
        <v>77.32785714285714</v>
      </c>
      <c r="M384" s="84">
        <v>23.0</v>
      </c>
      <c r="N384" s="84">
        <v>6.0</v>
      </c>
      <c r="O384" s="85">
        <v>-1.9400853850186561</v>
      </c>
      <c r="P384" s="85">
        <v>-0.8179297686459044</v>
      </c>
      <c r="Q384" s="85">
        <v>-0.7528842941798456</v>
      </c>
      <c r="R384" s="85">
        <v>0.3827931663583556</v>
      </c>
      <c r="S384" s="85">
        <v>-1.1576576954526228</v>
      </c>
      <c r="T384" s="85">
        <v>-0.7461455211926751</v>
      </c>
      <c r="U384" s="85">
        <v>-1.1454909653676897</v>
      </c>
      <c r="V384" s="85">
        <v>0.0</v>
      </c>
      <c r="W384" s="85">
        <v>-2.081681260455305</v>
      </c>
      <c r="X384" s="85">
        <v>0.6956862949402415</v>
      </c>
      <c r="Y384" s="50" t="s">
        <v>69</v>
      </c>
      <c r="Z384" s="50" t="s">
        <v>69</v>
      </c>
      <c r="AA384" s="50" t="s">
        <v>69</v>
      </c>
      <c r="AB384" s="50" t="s">
        <v>69</v>
      </c>
      <c r="AC384" s="34" t="str">
        <f t="shared" ref="AC384:AP384" si="384">LET(
  skater, IFERROR(INDEX(AllProj, MATCH($E384, AllProjNames, 0), MATCH(AC$2, AllProjCats, 0) + 1), ""),
  goalie, IFERROR(INDEX(AllGProj, MATCH($E384, AllGProjNames, 0), MATCH(AC$2, AllGProjCats, 0) + 1), ""),
  val, IF(skater &lt;&gt; "", skater, goalie),
  IF(OR($E384="", AC$2="", val=""), "", val * AC$1)
)</f>
        <v/>
      </c>
      <c r="AD384" s="34" t="str">
        <f t="shared" si="384"/>
        <v/>
      </c>
      <c r="AE384" s="34" t="str">
        <f t="shared" si="384"/>
        <v/>
      </c>
      <c r="AF384" s="34" t="str">
        <f t="shared" si="384"/>
        <v/>
      </c>
      <c r="AG384" s="34" t="str">
        <f t="shared" si="384"/>
        <v/>
      </c>
      <c r="AH384" s="34" t="str">
        <f t="shared" si="384"/>
        <v/>
      </c>
      <c r="AI384" s="34" t="str">
        <f t="shared" si="384"/>
        <v/>
      </c>
      <c r="AJ384" s="34" t="str">
        <f t="shared" si="384"/>
        <v/>
      </c>
      <c r="AK384" s="34" t="str">
        <f t="shared" si="384"/>
        <v/>
      </c>
      <c r="AL384" s="34" t="str">
        <f t="shared" si="384"/>
        <v/>
      </c>
      <c r="AM384" s="34" t="str">
        <f t="shared" si="384"/>
        <v/>
      </c>
      <c r="AN384" s="34" t="str">
        <f t="shared" si="384"/>
        <v/>
      </c>
      <c r="AO384" s="34" t="str">
        <f t="shared" si="384"/>
        <v/>
      </c>
      <c r="AP384" s="34" t="str">
        <f t="shared" si="384"/>
        <v/>
      </c>
      <c r="AQ384" s="76" t="s">
        <v>423</v>
      </c>
      <c r="AR384" s="77"/>
      <c r="AS384" s="77"/>
      <c r="AT384" s="77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77"/>
      <c r="BJ384" s="77"/>
      <c r="BK384" s="77"/>
      <c r="BL384" s="77"/>
      <c r="BM384" s="78"/>
    </row>
    <row r="385">
      <c r="A385" s="41" t="s">
        <v>69</v>
      </c>
      <c r="B385" s="41" t="b">
        <v>0</v>
      </c>
      <c r="C385" s="41" t="b">
        <f t="shared" si="3"/>
        <v>1</v>
      </c>
      <c r="D385" s="42" t="s">
        <v>824</v>
      </c>
      <c r="E385" s="43" t="s">
        <v>2039</v>
      </c>
      <c r="F385" s="44" t="s">
        <v>849</v>
      </c>
      <c r="G385" s="29" t="s">
        <v>6</v>
      </c>
      <c r="H385" s="32">
        <v>-7.5904526096104235</v>
      </c>
      <c r="I385" s="32">
        <v>-3.2522296311403096</v>
      </c>
      <c r="J385" s="45" t="s">
        <v>2040</v>
      </c>
      <c r="K385" s="29">
        <v>31.4</v>
      </c>
      <c r="L385" s="41">
        <v>35.4</v>
      </c>
      <c r="M385" s="46">
        <v>29.0</v>
      </c>
      <c r="N385" s="46">
        <v>6.0</v>
      </c>
      <c r="O385" s="94" t="s">
        <v>69</v>
      </c>
      <c r="P385" s="94" t="s">
        <v>69</v>
      </c>
      <c r="Q385" s="94" t="s">
        <v>69</v>
      </c>
      <c r="R385" s="94" t="s">
        <v>69</v>
      </c>
      <c r="S385" s="94" t="s">
        <v>69</v>
      </c>
      <c r="T385" s="94" t="s">
        <v>69</v>
      </c>
      <c r="U385" s="94" t="s">
        <v>69</v>
      </c>
      <c r="V385" s="94" t="s">
        <v>69</v>
      </c>
      <c r="W385" s="94" t="s">
        <v>69</v>
      </c>
      <c r="X385" s="94" t="s">
        <v>69</v>
      </c>
      <c r="Y385" s="95">
        <v>-1.3790503150072713</v>
      </c>
      <c r="Z385" s="95">
        <v>-2.5475986517113665</v>
      </c>
      <c r="AA385" s="95">
        <v>-3.6638036428917857</v>
      </c>
      <c r="AB385" s="95">
        <v>0.0</v>
      </c>
      <c r="AC385" s="34" t="str">
        <f t="shared" ref="AC385:AP385" si="385">LET(
  skater, IFERROR(INDEX(AllProj, MATCH($E385, AllProjNames, 0), MATCH(AC$2, AllProjCats, 0) + 1), ""),
  goalie, IFERROR(INDEX(AllGProj, MATCH($E385, AllGProjNames, 0), MATCH(AC$2, AllGProjCats, 0) + 1), ""),
  val, IF(skater &lt;&gt; "", skater, goalie),
  IF(OR($E385="", AC$2="", val=""), "", val * AC$1)
)</f>
        <v/>
      </c>
      <c r="AD385" s="34" t="str">
        <f t="shared" si="385"/>
        <v/>
      </c>
      <c r="AE385" s="34" t="str">
        <f t="shared" si="385"/>
        <v/>
      </c>
      <c r="AF385" s="34" t="str">
        <f t="shared" si="385"/>
        <v/>
      </c>
      <c r="AG385" s="34" t="str">
        <f t="shared" si="385"/>
        <v/>
      </c>
      <c r="AH385" s="34" t="str">
        <f t="shared" si="385"/>
        <v/>
      </c>
      <c r="AI385" s="34" t="str">
        <f t="shared" si="385"/>
        <v/>
      </c>
      <c r="AJ385" s="34" t="str">
        <f t="shared" si="385"/>
        <v/>
      </c>
      <c r="AK385" s="34" t="str">
        <f t="shared" si="385"/>
        <v/>
      </c>
      <c r="AL385" s="34" t="str">
        <f t="shared" si="385"/>
        <v/>
      </c>
      <c r="AM385" s="34" t="str">
        <f t="shared" si="385"/>
        <v/>
      </c>
      <c r="AN385" s="34" t="str">
        <f t="shared" si="385"/>
        <v/>
      </c>
      <c r="AO385" s="34" t="str">
        <f t="shared" si="385"/>
        <v/>
      </c>
      <c r="AP385" s="34" t="str">
        <f t="shared" si="385"/>
        <v/>
      </c>
      <c r="AQ385" s="76" t="s">
        <v>424</v>
      </c>
      <c r="AR385" s="77"/>
      <c r="AS385" s="77"/>
      <c r="AT385" s="77"/>
      <c r="AU385" s="77"/>
      <c r="AV385" s="77"/>
      <c r="AW385" s="77"/>
      <c r="AX385" s="77"/>
      <c r="AY385" s="77"/>
      <c r="AZ385" s="77"/>
      <c r="BA385" s="77"/>
      <c r="BB385" s="77"/>
      <c r="BC385" s="77"/>
      <c r="BD385" s="77"/>
      <c r="BE385" s="77"/>
      <c r="BF385" s="77"/>
      <c r="BG385" s="77"/>
      <c r="BH385" s="77"/>
      <c r="BI385" s="77"/>
      <c r="BJ385" s="77"/>
      <c r="BK385" s="77"/>
      <c r="BL385" s="77"/>
      <c r="BM385" s="78"/>
    </row>
    <row r="386">
      <c r="A386" s="79" t="s">
        <v>69</v>
      </c>
      <c r="B386" s="79" t="b">
        <v>0</v>
      </c>
      <c r="C386" s="79" t="b">
        <f t="shared" si="3"/>
        <v>1</v>
      </c>
      <c r="D386" s="80" t="s">
        <v>827</v>
      </c>
      <c r="E386" s="81" t="s">
        <v>2041</v>
      </c>
      <c r="F386" s="82" t="s">
        <v>1706</v>
      </c>
      <c r="G386" s="35" t="s">
        <v>836</v>
      </c>
      <c r="H386" s="37">
        <v>-7.626284925684885</v>
      </c>
      <c r="I386" s="37">
        <v>-2.184147316957028</v>
      </c>
      <c r="J386" s="83" t="s">
        <v>2042</v>
      </c>
      <c r="K386" s="35">
        <v>31.6</v>
      </c>
      <c r="L386" s="79">
        <v>81.93485294117647</v>
      </c>
      <c r="M386" s="84">
        <v>31.0</v>
      </c>
      <c r="N386" s="84">
        <v>7.0</v>
      </c>
      <c r="O386" s="85">
        <v>0.776465849662603</v>
      </c>
      <c r="P386" s="85">
        <v>-0.6563409314541923</v>
      </c>
      <c r="Q386" s="85">
        <v>-3.779701700833748</v>
      </c>
      <c r="R386" s="85">
        <v>-0.3333680555172403</v>
      </c>
      <c r="S386" s="85">
        <v>0.43790874667551755</v>
      </c>
      <c r="T386" s="85">
        <v>-0.7869062119935175</v>
      </c>
      <c r="U386" s="85">
        <v>-0.12490989805931947</v>
      </c>
      <c r="V386" s="85">
        <v>0.0</v>
      </c>
      <c r="W386" s="85">
        <v>-1.371943638976453</v>
      </c>
      <c r="X386" s="85">
        <v>-1.7874890851885357</v>
      </c>
      <c r="Y386" s="50" t="s">
        <v>69</v>
      </c>
      <c r="Z386" s="50" t="s">
        <v>69</v>
      </c>
      <c r="AA386" s="50" t="s">
        <v>69</v>
      </c>
      <c r="AB386" s="50" t="s">
        <v>69</v>
      </c>
      <c r="AC386" s="34" t="str">
        <f t="shared" ref="AC386:AP386" si="386">LET(
  skater, IFERROR(INDEX(AllProj, MATCH($E386, AllProjNames, 0), MATCH(AC$2, AllProjCats, 0) + 1), ""),
  goalie, IFERROR(INDEX(AllGProj, MATCH($E386, AllGProjNames, 0), MATCH(AC$2, AllGProjCats, 0) + 1), ""),
  val, IF(skater &lt;&gt; "", skater, goalie),
  IF(OR($E386="", AC$2="", val=""), "", val * AC$1)
)</f>
        <v/>
      </c>
      <c r="AD386" s="34" t="str">
        <f t="shared" si="386"/>
        <v/>
      </c>
      <c r="AE386" s="34" t="str">
        <f t="shared" si="386"/>
        <v/>
      </c>
      <c r="AF386" s="34" t="str">
        <f t="shared" si="386"/>
        <v/>
      </c>
      <c r="AG386" s="34" t="str">
        <f t="shared" si="386"/>
        <v/>
      </c>
      <c r="AH386" s="34" t="str">
        <f t="shared" si="386"/>
        <v/>
      </c>
      <c r="AI386" s="34" t="str">
        <f t="shared" si="386"/>
        <v/>
      </c>
      <c r="AJ386" s="34" t="str">
        <f t="shared" si="386"/>
        <v/>
      </c>
      <c r="AK386" s="34" t="str">
        <f t="shared" si="386"/>
        <v/>
      </c>
      <c r="AL386" s="34" t="str">
        <f t="shared" si="386"/>
        <v/>
      </c>
      <c r="AM386" s="34" t="str">
        <f t="shared" si="386"/>
        <v/>
      </c>
      <c r="AN386" s="34" t="str">
        <f t="shared" si="386"/>
        <v/>
      </c>
      <c r="AO386" s="34" t="str">
        <f t="shared" si="386"/>
        <v/>
      </c>
      <c r="AP386" s="34" t="str">
        <f t="shared" si="386"/>
        <v/>
      </c>
      <c r="AQ386" s="76" t="s">
        <v>425</v>
      </c>
      <c r="AR386" s="77"/>
      <c r="AS386" s="77"/>
      <c r="AT386" s="77"/>
      <c r="AU386" s="77"/>
      <c r="AV386" s="77"/>
      <c r="AW386" s="77"/>
      <c r="AX386" s="77"/>
      <c r="AY386" s="77"/>
      <c r="AZ386" s="77"/>
      <c r="BA386" s="77"/>
      <c r="BB386" s="77"/>
      <c r="BC386" s="77"/>
      <c r="BD386" s="77"/>
      <c r="BE386" s="77"/>
      <c r="BF386" s="77"/>
      <c r="BG386" s="77"/>
      <c r="BH386" s="77"/>
      <c r="BI386" s="77"/>
      <c r="BJ386" s="77"/>
      <c r="BK386" s="77"/>
      <c r="BL386" s="77"/>
      <c r="BM386" s="78"/>
    </row>
    <row r="387">
      <c r="A387" s="41">
        <v>2.642857142857143</v>
      </c>
      <c r="B387" s="41" t="b">
        <v>0</v>
      </c>
      <c r="C387" s="41" t="b">
        <f t="shared" si="3"/>
        <v>0</v>
      </c>
      <c r="D387" s="42" t="s">
        <v>1565</v>
      </c>
      <c r="E387" s="43" t="s">
        <v>1173</v>
      </c>
      <c r="F387" s="44" t="s">
        <v>1401</v>
      </c>
      <c r="G387" s="29" t="s">
        <v>832</v>
      </c>
      <c r="H387" s="32">
        <v>-7.647583051713427</v>
      </c>
      <c r="I387" s="32">
        <v>-2.20544544298557</v>
      </c>
      <c r="J387" s="45" t="s">
        <v>2043</v>
      </c>
      <c r="K387" s="29">
        <v>29.3</v>
      </c>
      <c r="L387" s="41">
        <v>81.85714285714286</v>
      </c>
      <c r="M387" s="46">
        <v>25.0</v>
      </c>
      <c r="N387" s="46">
        <v>7.0</v>
      </c>
      <c r="O387" s="47">
        <v>-1.7982594935496863</v>
      </c>
      <c r="P387" s="47">
        <v>-2.054478982081711</v>
      </c>
      <c r="Q387" s="47">
        <v>-1.071161664313358</v>
      </c>
      <c r="R387" s="47">
        <v>1.5331588764421729</v>
      </c>
      <c r="S387" s="47">
        <v>-1.6546020245760928</v>
      </c>
      <c r="T387" s="47">
        <v>-0.16952108464970286</v>
      </c>
      <c r="U387" s="47">
        <v>-2.1309640549499855</v>
      </c>
      <c r="V387" s="47">
        <v>0.0</v>
      </c>
      <c r="W387" s="47">
        <v>0.7549624650637888</v>
      </c>
      <c r="X387" s="47">
        <v>-1.056717089098853</v>
      </c>
      <c r="Y387" s="50" t="s">
        <v>69</v>
      </c>
      <c r="Z387" s="50" t="s">
        <v>69</v>
      </c>
      <c r="AA387" s="50" t="s">
        <v>69</v>
      </c>
      <c r="AB387" s="50" t="s">
        <v>69</v>
      </c>
      <c r="AC387" s="34" t="str">
        <f t="shared" ref="AC387:AP387" si="387">LET(
  skater, IFERROR(INDEX(AllProj, MATCH($E387, AllProjNames, 0), MATCH(AC$2, AllProjCats, 0) + 1), ""),
  goalie, IFERROR(INDEX(AllGProj, MATCH($E387, AllGProjNames, 0), MATCH(AC$2, AllGProjCats, 0) + 1), ""),
  val, IF(skater &lt;&gt; "", skater, goalie),
  IF(OR($E387="", AC$2="", val=""), "", val * AC$1)
)</f>
        <v/>
      </c>
      <c r="AD387" s="34" t="str">
        <f t="shared" si="387"/>
        <v/>
      </c>
      <c r="AE387" s="34" t="str">
        <f t="shared" si="387"/>
        <v/>
      </c>
      <c r="AF387" s="34" t="str">
        <f t="shared" si="387"/>
        <v/>
      </c>
      <c r="AG387" s="34" t="str">
        <f t="shared" si="387"/>
        <v/>
      </c>
      <c r="AH387" s="34" t="str">
        <f t="shared" si="387"/>
        <v/>
      </c>
      <c r="AI387" s="34" t="str">
        <f t="shared" si="387"/>
        <v/>
      </c>
      <c r="AJ387" s="34" t="str">
        <f t="shared" si="387"/>
        <v/>
      </c>
      <c r="AK387" s="34" t="str">
        <f t="shared" si="387"/>
        <v/>
      </c>
      <c r="AL387" s="34" t="str">
        <f t="shared" si="387"/>
        <v/>
      </c>
      <c r="AM387" s="34" t="str">
        <f t="shared" si="387"/>
        <v/>
      </c>
      <c r="AN387" s="34" t="str">
        <f t="shared" si="387"/>
        <v/>
      </c>
      <c r="AO387" s="34" t="str">
        <f t="shared" si="387"/>
        <v/>
      </c>
      <c r="AP387" s="34" t="str">
        <f t="shared" si="387"/>
        <v/>
      </c>
      <c r="AQ387" s="76" t="s">
        <v>426</v>
      </c>
      <c r="AR387" s="77"/>
      <c r="AS387" s="77"/>
      <c r="AT387" s="77"/>
      <c r="AU387" s="77"/>
      <c r="AV387" s="77"/>
      <c r="AW387" s="77"/>
      <c r="AX387" s="77"/>
      <c r="AY387" s="77"/>
      <c r="AZ387" s="77"/>
      <c r="BA387" s="77"/>
      <c r="BB387" s="77"/>
      <c r="BC387" s="77"/>
      <c r="BD387" s="77"/>
      <c r="BE387" s="77"/>
      <c r="BF387" s="77"/>
      <c r="BG387" s="77"/>
      <c r="BH387" s="77"/>
      <c r="BI387" s="77"/>
      <c r="BJ387" s="77"/>
      <c r="BK387" s="77"/>
      <c r="BL387" s="77"/>
      <c r="BM387" s="78"/>
    </row>
    <row r="388">
      <c r="A388" s="79">
        <v>2.4285714285714284</v>
      </c>
      <c r="B388" s="79" t="b">
        <v>0</v>
      </c>
      <c r="C388" s="79" t="b">
        <f t="shared" si="3"/>
        <v>0</v>
      </c>
      <c r="D388" s="80" t="s">
        <v>1565</v>
      </c>
      <c r="E388" s="81" t="s">
        <v>876</v>
      </c>
      <c r="F388" s="82" t="s">
        <v>1454</v>
      </c>
      <c r="G388" s="35" t="s">
        <v>832</v>
      </c>
      <c r="H388" s="37">
        <v>-7.653156049714349</v>
      </c>
      <c r="I388" s="37">
        <v>-2.211018440986492</v>
      </c>
      <c r="J388" s="83" t="s">
        <v>2044</v>
      </c>
      <c r="K388" s="35">
        <v>25.0</v>
      </c>
      <c r="L388" s="79">
        <v>79.5464705882353</v>
      </c>
      <c r="M388" s="84">
        <v>25.0</v>
      </c>
      <c r="N388" s="84">
        <v>6.0</v>
      </c>
      <c r="O388" s="85">
        <v>0.07332414473374405</v>
      </c>
      <c r="P388" s="85">
        <v>-0.23992817910567577</v>
      </c>
      <c r="Q388" s="85">
        <v>-1.4742078465558257</v>
      </c>
      <c r="R388" s="85">
        <v>-1.6744641393569801</v>
      </c>
      <c r="S388" s="85">
        <v>-0.3074713266143477</v>
      </c>
      <c r="T388" s="85">
        <v>-0.7651002711525637</v>
      </c>
      <c r="U388" s="85">
        <v>0.2279119210272671</v>
      </c>
      <c r="V388" s="85">
        <v>0.0</v>
      </c>
      <c r="W388" s="85">
        <v>-1.5636370134678343</v>
      </c>
      <c r="X388" s="85">
        <v>-1.9295833392221324</v>
      </c>
      <c r="Y388" s="50" t="s">
        <v>69</v>
      </c>
      <c r="Z388" s="50" t="s">
        <v>69</v>
      </c>
      <c r="AA388" s="50" t="s">
        <v>69</v>
      </c>
      <c r="AB388" s="50" t="s">
        <v>69</v>
      </c>
      <c r="AC388" s="34" t="str">
        <f t="shared" ref="AC388:AP388" si="388">LET(
  skater, IFERROR(INDEX(AllProj, MATCH($E388, AllProjNames, 0), MATCH(AC$2, AllProjCats, 0) + 1), ""),
  goalie, IFERROR(INDEX(AllGProj, MATCH($E388, AllGProjNames, 0), MATCH(AC$2, AllGProjCats, 0) + 1), ""),
  val, IF(skater &lt;&gt; "", skater, goalie),
  IF(OR($E388="", AC$2="", val=""), "", val * AC$1)
)</f>
        <v/>
      </c>
      <c r="AD388" s="34" t="str">
        <f t="shared" si="388"/>
        <v/>
      </c>
      <c r="AE388" s="34" t="str">
        <f t="shared" si="388"/>
        <v/>
      </c>
      <c r="AF388" s="34" t="str">
        <f t="shared" si="388"/>
        <v/>
      </c>
      <c r="AG388" s="34" t="str">
        <f t="shared" si="388"/>
        <v/>
      </c>
      <c r="AH388" s="34" t="str">
        <f t="shared" si="388"/>
        <v/>
      </c>
      <c r="AI388" s="34" t="str">
        <f t="shared" si="388"/>
        <v/>
      </c>
      <c r="AJ388" s="34" t="str">
        <f t="shared" si="388"/>
        <v/>
      </c>
      <c r="AK388" s="34" t="str">
        <f t="shared" si="388"/>
        <v/>
      </c>
      <c r="AL388" s="34" t="str">
        <f t="shared" si="388"/>
        <v/>
      </c>
      <c r="AM388" s="34" t="str">
        <f t="shared" si="388"/>
        <v/>
      </c>
      <c r="AN388" s="34" t="str">
        <f t="shared" si="388"/>
        <v/>
      </c>
      <c r="AO388" s="34" t="str">
        <f t="shared" si="388"/>
        <v/>
      </c>
      <c r="AP388" s="34" t="str">
        <f t="shared" si="388"/>
        <v/>
      </c>
      <c r="AQ388" s="76" t="s">
        <v>427</v>
      </c>
      <c r="AR388" s="77"/>
      <c r="AS388" s="77"/>
      <c r="AT388" s="77"/>
      <c r="AU388" s="77"/>
      <c r="AV388" s="77"/>
      <c r="AW388" s="77"/>
      <c r="AX388" s="77"/>
      <c r="AY388" s="77"/>
      <c r="AZ388" s="77"/>
      <c r="BA388" s="77"/>
      <c r="BB388" s="77"/>
      <c r="BC388" s="77"/>
      <c r="BD388" s="77"/>
      <c r="BE388" s="77"/>
      <c r="BF388" s="77"/>
      <c r="BG388" s="77"/>
      <c r="BH388" s="77"/>
      <c r="BI388" s="77"/>
      <c r="BJ388" s="77"/>
      <c r="BK388" s="77"/>
      <c r="BL388" s="77"/>
      <c r="BM388" s="78"/>
    </row>
    <row r="389">
      <c r="A389" s="41">
        <v>2.5714285714285716</v>
      </c>
      <c r="B389" s="41" t="b">
        <v>0</v>
      </c>
      <c r="C389" s="41" t="b">
        <f t="shared" si="3"/>
        <v>0</v>
      </c>
      <c r="D389" s="42" t="s">
        <v>1565</v>
      </c>
      <c r="E389" s="43" t="s">
        <v>1012</v>
      </c>
      <c r="F389" s="44" t="s">
        <v>1473</v>
      </c>
      <c r="G389" s="29" t="s">
        <v>832</v>
      </c>
      <c r="H389" s="32">
        <v>-7.674539363061557</v>
      </c>
      <c r="I389" s="32">
        <v>-2.2324017543337</v>
      </c>
      <c r="J389" s="45" t="s">
        <v>2045</v>
      </c>
      <c r="K389" s="29">
        <v>25.3</v>
      </c>
      <c r="L389" s="41">
        <v>80.55911764705883</v>
      </c>
      <c r="M389" s="46">
        <v>25.0</v>
      </c>
      <c r="N389" s="46">
        <v>6.0</v>
      </c>
      <c r="O389" s="47">
        <v>-0.2501690286408265</v>
      </c>
      <c r="P389" s="47">
        <v>-0.7321128171918722</v>
      </c>
      <c r="Q389" s="47">
        <v>-1.2256595292162369</v>
      </c>
      <c r="R389" s="47">
        <v>-1.8950158099463867</v>
      </c>
      <c r="S389" s="47">
        <v>-1.0757648449768265</v>
      </c>
      <c r="T389" s="47">
        <v>2.18073363438417</v>
      </c>
      <c r="U389" s="47">
        <v>-1.339478537995918</v>
      </c>
      <c r="V389" s="47">
        <v>0.0</v>
      </c>
      <c r="W389" s="47">
        <v>-2.1940098900551734</v>
      </c>
      <c r="X389" s="47">
        <v>-1.1430625394224871</v>
      </c>
      <c r="Y389" s="50" t="s">
        <v>69</v>
      </c>
      <c r="Z389" s="50" t="s">
        <v>69</v>
      </c>
      <c r="AA389" s="50" t="s">
        <v>69</v>
      </c>
      <c r="AB389" s="50" t="s">
        <v>69</v>
      </c>
      <c r="AC389" s="34" t="str">
        <f t="shared" ref="AC389:AP389" si="389">LET(
  skater, IFERROR(INDEX(AllProj, MATCH($E389, AllProjNames, 0), MATCH(AC$2, AllProjCats, 0) + 1), ""),
  goalie, IFERROR(INDEX(AllGProj, MATCH($E389, AllGProjNames, 0), MATCH(AC$2, AllGProjCats, 0) + 1), ""),
  val, IF(skater &lt;&gt; "", skater, goalie),
  IF(OR($E389="", AC$2="", val=""), "", val * AC$1)
)</f>
        <v/>
      </c>
      <c r="AD389" s="34" t="str">
        <f t="shared" si="389"/>
        <v/>
      </c>
      <c r="AE389" s="34" t="str">
        <f t="shared" si="389"/>
        <v/>
      </c>
      <c r="AF389" s="34" t="str">
        <f t="shared" si="389"/>
        <v/>
      </c>
      <c r="AG389" s="34" t="str">
        <f t="shared" si="389"/>
        <v/>
      </c>
      <c r="AH389" s="34" t="str">
        <f t="shared" si="389"/>
        <v/>
      </c>
      <c r="AI389" s="34" t="str">
        <f t="shared" si="389"/>
        <v/>
      </c>
      <c r="AJ389" s="34" t="str">
        <f t="shared" si="389"/>
        <v/>
      </c>
      <c r="AK389" s="34" t="str">
        <f t="shared" si="389"/>
        <v/>
      </c>
      <c r="AL389" s="34" t="str">
        <f t="shared" si="389"/>
        <v/>
      </c>
      <c r="AM389" s="34" t="str">
        <f t="shared" si="389"/>
        <v/>
      </c>
      <c r="AN389" s="34" t="str">
        <f t="shared" si="389"/>
        <v/>
      </c>
      <c r="AO389" s="34" t="str">
        <f t="shared" si="389"/>
        <v/>
      </c>
      <c r="AP389" s="34" t="str">
        <f t="shared" si="389"/>
        <v/>
      </c>
      <c r="AQ389" s="76" t="s">
        <v>428</v>
      </c>
      <c r="AR389" s="77"/>
      <c r="AS389" s="77"/>
      <c r="AT389" s="77"/>
      <c r="AU389" s="77"/>
      <c r="AV389" s="77"/>
      <c r="AW389" s="77"/>
      <c r="AX389" s="77"/>
      <c r="AY389" s="77"/>
      <c r="AZ389" s="77"/>
      <c r="BA389" s="77"/>
      <c r="BB389" s="77"/>
      <c r="BC389" s="77"/>
      <c r="BD389" s="77"/>
      <c r="BE389" s="77"/>
      <c r="BF389" s="77"/>
      <c r="BG389" s="77"/>
      <c r="BH389" s="77"/>
      <c r="BI389" s="77"/>
      <c r="BJ389" s="77"/>
      <c r="BK389" s="77"/>
      <c r="BL389" s="77"/>
      <c r="BM389" s="78"/>
    </row>
    <row r="390">
      <c r="A390" s="79">
        <v>2.5714285714285716</v>
      </c>
      <c r="B390" s="79" t="b">
        <v>0</v>
      </c>
      <c r="C390" s="79" t="b">
        <f t="shared" si="3"/>
        <v>0</v>
      </c>
      <c r="D390" s="80" t="s">
        <v>1565</v>
      </c>
      <c r="E390" s="81" t="s">
        <v>931</v>
      </c>
      <c r="F390" s="82" t="s">
        <v>1429</v>
      </c>
      <c r="G390" s="35" t="s">
        <v>837</v>
      </c>
      <c r="H390" s="37">
        <v>-7.68774941078743</v>
      </c>
      <c r="I390" s="37">
        <v>-2.157890638858529</v>
      </c>
      <c r="J390" s="83" t="s">
        <v>2046</v>
      </c>
      <c r="K390" s="35">
        <v>24.3</v>
      </c>
      <c r="L390" s="79">
        <v>78.0</v>
      </c>
      <c r="M390" s="84">
        <v>24.0</v>
      </c>
      <c r="N390" s="84">
        <v>7.0</v>
      </c>
      <c r="O390" s="96" t="s">
        <v>69</v>
      </c>
      <c r="P390" s="85">
        <v>-1.4582499066077632</v>
      </c>
      <c r="Q390" s="96" t="s">
        <v>69</v>
      </c>
      <c r="R390" s="85">
        <v>-2.117165739017131</v>
      </c>
      <c r="S390" s="96" t="s">
        <v>69</v>
      </c>
      <c r="T390" s="96" t="s">
        <v>69</v>
      </c>
      <c r="U390" s="85">
        <v>-2.692218255931773</v>
      </c>
      <c r="V390" s="96" t="s">
        <v>69</v>
      </c>
      <c r="W390" s="85">
        <v>-1.6777009538828302</v>
      </c>
      <c r="X390" s="85">
        <v>0.25758544465206745</v>
      </c>
      <c r="Y390" s="50" t="s">
        <v>69</v>
      </c>
      <c r="Z390" s="50" t="s">
        <v>69</v>
      </c>
      <c r="AA390" s="50" t="s">
        <v>69</v>
      </c>
      <c r="AB390" s="50" t="s">
        <v>69</v>
      </c>
      <c r="AC390" s="34" t="str">
        <f t="shared" ref="AC390:AP390" si="390">LET(
  skater, IFERROR(INDEX(AllProj, MATCH($E390, AllProjNames, 0), MATCH(AC$2, AllProjCats, 0) + 1), ""),
  goalie, IFERROR(INDEX(AllGProj, MATCH($E390, AllGProjNames, 0), MATCH(AC$2, AllGProjCats, 0) + 1), ""),
  val, IF(skater &lt;&gt; "", skater, goalie),
  IF(OR($E390="", AC$2="", val=""), "", val * AC$1)
)</f>
        <v/>
      </c>
      <c r="AD390" s="34" t="str">
        <f t="shared" si="390"/>
        <v/>
      </c>
      <c r="AE390" s="34" t="str">
        <f t="shared" si="390"/>
        <v/>
      </c>
      <c r="AF390" s="34" t="str">
        <f t="shared" si="390"/>
        <v/>
      </c>
      <c r="AG390" s="34" t="str">
        <f t="shared" si="390"/>
        <v/>
      </c>
      <c r="AH390" s="34" t="str">
        <f t="shared" si="390"/>
        <v/>
      </c>
      <c r="AI390" s="34" t="str">
        <f t="shared" si="390"/>
        <v/>
      </c>
      <c r="AJ390" s="34" t="str">
        <f t="shared" si="390"/>
        <v/>
      </c>
      <c r="AK390" s="34" t="str">
        <f t="shared" si="390"/>
        <v/>
      </c>
      <c r="AL390" s="34" t="str">
        <f t="shared" si="390"/>
        <v/>
      </c>
      <c r="AM390" s="34" t="str">
        <f t="shared" si="390"/>
        <v/>
      </c>
      <c r="AN390" s="34" t="str">
        <f t="shared" si="390"/>
        <v/>
      </c>
      <c r="AO390" s="34" t="str">
        <f t="shared" si="390"/>
        <v/>
      </c>
      <c r="AP390" s="34" t="str">
        <f t="shared" si="390"/>
        <v/>
      </c>
      <c r="AQ390" s="76" t="s">
        <v>429</v>
      </c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77"/>
      <c r="BJ390" s="77"/>
      <c r="BK390" s="77"/>
      <c r="BL390" s="77"/>
      <c r="BM390" s="78"/>
    </row>
    <row r="391">
      <c r="A391" s="41">
        <v>2.5714285714285716</v>
      </c>
      <c r="B391" s="41" t="b">
        <v>0</v>
      </c>
      <c r="C391" s="41" t="b">
        <f t="shared" si="3"/>
        <v>0</v>
      </c>
      <c r="D391" s="42" t="s">
        <v>1565</v>
      </c>
      <c r="E391" s="43" t="s">
        <v>1005</v>
      </c>
      <c r="F391" s="44" t="s">
        <v>1710</v>
      </c>
      <c r="G391" s="29" t="s">
        <v>284</v>
      </c>
      <c r="H391" s="32">
        <v>-7.694205931348322</v>
      </c>
      <c r="I391" s="32">
        <v>-2.656139911165237</v>
      </c>
      <c r="J391" s="45" t="s">
        <v>2047</v>
      </c>
      <c r="K391" s="29">
        <v>27.3</v>
      </c>
      <c r="L391" s="41">
        <v>80.13985294117647</v>
      </c>
      <c r="M391" s="46">
        <v>23.0</v>
      </c>
      <c r="N391" s="46">
        <v>6.0</v>
      </c>
      <c r="O391" s="47">
        <v>-0.26473897506087896</v>
      </c>
      <c r="P391" s="47">
        <v>-0.6007797352942874</v>
      </c>
      <c r="Q391" s="47">
        <v>-3.00227759727651</v>
      </c>
      <c r="R391" s="47">
        <v>-1.3172741812799509</v>
      </c>
      <c r="S391" s="47">
        <v>0.13386058929496816</v>
      </c>
      <c r="T391" s="47">
        <v>-0.7820319953336993</v>
      </c>
      <c r="U391" s="47">
        <v>-0.5281847028636427</v>
      </c>
      <c r="V391" s="47">
        <v>1.3419018610684512</v>
      </c>
      <c r="W391" s="47">
        <v>-1.3767697844862796</v>
      </c>
      <c r="X391" s="47">
        <v>-1.2979114101164926</v>
      </c>
      <c r="Y391" s="50" t="s">
        <v>69</v>
      </c>
      <c r="Z391" s="50" t="s">
        <v>69</v>
      </c>
      <c r="AA391" s="50" t="s">
        <v>69</v>
      </c>
      <c r="AB391" s="50" t="s">
        <v>69</v>
      </c>
      <c r="AC391" s="34" t="str">
        <f t="shared" ref="AC391:AP391" si="391">LET(
  skater, IFERROR(INDEX(AllProj, MATCH($E391, AllProjNames, 0), MATCH(AC$2, AllProjCats, 0) + 1), ""),
  goalie, IFERROR(INDEX(AllGProj, MATCH($E391, AllGProjNames, 0), MATCH(AC$2, AllGProjCats, 0) + 1), ""),
  val, IF(skater &lt;&gt; "", skater, goalie),
  IF(OR($E391="", AC$2="", val=""), "", val * AC$1)
)</f>
        <v/>
      </c>
      <c r="AD391" s="34" t="str">
        <f t="shared" si="391"/>
        <v/>
      </c>
      <c r="AE391" s="34" t="str">
        <f t="shared" si="391"/>
        <v/>
      </c>
      <c r="AF391" s="34" t="str">
        <f t="shared" si="391"/>
        <v/>
      </c>
      <c r="AG391" s="34" t="str">
        <f t="shared" si="391"/>
        <v/>
      </c>
      <c r="AH391" s="34" t="str">
        <f t="shared" si="391"/>
        <v/>
      </c>
      <c r="AI391" s="34" t="str">
        <f t="shared" si="391"/>
        <v/>
      </c>
      <c r="AJ391" s="34" t="str">
        <f t="shared" si="391"/>
        <v/>
      </c>
      <c r="AK391" s="34" t="str">
        <f t="shared" si="391"/>
        <v/>
      </c>
      <c r="AL391" s="34" t="str">
        <f t="shared" si="391"/>
        <v/>
      </c>
      <c r="AM391" s="34" t="str">
        <f t="shared" si="391"/>
        <v/>
      </c>
      <c r="AN391" s="34" t="str">
        <f t="shared" si="391"/>
        <v/>
      </c>
      <c r="AO391" s="34" t="str">
        <f t="shared" si="391"/>
        <v/>
      </c>
      <c r="AP391" s="34" t="str">
        <f t="shared" si="391"/>
        <v/>
      </c>
      <c r="AQ391" s="76" t="s">
        <v>430</v>
      </c>
      <c r="AR391" s="77"/>
      <c r="AS391" s="77"/>
      <c r="AT391" s="77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77"/>
      <c r="BJ391" s="77"/>
      <c r="BK391" s="77"/>
      <c r="BL391" s="77"/>
      <c r="BM391" s="78"/>
    </row>
    <row r="392">
      <c r="A392" s="79">
        <v>2.5714285714285716</v>
      </c>
      <c r="B392" s="79" t="b">
        <v>0</v>
      </c>
      <c r="C392" s="79" t="b">
        <f t="shared" si="3"/>
        <v>0</v>
      </c>
      <c r="D392" s="80" t="s">
        <v>1565</v>
      </c>
      <c r="E392" s="81" t="s">
        <v>1044</v>
      </c>
      <c r="F392" s="82" t="s">
        <v>854</v>
      </c>
      <c r="G392" s="35" t="s">
        <v>284</v>
      </c>
      <c r="H392" s="37">
        <v>-7.695011377509216</v>
      </c>
      <c r="I392" s="37">
        <v>-2.656945357326131</v>
      </c>
      <c r="J392" s="83" t="s">
        <v>2048</v>
      </c>
      <c r="K392" s="35">
        <v>25.7</v>
      </c>
      <c r="L392" s="79">
        <v>78.06794117647058</v>
      </c>
      <c r="M392" s="84">
        <v>16.0</v>
      </c>
      <c r="N392" s="84">
        <v>6.0</v>
      </c>
      <c r="O392" s="85">
        <v>-1.0710782519237783</v>
      </c>
      <c r="P392" s="85">
        <v>-0.8709568553962354</v>
      </c>
      <c r="Q392" s="85">
        <v>1.0841560292208023</v>
      </c>
      <c r="R392" s="85">
        <v>-0.7016753634858621</v>
      </c>
      <c r="S392" s="85">
        <v>-1.2742989078384241</v>
      </c>
      <c r="T392" s="85">
        <v>-0.7773267474113391</v>
      </c>
      <c r="U392" s="85">
        <v>-1.6981504985595297</v>
      </c>
      <c r="V392" s="85">
        <v>0.0</v>
      </c>
      <c r="W392" s="85">
        <v>-0.6369781170626887</v>
      </c>
      <c r="X392" s="85">
        <v>-1.7487026650521615</v>
      </c>
      <c r="Y392" s="50" t="s">
        <v>69</v>
      </c>
      <c r="Z392" s="50" t="s">
        <v>69</v>
      </c>
      <c r="AA392" s="50" t="s">
        <v>69</v>
      </c>
      <c r="AB392" s="50" t="s">
        <v>69</v>
      </c>
      <c r="AC392" s="34" t="str">
        <f t="shared" ref="AC392:AP392" si="392">LET(
  skater, IFERROR(INDEX(AllProj, MATCH($E392, AllProjNames, 0), MATCH(AC$2, AllProjCats, 0) + 1), ""),
  goalie, IFERROR(INDEX(AllGProj, MATCH($E392, AllGProjNames, 0), MATCH(AC$2, AllGProjCats, 0) + 1), ""),
  val, IF(skater &lt;&gt; "", skater, goalie),
  IF(OR($E392="", AC$2="", val=""), "", val * AC$1)
)</f>
        <v/>
      </c>
      <c r="AD392" s="34" t="str">
        <f t="shared" si="392"/>
        <v/>
      </c>
      <c r="AE392" s="34" t="str">
        <f t="shared" si="392"/>
        <v/>
      </c>
      <c r="AF392" s="34" t="str">
        <f t="shared" si="392"/>
        <v/>
      </c>
      <c r="AG392" s="34" t="str">
        <f t="shared" si="392"/>
        <v/>
      </c>
      <c r="AH392" s="34" t="str">
        <f t="shared" si="392"/>
        <v/>
      </c>
      <c r="AI392" s="34" t="str">
        <f t="shared" si="392"/>
        <v/>
      </c>
      <c r="AJ392" s="34" t="str">
        <f t="shared" si="392"/>
        <v/>
      </c>
      <c r="AK392" s="34" t="str">
        <f t="shared" si="392"/>
        <v/>
      </c>
      <c r="AL392" s="34" t="str">
        <f t="shared" si="392"/>
        <v/>
      </c>
      <c r="AM392" s="34" t="str">
        <f t="shared" si="392"/>
        <v/>
      </c>
      <c r="AN392" s="34" t="str">
        <f t="shared" si="392"/>
        <v/>
      </c>
      <c r="AO392" s="34" t="str">
        <f t="shared" si="392"/>
        <v/>
      </c>
      <c r="AP392" s="34" t="str">
        <f t="shared" si="392"/>
        <v/>
      </c>
      <c r="AQ392" s="76" t="s">
        <v>431</v>
      </c>
      <c r="AR392" s="77"/>
      <c r="AS392" s="77"/>
      <c r="AT392" s="77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77"/>
      <c r="BJ392" s="77"/>
      <c r="BK392" s="77"/>
      <c r="BL392" s="77"/>
      <c r="BM392" s="78"/>
    </row>
    <row r="393">
      <c r="A393" s="41">
        <v>2.642857142857143</v>
      </c>
      <c r="B393" s="41" t="b">
        <v>0</v>
      </c>
      <c r="C393" s="41" t="b">
        <f t="shared" si="3"/>
        <v>0</v>
      </c>
      <c r="D393" s="42" t="s">
        <v>1565</v>
      </c>
      <c r="E393" s="43" t="s">
        <v>1110</v>
      </c>
      <c r="F393" s="44" t="s">
        <v>1444</v>
      </c>
      <c r="G393" s="29" t="s">
        <v>835</v>
      </c>
      <c r="H393" s="32">
        <v>-7.720331186561429</v>
      </c>
      <c r="I393" s="32">
        <v>-2.3324510616486904</v>
      </c>
      <c r="J393" s="45" t="s">
        <v>2049</v>
      </c>
      <c r="K393" s="29">
        <v>25.4</v>
      </c>
      <c r="L393" s="41">
        <v>78.0909090909091</v>
      </c>
      <c r="M393" s="46">
        <v>33.0</v>
      </c>
      <c r="N393" s="46">
        <v>6.0</v>
      </c>
      <c r="O393" s="47">
        <v>-1.330833067543583</v>
      </c>
      <c r="P393" s="47">
        <v>-1.610312574954674</v>
      </c>
      <c r="Q393" s="47">
        <v>-1.9175255656723456</v>
      </c>
      <c r="R393" s="47">
        <v>0.027167840663652153</v>
      </c>
      <c r="S393" s="47">
        <v>-1.6312658019644335</v>
      </c>
      <c r="T393" s="47">
        <v>-0.16952108464970286</v>
      </c>
      <c r="U393" s="47">
        <v>-1.82482539986901</v>
      </c>
      <c r="V393" s="47">
        <v>0.0</v>
      </c>
      <c r="W393" s="47">
        <v>1.963124087351707</v>
      </c>
      <c r="X393" s="47">
        <v>-1.2263396199230387</v>
      </c>
      <c r="Y393" s="50" t="s">
        <v>69</v>
      </c>
      <c r="Z393" s="50" t="s">
        <v>69</v>
      </c>
      <c r="AA393" s="50" t="s">
        <v>69</v>
      </c>
      <c r="AB393" s="50" t="s">
        <v>69</v>
      </c>
      <c r="AC393" s="34" t="str">
        <f t="shared" ref="AC393:AP393" si="393">LET(
  skater, IFERROR(INDEX(AllProj, MATCH($E393, AllProjNames, 0), MATCH(AC$2, AllProjCats, 0) + 1), ""),
  goalie, IFERROR(INDEX(AllGProj, MATCH($E393, AllGProjNames, 0), MATCH(AC$2, AllGProjCats, 0) + 1), ""),
  val, IF(skater &lt;&gt; "", skater, goalie),
  IF(OR($E393="", AC$2="", val=""), "", val * AC$1)
)</f>
        <v/>
      </c>
      <c r="AD393" s="34" t="str">
        <f t="shared" si="393"/>
        <v/>
      </c>
      <c r="AE393" s="34" t="str">
        <f t="shared" si="393"/>
        <v/>
      </c>
      <c r="AF393" s="34" t="str">
        <f t="shared" si="393"/>
        <v/>
      </c>
      <c r="AG393" s="34" t="str">
        <f t="shared" si="393"/>
        <v/>
      </c>
      <c r="AH393" s="34" t="str">
        <f t="shared" si="393"/>
        <v/>
      </c>
      <c r="AI393" s="34" t="str">
        <f t="shared" si="393"/>
        <v/>
      </c>
      <c r="AJ393" s="34" t="str">
        <f t="shared" si="393"/>
        <v/>
      </c>
      <c r="AK393" s="34" t="str">
        <f t="shared" si="393"/>
        <v/>
      </c>
      <c r="AL393" s="34" t="str">
        <f t="shared" si="393"/>
        <v/>
      </c>
      <c r="AM393" s="34" t="str">
        <f t="shared" si="393"/>
        <v/>
      </c>
      <c r="AN393" s="34" t="str">
        <f t="shared" si="393"/>
        <v/>
      </c>
      <c r="AO393" s="34" t="str">
        <f t="shared" si="393"/>
        <v/>
      </c>
      <c r="AP393" s="34" t="str">
        <f t="shared" si="393"/>
        <v/>
      </c>
      <c r="AQ393" s="76" t="s">
        <v>432</v>
      </c>
      <c r="AR393" s="77"/>
      <c r="AS393" s="77"/>
      <c r="AT393" s="77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77"/>
      <c r="BJ393" s="77"/>
      <c r="BK393" s="77"/>
      <c r="BL393" s="77"/>
      <c r="BM393" s="78"/>
    </row>
    <row r="394">
      <c r="A394" s="79">
        <v>2.5714285714285716</v>
      </c>
      <c r="B394" s="79" t="b">
        <v>0</v>
      </c>
      <c r="C394" s="79" t="b">
        <f t="shared" si="3"/>
        <v>0</v>
      </c>
      <c r="D394" s="80" t="s">
        <v>1565</v>
      </c>
      <c r="E394" s="81" t="s">
        <v>1047</v>
      </c>
      <c r="F394" s="82" t="s">
        <v>849</v>
      </c>
      <c r="G394" s="35" t="s">
        <v>837</v>
      </c>
      <c r="H394" s="37">
        <v>-7.722433702261089</v>
      </c>
      <c r="I394" s="37">
        <v>-2.1925749303321878</v>
      </c>
      <c r="J394" s="83" t="s">
        <v>2050</v>
      </c>
      <c r="K394" s="35">
        <v>30.6</v>
      </c>
      <c r="L394" s="79">
        <v>75.28107142857142</v>
      </c>
      <c r="M394" s="84">
        <v>29.0</v>
      </c>
      <c r="N394" s="84">
        <v>6.0</v>
      </c>
      <c r="O394" s="85">
        <v>-1.4999674306230562</v>
      </c>
      <c r="P394" s="85">
        <v>-1.030897160638576</v>
      </c>
      <c r="Q394" s="85">
        <v>-1.460335822563175</v>
      </c>
      <c r="R394" s="85">
        <v>-1.1035066903372281</v>
      </c>
      <c r="S394" s="85">
        <v>-1.2793679122939432</v>
      </c>
      <c r="T394" s="85">
        <v>-0.26916213154916574</v>
      </c>
      <c r="U394" s="85">
        <v>-0.6260739961719303</v>
      </c>
      <c r="V394" s="85">
        <v>0.0</v>
      </c>
      <c r="W394" s="85">
        <v>-1.8817951777479223</v>
      </c>
      <c r="X394" s="85">
        <v>1.4286726196639083</v>
      </c>
      <c r="Y394" s="50" t="s">
        <v>69</v>
      </c>
      <c r="Z394" s="50" t="s">
        <v>69</v>
      </c>
      <c r="AA394" s="50" t="s">
        <v>69</v>
      </c>
      <c r="AB394" s="50" t="s">
        <v>69</v>
      </c>
      <c r="AC394" s="34" t="str">
        <f t="shared" ref="AC394:AP394" si="394">LET(
  skater, IFERROR(INDEX(AllProj, MATCH($E394, AllProjNames, 0), MATCH(AC$2, AllProjCats, 0) + 1), ""),
  goalie, IFERROR(INDEX(AllGProj, MATCH($E394, AllGProjNames, 0), MATCH(AC$2, AllGProjCats, 0) + 1), ""),
  val, IF(skater &lt;&gt; "", skater, goalie),
  IF(OR($E394="", AC$2="", val=""), "", val * AC$1)
)</f>
        <v/>
      </c>
      <c r="AD394" s="34" t="str">
        <f t="shared" si="394"/>
        <v/>
      </c>
      <c r="AE394" s="34" t="str">
        <f t="shared" si="394"/>
        <v/>
      </c>
      <c r="AF394" s="34" t="str">
        <f t="shared" si="394"/>
        <v/>
      </c>
      <c r="AG394" s="34" t="str">
        <f t="shared" si="394"/>
        <v/>
      </c>
      <c r="AH394" s="34" t="str">
        <f t="shared" si="394"/>
        <v/>
      </c>
      <c r="AI394" s="34" t="str">
        <f t="shared" si="394"/>
        <v/>
      </c>
      <c r="AJ394" s="34" t="str">
        <f t="shared" si="394"/>
        <v/>
      </c>
      <c r="AK394" s="34" t="str">
        <f t="shared" si="394"/>
        <v/>
      </c>
      <c r="AL394" s="34" t="str">
        <f t="shared" si="394"/>
        <v/>
      </c>
      <c r="AM394" s="34" t="str">
        <f t="shared" si="394"/>
        <v/>
      </c>
      <c r="AN394" s="34" t="str">
        <f t="shared" si="394"/>
        <v/>
      </c>
      <c r="AO394" s="34" t="str">
        <f t="shared" si="394"/>
        <v/>
      </c>
      <c r="AP394" s="34" t="str">
        <f t="shared" si="394"/>
        <v/>
      </c>
      <c r="AQ394" s="76" t="s">
        <v>433</v>
      </c>
      <c r="AR394" s="77"/>
      <c r="AS394" s="77"/>
      <c r="AT394" s="77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77"/>
      <c r="BJ394" s="77"/>
      <c r="BK394" s="77"/>
      <c r="BL394" s="77"/>
      <c r="BM394" s="78"/>
    </row>
    <row r="395">
      <c r="A395" s="41">
        <v>2.5714285714285716</v>
      </c>
      <c r="B395" s="41" t="b">
        <v>0</v>
      </c>
      <c r="C395" s="41" t="b">
        <f t="shared" si="3"/>
        <v>0</v>
      </c>
      <c r="D395" s="42" t="s">
        <v>1565</v>
      </c>
      <c r="E395" s="43" t="s">
        <v>977</v>
      </c>
      <c r="F395" s="44" t="s">
        <v>1464</v>
      </c>
      <c r="G395" s="29" t="s">
        <v>831</v>
      </c>
      <c r="H395" s="32">
        <v>-7.732547953509478</v>
      </c>
      <c r="I395" s="32">
        <v>-2.2904103447816206</v>
      </c>
      <c r="J395" s="45" t="s">
        <v>2051</v>
      </c>
      <c r="K395" s="29">
        <v>33.1</v>
      </c>
      <c r="L395" s="41">
        <v>79.3045</v>
      </c>
      <c r="M395" s="46">
        <v>24.0</v>
      </c>
      <c r="N395" s="46">
        <v>7.0</v>
      </c>
      <c r="O395" s="47">
        <v>-1.1137756680764757</v>
      </c>
      <c r="P395" s="47">
        <v>-1.1826622618556764</v>
      </c>
      <c r="Q395" s="47">
        <v>-0.8601068501188167</v>
      </c>
      <c r="R395" s="47">
        <v>-0.6395075820628497</v>
      </c>
      <c r="S395" s="47">
        <v>-1.0805921913180467</v>
      </c>
      <c r="T395" s="47">
        <v>-0.22789691952687116</v>
      </c>
      <c r="U395" s="47">
        <v>-0.16191437347025162</v>
      </c>
      <c r="V395" s="47">
        <v>0.277468793533744</v>
      </c>
      <c r="W395" s="47">
        <v>-0.9016746270522735</v>
      </c>
      <c r="X395" s="47">
        <v>-1.8418862735619608</v>
      </c>
      <c r="Y395" s="50" t="s">
        <v>69</v>
      </c>
      <c r="Z395" s="50" t="s">
        <v>69</v>
      </c>
      <c r="AA395" s="50" t="s">
        <v>69</v>
      </c>
      <c r="AB395" s="50" t="s">
        <v>69</v>
      </c>
      <c r="AC395" s="34" t="str">
        <f t="shared" ref="AC395:AP395" si="395">LET(
  skater, IFERROR(INDEX(AllProj, MATCH($E395, AllProjNames, 0), MATCH(AC$2, AllProjCats, 0) + 1), ""),
  goalie, IFERROR(INDEX(AllGProj, MATCH($E395, AllGProjNames, 0), MATCH(AC$2, AllGProjCats, 0) + 1), ""),
  val, IF(skater &lt;&gt; "", skater, goalie),
  IF(OR($E395="", AC$2="", val=""), "", val * AC$1)
)</f>
        <v/>
      </c>
      <c r="AD395" s="34" t="str">
        <f t="shared" si="395"/>
        <v/>
      </c>
      <c r="AE395" s="34" t="str">
        <f t="shared" si="395"/>
        <v/>
      </c>
      <c r="AF395" s="34" t="str">
        <f t="shared" si="395"/>
        <v/>
      </c>
      <c r="AG395" s="34" t="str">
        <f t="shared" si="395"/>
        <v/>
      </c>
      <c r="AH395" s="34" t="str">
        <f t="shared" si="395"/>
        <v/>
      </c>
      <c r="AI395" s="34" t="str">
        <f t="shared" si="395"/>
        <v/>
      </c>
      <c r="AJ395" s="34" t="str">
        <f t="shared" si="395"/>
        <v/>
      </c>
      <c r="AK395" s="34" t="str">
        <f t="shared" si="395"/>
        <v/>
      </c>
      <c r="AL395" s="34" t="str">
        <f t="shared" si="395"/>
        <v/>
      </c>
      <c r="AM395" s="34" t="str">
        <f t="shared" si="395"/>
        <v/>
      </c>
      <c r="AN395" s="34" t="str">
        <f t="shared" si="395"/>
        <v/>
      </c>
      <c r="AO395" s="34" t="str">
        <f t="shared" si="395"/>
        <v/>
      </c>
      <c r="AP395" s="34" t="str">
        <f t="shared" si="395"/>
        <v/>
      </c>
      <c r="AQ395" s="76" t="s">
        <v>434</v>
      </c>
      <c r="AR395" s="77"/>
      <c r="AS395" s="77"/>
      <c r="AT395" s="77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77"/>
      <c r="BJ395" s="77"/>
      <c r="BK395" s="77"/>
      <c r="BL395" s="77"/>
      <c r="BM395" s="78"/>
    </row>
    <row r="396">
      <c r="A396" s="79">
        <v>2.5714285714285716</v>
      </c>
      <c r="B396" s="79" t="b">
        <v>0</v>
      </c>
      <c r="C396" s="79" t="b">
        <f t="shared" si="3"/>
        <v>0</v>
      </c>
      <c r="D396" s="80" t="s">
        <v>1565</v>
      </c>
      <c r="E396" s="81" t="s">
        <v>1074</v>
      </c>
      <c r="F396" s="82" t="s">
        <v>1454</v>
      </c>
      <c r="G396" s="35" t="s">
        <v>284</v>
      </c>
      <c r="H396" s="37">
        <v>-7.825898938668939</v>
      </c>
      <c r="I396" s="37">
        <v>-2.7878329184858535</v>
      </c>
      <c r="J396" s="83" t="s">
        <v>2052</v>
      </c>
      <c r="K396" s="35">
        <v>22.4</v>
      </c>
      <c r="L396" s="79">
        <v>73.24708333333334</v>
      </c>
      <c r="M396" s="84">
        <v>25.0</v>
      </c>
      <c r="N396" s="84">
        <v>6.0</v>
      </c>
      <c r="O396" s="85">
        <v>-0.03495561559967009</v>
      </c>
      <c r="P396" s="85">
        <v>-1.1348203675990778</v>
      </c>
      <c r="Q396" s="85">
        <v>-1.121559724573476</v>
      </c>
      <c r="R396" s="85">
        <v>-1.3018254390325468</v>
      </c>
      <c r="S396" s="85">
        <v>-1.1646671781040787</v>
      </c>
      <c r="T396" s="85">
        <v>-0.7832749912649523</v>
      </c>
      <c r="U396" s="85">
        <v>-0.3188214828805247</v>
      </c>
      <c r="V396" s="85">
        <v>0.6008468270148412</v>
      </c>
      <c r="W396" s="85">
        <v>-1.4655686839819932</v>
      </c>
      <c r="X396" s="85">
        <v>-1.10125228264746</v>
      </c>
      <c r="Y396" s="50" t="s">
        <v>69</v>
      </c>
      <c r="Z396" s="50" t="s">
        <v>69</v>
      </c>
      <c r="AA396" s="50" t="s">
        <v>69</v>
      </c>
      <c r="AB396" s="50" t="s">
        <v>69</v>
      </c>
      <c r="AC396" s="34" t="str">
        <f t="shared" ref="AC396:AP396" si="396">LET(
  skater, IFERROR(INDEX(AllProj, MATCH($E396, AllProjNames, 0), MATCH(AC$2, AllProjCats, 0) + 1), ""),
  goalie, IFERROR(INDEX(AllGProj, MATCH($E396, AllGProjNames, 0), MATCH(AC$2, AllGProjCats, 0) + 1), ""),
  val, IF(skater &lt;&gt; "", skater, goalie),
  IF(OR($E396="", AC$2="", val=""), "", val * AC$1)
)</f>
        <v/>
      </c>
      <c r="AD396" s="34" t="str">
        <f t="shared" si="396"/>
        <v/>
      </c>
      <c r="AE396" s="34" t="str">
        <f t="shared" si="396"/>
        <v/>
      </c>
      <c r="AF396" s="34" t="str">
        <f t="shared" si="396"/>
        <v/>
      </c>
      <c r="AG396" s="34" t="str">
        <f t="shared" si="396"/>
        <v/>
      </c>
      <c r="AH396" s="34" t="str">
        <f t="shared" si="396"/>
        <v/>
      </c>
      <c r="AI396" s="34" t="str">
        <f t="shared" si="396"/>
        <v/>
      </c>
      <c r="AJ396" s="34" t="str">
        <f t="shared" si="396"/>
        <v/>
      </c>
      <c r="AK396" s="34" t="str">
        <f t="shared" si="396"/>
        <v/>
      </c>
      <c r="AL396" s="34" t="str">
        <f t="shared" si="396"/>
        <v/>
      </c>
      <c r="AM396" s="34" t="str">
        <f t="shared" si="396"/>
        <v/>
      </c>
      <c r="AN396" s="34" t="str">
        <f t="shared" si="396"/>
        <v/>
      </c>
      <c r="AO396" s="34" t="str">
        <f t="shared" si="396"/>
        <v/>
      </c>
      <c r="AP396" s="34" t="str">
        <f t="shared" si="396"/>
        <v/>
      </c>
      <c r="AQ396" s="76" t="s">
        <v>435</v>
      </c>
      <c r="AR396" s="77"/>
      <c r="AS396" s="77"/>
      <c r="AT396" s="77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8"/>
    </row>
    <row r="397">
      <c r="A397" s="41">
        <v>2.5714285714285716</v>
      </c>
      <c r="B397" s="41" t="b">
        <v>0</v>
      </c>
      <c r="C397" s="41" t="b">
        <f t="shared" si="3"/>
        <v>0</v>
      </c>
      <c r="D397" s="42" t="s">
        <v>1565</v>
      </c>
      <c r="E397" s="43" t="s">
        <v>965</v>
      </c>
      <c r="F397" s="44" t="s">
        <v>1779</v>
      </c>
      <c r="G397" s="29" t="s">
        <v>836</v>
      </c>
      <c r="H397" s="32">
        <v>-7.841122720119229</v>
      </c>
      <c r="I397" s="32">
        <v>-2.3989851113913714</v>
      </c>
      <c r="J397" s="45" t="s">
        <v>2053</v>
      </c>
      <c r="K397" s="29">
        <v>29.9</v>
      </c>
      <c r="L397" s="41">
        <v>82.58573529411764</v>
      </c>
      <c r="M397" s="46">
        <v>27.0</v>
      </c>
      <c r="N397" s="46">
        <v>6.0</v>
      </c>
      <c r="O397" s="47">
        <v>0.543092699768026</v>
      </c>
      <c r="P397" s="47">
        <v>-0.9486695729181177</v>
      </c>
      <c r="Q397" s="47">
        <v>-4.325009808445907</v>
      </c>
      <c r="R397" s="47">
        <v>-1.8266208807010023</v>
      </c>
      <c r="S397" s="47">
        <v>0.7377907699075542</v>
      </c>
      <c r="T397" s="47">
        <v>-0.30292081348795313</v>
      </c>
      <c r="U397" s="47">
        <v>0.8233931187003646</v>
      </c>
      <c r="V397" s="47">
        <v>0.0</v>
      </c>
      <c r="W397" s="47">
        <v>-1.0749788451760889</v>
      </c>
      <c r="X397" s="47">
        <v>-1.4671993877661047</v>
      </c>
      <c r="Y397" s="50" t="s">
        <v>69</v>
      </c>
      <c r="Z397" s="50" t="s">
        <v>69</v>
      </c>
      <c r="AA397" s="50" t="s">
        <v>69</v>
      </c>
      <c r="AB397" s="50" t="s">
        <v>69</v>
      </c>
      <c r="AC397" s="34" t="str">
        <f t="shared" ref="AC397:AP397" si="397">LET(
  skater, IFERROR(INDEX(AllProj, MATCH($E397, AllProjNames, 0), MATCH(AC$2, AllProjCats, 0) + 1), ""),
  goalie, IFERROR(INDEX(AllGProj, MATCH($E397, AllGProjNames, 0), MATCH(AC$2, AllGProjCats, 0) + 1), ""),
  val, IF(skater &lt;&gt; "", skater, goalie),
  IF(OR($E397="", AC$2="", val=""), "", val * AC$1)
)</f>
        <v/>
      </c>
      <c r="AD397" s="34" t="str">
        <f t="shared" si="397"/>
        <v/>
      </c>
      <c r="AE397" s="34" t="str">
        <f t="shared" si="397"/>
        <v/>
      </c>
      <c r="AF397" s="34" t="str">
        <f t="shared" si="397"/>
        <v/>
      </c>
      <c r="AG397" s="34" t="str">
        <f t="shared" si="397"/>
        <v/>
      </c>
      <c r="AH397" s="34" t="str">
        <f t="shared" si="397"/>
        <v/>
      </c>
      <c r="AI397" s="34" t="str">
        <f t="shared" si="397"/>
        <v/>
      </c>
      <c r="AJ397" s="34" t="str">
        <f t="shared" si="397"/>
        <v/>
      </c>
      <c r="AK397" s="34" t="str">
        <f t="shared" si="397"/>
        <v/>
      </c>
      <c r="AL397" s="34" t="str">
        <f t="shared" si="397"/>
        <v/>
      </c>
      <c r="AM397" s="34" t="str">
        <f t="shared" si="397"/>
        <v/>
      </c>
      <c r="AN397" s="34" t="str">
        <f t="shared" si="397"/>
        <v/>
      </c>
      <c r="AO397" s="34" t="str">
        <f t="shared" si="397"/>
        <v/>
      </c>
      <c r="AP397" s="34" t="str">
        <f t="shared" si="397"/>
        <v/>
      </c>
      <c r="AQ397" s="76" t="s">
        <v>436</v>
      </c>
      <c r="AR397" s="77"/>
      <c r="AS397" s="77"/>
      <c r="AT397" s="77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8"/>
    </row>
    <row r="398">
      <c r="A398" s="79">
        <v>2.5714285714285716</v>
      </c>
      <c r="B398" s="79" t="b">
        <v>0</v>
      </c>
      <c r="C398" s="79" t="b">
        <f t="shared" si="3"/>
        <v>0</v>
      </c>
      <c r="D398" s="80" t="s">
        <v>1565</v>
      </c>
      <c r="E398" s="81" t="s">
        <v>966</v>
      </c>
      <c r="F398" s="82" t="s">
        <v>1498</v>
      </c>
      <c r="G398" s="79" t="s">
        <v>836</v>
      </c>
      <c r="H398" s="37">
        <v>-7.844401494039259</v>
      </c>
      <c r="I398" s="37">
        <v>-2.4022638853114016</v>
      </c>
      <c r="J398" s="83" t="s">
        <v>2054</v>
      </c>
      <c r="K398" s="35">
        <v>25.6</v>
      </c>
      <c r="L398" s="79">
        <v>77.77777777777777</v>
      </c>
      <c r="M398" s="84">
        <v>28.0</v>
      </c>
      <c r="N398" s="84">
        <v>7.0</v>
      </c>
      <c r="O398" s="85">
        <v>0.2969026091353304</v>
      </c>
      <c r="P398" s="85">
        <v>-0.6119809680945889</v>
      </c>
      <c r="Q398" s="85">
        <v>-2.042122274598999</v>
      </c>
      <c r="R398" s="85">
        <v>-2.0342711005476577</v>
      </c>
      <c r="S398" s="85">
        <v>-0.7185602064862098</v>
      </c>
      <c r="T398" s="96" t="s">
        <v>69</v>
      </c>
      <c r="U398" s="85">
        <v>0.1641464754764522</v>
      </c>
      <c r="V398" s="85">
        <v>0.0</v>
      </c>
      <c r="W398" s="85">
        <v>-1.303840366406263</v>
      </c>
      <c r="X398" s="85">
        <v>-1.5946756625173242</v>
      </c>
      <c r="Y398" s="50" t="s">
        <v>69</v>
      </c>
      <c r="Z398" s="50" t="s">
        <v>69</v>
      </c>
      <c r="AA398" s="50" t="s">
        <v>69</v>
      </c>
      <c r="AB398" s="50" t="s">
        <v>69</v>
      </c>
      <c r="AC398" s="34" t="str">
        <f t="shared" ref="AC398:AP398" si="398">LET(
  skater, IFERROR(INDEX(AllProj, MATCH($E398, AllProjNames, 0), MATCH(AC$2, AllProjCats, 0) + 1), ""),
  goalie, IFERROR(INDEX(AllGProj, MATCH($E398, AllGProjNames, 0), MATCH(AC$2, AllGProjCats, 0) + 1), ""),
  val, IF(skater &lt;&gt; "", skater, goalie),
  IF(OR($E398="", AC$2="", val=""), "", val * AC$1)
)</f>
        <v/>
      </c>
      <c r="AD398" s="34" t="str">
        <f t="shared" si="398"/>
        <v/>
      </c>
      <c r="AE398" s="34" t="str">
        <f t="shared" si="398"/>
        <v/>
      </c>
      <c r="AF398" s="34" t="str">
        <f t="shared" si="398"/>
        <v/>
      </c>
      <c r="AG398" s="34" t="str">
        <f t="shared" si="398"/>
        <v/>
      </c>
      <c r="AH398" s="34" t="str">
        <f t="shared" si="398"/>
        <v/>
      </c>
      <c r="AI398" s="34" t="str">
        <f t="shared" si="398"/>
        <v/>
      </c>
      <c r="AJ398" s="34" t="str">
        <f t="shared" si="398"/>
        <v/>
      </c>
      <c r="AK398" s="34" t="str">
        <f t="shared" si="398"/>
        <v/>
      </c>
      <c r="AL398" s="34" t="str">
        <f t="shared" si="398"/>
        <v/>
      </c>
      <c r="AM398" s="34" t="str">
        <f t="shared" si="398"/>
        <v/>
      </c>
      <c r="AN398" s="34" t="str">
        <f t="shared" si="398"/>
        <v/>
      </c>
      <c r="AO398" s="34" t="str">
        <f t="shared" si="398"/>
        <v/>
      </c>
      <c r="AP398" s="34" t="str">
        <f t="shared" si="398"/>
        <v/>
      </c>
      <c r="AQ398" s="76" t="s">
        <v>437</v>
      </c>
      <c r="AR398" s="77"/>
      <c r="AS398" s="77"/>
      <c r="AT398" s="77"/>
      <c r="AU398" s="77"/>
      <c r="AV398" s="77"/>
      <c r="AW398" s="77"/>
      <c r="AX398" s="77"/>
      <c r="AY398" s="77"/>
      <c r="AZ398" s="77"/>
      <c r="BA398" s="77"/>
      <c r="BB398" s="77"/>
      <c r="BC398" s="77"/>
      <c r="BD398" s="77"/>
      <c r="BE398" s="77"/>
      <c r="BF398" s="77"/>
      <c r="BG398" s="77"/>
      <c r="BH398" s="77"/>
      <c r="BI398" s="77"/>
      <c r="BJ398" s="77"/>
      <c r="BK398" s="77"/>
      <c r="BL398" s="77"/>
      <c r="BM398" s="78"/>
    </row>
    <row r="399">
      <c r="A399" s="41">
        <v>2.5</v>
      </c>
      <c r="B399" s="41" t="b">
        <v>0</v>
      </c>
      <c r="C399" s="41" t="b">
        <f t="shared" si="3"/>
        <v>0</v>
      </c>
      <c r="D399" s="42" t="s">
        <v>1565</v>
      </c>
      <c r="E399" s="43" t="s">
        <v>906</v>
      </c>
      <c r="F399" s="44" t="s">
        <v>1548</v>
      </c>
      <c r="G399" s="29" t="s">
        <v>831</v>
      </c>
      <c r="H399" s="32">
        <v>-7.844694156795707</v>
      </c>
      <c r="I399" s="32">
        <v>-2.4025565480678495</v>
      </c>
      <c r="J399" s="45" t="s">
        <v>2055</v>
      </c>
      <c r="K399" s="29">
        <v>37.0</v>
      </c>
      <c r="L399" s="41">
        <v>82.69916666666667</v>
      </c>
      <c r="M399" s="46">
        <v>34.0</v>
      </c>
      <c r="N399" s="46">
        <v>7.0</v>
      </c>
      <c r="O399" s="47">
        <v>-0.6190769621555653</v>
      </c>
      <c r="P399" s="47">
        <v>-1.2620255960058366</v>
      </c>
      <c r="Q399" s="47">
        <v>-1.0619749478594847</v>
      </c>
      <c r="R399" s="47">
        <v>-0.5013307689542024</v>
      </c>
      <c r="S399" s="47">
        <v>-1.133965061986332</v>
      </c>
      <c r="T399" s="47">
        <v>0.24385561260746147</v>
      </c>
      <c r="U399" s="47">
        <v>-0.5744103471479497</v>
      </c>
      <c r="V399" s="47">
        <v>0.0</v>
      </c>
      <c r="W399" s="47">
        <v>-1.1560255506111878</v>
      </c>
      <c r="X399" s="47">
        <v>-1.7797405346826105</v>
      </c>
      <c r="Y399" s="50" t="s">
        <v>69</v>
      </c>
      <c r="Z399" s="50" t="s">
        <v>69</v>
      </c>
      <c r="AA399" s="50" t="s">
        <v>69</v>
      </c>
      <c r="AB399" s="50" t="s">
        <v>69</v>
      </c>
      <c r="AC399" s="34" t="str">
        <f t="shared" ref="AC399:AP399" si="399">LET(
  skater, IFERROR(INDEX(AllProj, MATCH($E399, AllProjNames, 0), MATCH(AC$2, AllProjCats, 0) + 1), ""),
  goalie, IFERROR(INDEX(AllGProj, MATCH($E399, AllGProjNames, 0), MATCH(AC$2, AllGProjCats, 0) + 1), ""),
  val, IF(skater &lt;&gt; "", skater, goalie),
  IF(OR($E399="", AC$2="", val=""), "", val * AC$1)
)</f>
        <v/>
      </c>
      <c r="AD399" s="34" t="str">
        <f t="shared" si="399"/>
        <v/>
      </c>
      <c r="AE399" s="34" t="str">
        <f t="shared" si="399"/>
        <v/>
      </c>
      <c r="AF399" s="34" t="str">
        <f t="shared" si="399"/>
        <v/>
      </c>
      <c r="AG399" s="34" t="str">
        <f t="shared" si="399"/>
        <v/>
      </c>
      <c r="AH399" s="34" t="str">
        <f t="shared" si="399"/>
        <v/>
      </c>
      <c r="AI399" s="34" t="str">
        <f t="shared" si="399"/>
        <v/>
      </c>
      <c r="AJ399" s="34" t="str">
        <f t="shared" si="399"/>
        <v/>
      </c>
      <c r="AK399" s="34" t="str">
        <f t="shared" si="399"/>
        <v/>
      </c>
      <c r="AL399" s="34" t="str">
        <f t="shared" si="399"/>
        <v/>
      </c>
      <c r="AM399" s="34" t="str">
        <f t="shared" si="399"/>
        <v/>
      </c>
      <c r="AN399" s="34" t="str">
        <f t="shared" si="399"/>
        <v/>
      </c>
      <c r="AO399" s="34" t="str">
        <f t="shared" si="399"/>
        <v/>
      </c>
      <c r="AP399" s="34" t="str">
        <f t="shared" si="399"/>
        <v/>
      </c>
      <c r="AQ399" s="76" t="s">
        <v>438</v>
      </c>
      <c r="AR399" s="77"/>
      <c r="AS399" s="77"/>
      <c r="AT399" s="77"/>
      <c r="AU399" s="77"/>
      <c r="AV399" s="77"/>
      <c r="AW399" s="77"/>
      <c r="AX399" s="77"/>
      <c r="AY399" s="77"/>
      <c r="AZ399" s="77"/>
      <c r="BA399" s="77"/>
      <c r="BB399" s="77"/>
      <c r="BC399" s="77"/>
      <c r="BD399" s="77"/>
      <c r="BE399" s="77"/>
      <c r="BF399" s="77"/>
      <c r="BG399" s="77"/>
      <c r="BH399" s="77"/>
      <c r="BI399" s="77"/>
      <c r="BJ399" s="77"/>
      <c r="BK399" s="77"/>
      <c r="BL399" s="77"/>
      <c r="BM399" s="78"/>
    </row>
    <row r="400">
      <c r="A400" s="79">
        <v>2.5714285714285716</v>
      </c>
      <c r="B400" s="79" t="b">
        <v>0</v>
      </c>
      <c r="C400" s="79" t="b">
        <f t="shared" si="3"/>
        <v>0</v>
      </c>
      <c r="D400" s="80" t="s">
        <v>1565</v>
      </c>
      <c r="E400" s="81" t="s">
        <v>936</v>
      </c>
      <c r="F400" s="82" t="s">
        <v>1429</v>
      </c>
      <c r="G400" s="35" t="s">
        <v>284</v>
      </c>
      <c r="H400" s="37">
        <v>-7.848387401590916</v>
      </c>
      <c r="I400" s="37">
        <v>-2.8103213814078307</v>
      </c>
      <c r="J400" s="83" t="s">
        <v>2056</v>
      </c>
      <c r="K400" s="35">
        <v>30.1</v>
      </c>
      <c r="L400" s="79">
        <v>75.0</v>
      </c>
      <c r="M400" s="84">
        <v>24.0</v>
      </c>
      <c r="N400" s="84">
        <v>7.0</v>
      </c>
      <c r="O400" s="85">
        <v>-1.90245867586691</v>
      </c>
      <c r="P400" s="85">
        <v>-1.3770513943836846</v>
      </c>
      <c r="Q400" s="96" t="s">
        <v>69</v>
      </c>
      <c r="R400" s="85">
        <v>-0.8737461619750322</v>
      </c>
      <c r="S400" s="96" t="s">
        <v>69</v>
      </c>
      <c r="T400" s="96" t="s">
        <v>69</v>
      </c>
      <c r="U400" s="85">
        <v>-3.0372515762074626</v>
      </c>
      <c r="V400" s="96" t="s">
        <v>69</v>
      </c>
      <c r="W400" s="85">
        <v>0.37147400792539265</v>
      </c>
      <c r="X400" s="85">
        <v>-1.0293536010832192</v>
      </c>
      <c r="Y400" s="50" t="s">
        <v>69</v>
      </c>
      <c r="Z400" s="50" t="s">
        <v>69</v>
      </c>
      <c r="AA400" s="50" t="s">
        <v>69</v>
      </c>
      <c r="AB400" s="50" t="s">
        <v>69</v>
      </c>
      <c r="AC400" s="34" t="str">
        <f t="shared" ref="AC400:AP400" si="400">LET(
  skater, IFERROR(INDEX(AllProj, MATCH($E400, AllProjNames, 0), MATCH(AC$2, AllProjCats, 0) + 1), ""),
  goalie, IFERROR(INDEX(AllGProj, MATCH($E400, AllGProjNames, 0), MATCH(AC$2, AllGProjCats, 0) + 1), ""),
  val, IF(skater &lt;&gt; "", skater, goalie),
  IF(OR($E400="", AC$2="", val=""), "", val * AC$1)
)</f>
        <v/>
      </c>
      <c r="AD400" s="34" t="str">
        <f t="shared" si="400"/>
        <v/>
      </c>
      <c r="AE400" s="34" t="str">
        <f t="shared" si="400"/>
        <v/>
      </c>
      <c r="AF400" s="34" t="str">
        <f t="shared" si="400"/>
        <v/>
      </c>
      <c r="AG400" s="34" t="str">
        <f t="shared" si="400"/>
        <v/>
      </c>
      <c r="AH400" s="34" t="str">
        <f t="shared" si="400"/>
        <v/>
      </c>
      <c r="AI400" s="34" t="str">
        <f t="shared" si="400"/>
        <v/>
      </c>
      <c r="AJ400" s="34" t="str">
        <f t="shared" si="400"/>
        <v/>
      </c>
      <c r="AK400" s="34" t="str">
        <f t="shared" si="400"/>
        <v/>
      </c>
      <c r="AL400" s="34" t="str">
        <f t="shared" si="400"/>
        <v/>
      </c>
      <c r="AM400" s="34" t="str">
        <f t="shared" si="400"/>
        <v/>
      </c>
      <c r="AN400" s="34" t="str">
        <f t="shared" si="400"/>
        <v/>
      </c>
      <c r="AO400" s="34" t="str">
        <f t="shared" si="400"/>
        <v/>
      </c>
      <c r="AP400" s="34" t="str">
        <f t="shared" si="400"/>
        <v/>
      </c>
      <c r="AQ400" s="76" t="s">
        <v>439</v>
      </c>
      <c r="AR400" s="77"/>
      <c r="AS400" s="77"/>
      <c r="AT400" s="77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77"/>
      <c r="BJ400" s="77"/>
      <c r="BK400" s="77"/>
      <c r="BL400" s="77"/>
      <c r="BM400" s="78"/>
    </row>
    <row r="401">
      <c r="A401" s="41">
        <v>2.642857142857143</v>
      </c>
      <c r="B401" s="41" t="b">
        <v>0</v>
      </c>
      <c r="C401" s="41" t="b">
        <f t="shared" si="3"/>
        <v>0</v>
      </c>
      <c r="D401" s="42" t="s">
        <v>1565</v>
      </c>
      <c r="E401" s="43" t="s">
        <v>1160</v>
      </c>
      <c r="F401" s="44" t="s">
        <v>1710</v>
      </c>
      <c r="G401" s="29" t="s">
        <v>829</v>
      </c>
      <c r="H401" s="32">
        <v>-7.855583236898379</v>
      </c>
      <c r="I401" s="32">
        <v>-2.413445628170522</v>
      </c>
      <c r="J401" s="45" t="s">
        <v>2057</v>
      </c>
      <c r="K401" s="29">
        <v>26.8</v>
      </c>
      <c r="L401" s="41">
        <v>80.14285714285714</v>
      </c>
      <c r="M401" s="46">
        <v>23.0</v>
      </c>
      <c r="N401" s="46">
        <v>6.0</v>
      </c>
      <c r="O401" s="47">
        <v>-1.8773071491006836</v>
      </c>
      <c r="P401" s="47">
        <v>-1.6531263359455517</v>
      </c>
      <c r="Q401" s="47">
        <v>-2.0451754151928268</v>
      </c>
      <c r="R401" s="47">
        <v>1.1512514349221</v>
      </c>
      <c r="S401" s="47">
        <v>-1.533253666995465</v>
      </c>
      <c r="T401" s="47">
        <v>-0.7871777123417198</v>
      </c>
      <c r="U401" s="47">
        <v>-1.8411360659184062</v>
      </c>
      <c r="V401" s="47">
        <v>0.0</v>
      </c>
      <c r="W401" s="47">
        <v>2.682357886284552</v>
      </c>
      <c r="X401" s="47">
        <v>-1.9520162126103784</v>
      </c>
      <c r="Y401" s="50" t="s">
        <v>69</v>
      </c>
      <c r="Z401" s="50" t="s">
        <v>69</v>
      </c>
      <c r="AA401" s="50" t="s">
        <v>69</v>
      </c>
      <c r="AB401" s="50" t="s">
        <v>69</v>
      </c>
      <c r="AC401" s="34" t="str">
        <f t="shared" ref="AC401:AP401" si="401">LET(
  skater, IFERROR(INDEX(AllProj, MATCH($E401, AllProjNames, 0), MATCH(AC$2, AllProjCats, 0) + 1), ""),
  goalie, IFERROR(INDEX(AllGProj, MATCH($E401, AllGProjNames, 0), MATCH(AC$2, AllGProjCats, 0) + 1), ""),
  val, IF(skater &lt;&gt; "", skater, goalie),
  IF(OR($E401="", AC$2="", val=""), "", val * AC$1)
)</f>
        <v/>
      </c>
      <c r="AD401" s="34" t="str">
        <f t="shared" si="401"/>
        <v/>
      </c>
      <c r="AE401" s="34" t="str">
        <f t="shared" si="401"/>
        <v/>
      </c>
      <c r="AF401" s="34" t="str">
        <f t="shared" si="401"/>
        <v/>
      </c>
      <c r="AG401" s="34" t="str">
        <f t="shared" si="401"/>
        <v/>
      </c>
      <c r="AH401" s="34" t="str">
        <f t="shared" si="401"/>
        <v/>
      </c>
      <c r="AI401" s="34" t="str">
        <f t="shared" si="401"/>
        <v/>
      </c>
      <c r="AJ401" s="34" t="str">
        <f t="shared" si="401"/>
        <v/>
      </c>
      <c r="AK401" s="34" t="str">
        <f t="shared" si="401"/>
        <v/>
      </c>
      <c r="AL401" s="34" t="str">
        <f t="shared" si="401"/>
        <v/>
      </c>
      <c r="AM401" s="34" t="str">
        <f t="shared" si="401"/>
        <v/>
      </c>
      <c r="AN401" s="34" t="str">
        <f t="shared" si="401"/>
        <v/>
      </c>
      <c r="AO401" s="34" t="str">
        <f t="shared" si="401"/>
        <v/>
      </c>
      <c r="AP401" s="34" t="str">
        <f t="shared" si="401"/>
        <v/>
      </c>
      <c r="AQ401" s="76" t="s">
        <v>440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77"/>
      <c r="BJ401" s="77"/>
      <c r="BK401" s="77"/>
      <c r="BL401" s="77"/>
      <c r="BM401" s="78"/>
    </row>
    <row r="402">
      <c r="A402" s="79">
        <v>2.5</v>
      </c>
      <c r="B402" s="79" t="b">
        <v>0</v>
      </c>
      <c r="C402" s="79" t="b">
        <f t="shared" si="3"/>
        <v>0</v>
      </c>
      <c r="D402" s="80" t="s">
        <v>1565</v>
      </c>
      <c r="E402" s="81" t="s">
        <v>889</v>
      </c>
      <c r="F402" s="82" t="s">
        <v>1779</v>
      </c>
      <c r="G402" s="35" t="s">
        <v>284</v>
      </c>
      <c r="H402" s="37">
        <v>-7.861254578573339</v>
      </c>
      <c r="I402" s="37">
        <v>-2.823188558390254</v>
      </c>
      <c r="J402" s="83" t="s">
        <v>2058</v>
      </c>
      <c r="K402" s="35">
        <v>25.0</v>
      </c>
      <c r="L402" s="79">
        <v>78.23823529411764</v>
      </c>
      <c r="M402" s="84">
        <v>27.0</v>
      </c>
      <c r="N402" s="84">
        <v>6.0</v>
      </c>
      <c r="O402" s="85">
        <v>0.04468491026479969</v>
      </c>
      <c r="P402" s="85">
        <v>0.15860853884439147</v>
      </c>
      <c r="Q402" s="85">
        <v>-3.8655407383173515</v>
      </c>
      <c r="R402" s="85">
        <v>-1.2400114944972331</v>
      </c>
      <c r="S402" s="85">
        <v>0.4443363774676614</v>
      </c>
      <c r="T402" s="85">
        <v>-0.6405836580810143</v>
      </c>
      <c r="U402" s="85">
        <v>-0.8204355753433067</v>
      </c>
      <c r="V402" s="85">
        <v>0.8952768827085846</v>
      </c>
      <c r="W402" s="85">
        <v>-1.414140143556276</v>
      </c>
      <c r="X402" s="85">
        <v>-1.4234496780635943</v>
      </c>
      <c r="Y402" s="50" t="s">
        <v>69</v>
      </c>
      <c r="Z402" s="50" t="s">
        <v>69</v>
      </c>
      <c r="AA402" s="50" t="s">
        <v>69</v>
      </c>
      <c r="AB402" s="50" t="s">
        <v>69</v>
      </c>
      <c r="AC402" s="34" t="str">
        <f t="shared" ref="AC402:AP402" si="402">LET(
  skater, IFERROR(INDEX(AllProj, MATCH($E402, AllProjNames, 0), MATCH(AC$2, AllProjCats, 0) + 1), ""),
  goalie, IFERROR(INDEX(AllGProj, MATCH($E402, AllGProjNames, 0), MATCH(AC$2, AllGProjCats, 0) + 1), ""),
  val, IF(skater &lt;&gt; "", skater, goalie),
  IF(OR($E402="", AC$2="", val=""), "", val * AC$1)
)</f>
        <v/>
      </c>
      <c r="AD402" s="34" t="str">
        <f t="shared" si="402"/>
        <v/>
      </c>
      <c r="AE402" s="34" t="str">
        <f t="shared" si="402"/>
        <v/>
      </c>
      <c r="AF402" s="34" t="str">
        <f t="shared" si="402"/>
        <v/>
      </c>
      <c r="AG402" s="34" t="str">
        <f t="shared" si="402"/>
        <v/>
      </c>
      <c r="AH402" s="34" t="str">
        <f t="shared" si="402"/>
        <v/>
      </c>
      <c r="AI402" s="34" t="str">
        <f t="shared" si="402"/>
        <v/>
      </c>
      <c r="AJ402" s="34" t="str">
        <f t="shared" si="402"/>
        <v/>
      </c>
      <c r="AK402" s="34" t="str">
        <f t="shared" si="402"/>
        <v/>
      </c>
      <c r="AL402" s="34" t="str">
        <f t="shared" si="402"/>
        <v/>
      </c>
      <c r="AM402" s="34" t="str">
        <f t="shared" si="402"/>
        <v/>
      </c>
      <c r="AN402" s="34" t="str">
        <f t="shared" si="402"/>
        <v/>
      </c>
      <c r="AO402" s="34" t="str">
        <f t="shared" si="402"/>
        <v/>
      </c>
      <c r="AP402" s="34" t="str">
        <f t="shared" si="402"/>
        <v/>
      </c>
      <c r="AQ402" s="76" t="s">
        <v>441</v>
      </c>
      <c r="AR402" s="77"/>
      <c r="AS402" s="77"/>
      <c r="AT402" s="77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8"/>
    </row>
    <row r="403">
      <c r="A403" s="41">
        <v>2.5714285714285716</v>
      </c>
      <c r="B403" s="41" t="b">
        <v>0</v>
      </c>
      <c r="C403" s="41" t="b">
        <f t="shared" si="3"/>
        <v>0</v>
      </c>
      <c r="D403" s="42" t="s">
        <v>1565</v>
      </c>
      <c r="E403" s="43" t="s">
        <v>1038</v>
      </c>
      <c r="F403" s="44" t="s">
        <v>1416</v>
      </c>
      <c r="G403" s="29" t="s">
        <v>284</v>
      </c>
      <c r="H403" s="32">
        <v>-7.87189647400476</v>
      </c>
      <c r="I403" s="32">
        <v>-2.833830453821675</v>
      </c>
      <c r="J403" s="45" t="s">
        <v>2059</v>
      </c>
      <c r="K403" s="29">
        <v>30.3</v>
      </c>
      <c r="L403" s="41">
        <v>79.7635</v>
      </c>
      <c r="M403" s="46">
        <v>29.0</v>
      </c>
      <c r="N403" s="46">
        <v>7.0</v>
      </c>
      <c r="O403" s="47">
        <v>-1.1825168959384424</v>
      </c>
      <c r="P403" s="47">
        <v>-1.2559972930083958</v>
      </c>
      <c r="Q403" s="47">
        <v>-1.0667309666896017</v>
      </c>
      <c r="R403" s="47">
        <v>-1.596498409147365</v>
      </c>
      <c r="S403" s="47">
        <v>-1.669020470750151</v>
      </c>
      <c r="T403" s="47">
        <v>0.9572588087581368</v>
      </c>
      <c r="U403" s="47">
        <v>-1.9400735648882923</v>
      </c>
      <c r="V403" s="47">
        <v>1.407927636741289</v>
      </c>
      <c r="W403" s="47">
        <v>-0.5590639080885436</v>
      </c>
      <c r="X403" s="47">
        <v>-0.9671814109933936</v>
      </c>
      <c r="Y403" s="50" t="s">
        <v>69</v>
      </c>
      <c r="Z403" s="50" t="s">
        <v>69</v>
      </c>
      <c r="AA403" s="50" t="s">
        <v>69</v>
      </c>
      <c r="AB403" s="50" t="s">
        <v>69</v>
      </c>
      <c r="AC403" s="34" t="str">
        <f t="shared" ref="AC403:AP403" si="403">LET(
  skater, IFERROR(INDEX(AllProj, MATCH($E403, AllProjNames, 0), MATCH(AC$2, AllProjCats, 0) + 1), ""),
  goalie, IFERROR(INDEX(AllGProj, MATCH($E403, AllGProjNames, 0), MATCH(AC$2, AllGProjCats, 0) + 1), ""),
  val, IF(skater &lt;&gt; "", skater, goalie),
  IF(OR($E403="", AC$2="", val=""), "", val * AC$1)
)</f>
        <v/>
      </c>
      <c r="AD403" s="34" t="str">
        <f t="shared" si="403"/>
        <v/>
      </c>
      <c r="AE403" s="34" t="str">
        <f t="shared" si="403"/>
        <v/>
      </c>
      <c r="AF403" s="34" t="str">
        <f t="shared" si="403"/>
        <v/>
      </c>
      <c r="AG403" s="34" t="str">
        <f t="shared" si="403"/>
        <v/>
      </c>
      <c r="AH403" s="34" t="str">
        <f t="shared" si="403"/>
        <v/>
      </c>
      <c r="AI403" s="34" t="str">
        <f t="shared" si="403"/>
        <v/>
      </c>
      <c r="AJ403" s="34" t="str">
        <f t="shared" si="403"/>
        <v/>
      </c>
      <c r="AK403" s="34" t="str">
        <f t="shared" si="403"/>
        <v/>
      </c>
      <c r="AL403" s="34" t="str">
        <f t="shared" si="403"/>
        <v/>
      </c>
      <c r="AM403" s="34" t="str">
        <f t="shared" si="403"/>
        <v/>
      </c>
      <c r="AN403" s="34" t="str">
        <f t="shared" si="403"/>
        <v/>
      </c>
      <c r="AO403" s="34" t="str">
        <f t="shared" si="403"/>
        <v/>
      </c>
      <c r="AP403" s="34" t="str">
        <f t="shared" si="403"/>
        <v/>
      </c>
      <c r="AQ403" s="76" t="s">
        <v>442</v>
      </c>
      <c r="AR403" s="77"/>
      <c r="AS403" s="77"/>
      <c r="AT403" s="77"/>
      <c r="AU403" s="77"/>
      <c r="AV403" s="77"/>
      <c r="AW403" s="77"/>
      <c r="AX403" s="77"/>
      <c r="AY403" s="77"/>
      <c r="AZ403" s="77"/>
      <c r="BA403" s="77"/>
      <c r="BB403" s="77"/>
      <c r="BC403" s="77"/>
      <c r="BD403" s="77"/>
      <c r="BE403" s="77"/>
      <c r="BF403" s="77"/>
      <c r="BG403" s="77"/>
      <c r="BH403" s="77"/>
      <c r="BI403" s="77"/>
      <c r="BJ403" s="77"/>
      <c r="BK403" s="77"/>
      <c r="BL403" s="77"/>
      <c r="BM403" s="78"/>
    </row>
    <row r="404">
      <c r="A404" s="79" t="s">
        <v>69</v>
      </c>
      <c r="B404" s="79" t="b">
        <v>0</v>
      </c>
      <c r="C404" s="79" t="b">
        <f t="shared" si="3"/>
        <v>1</v>
      </c>
      <c r="D404" s="80" t="s">
        <v>827</v>
      </c>
      <c r="E404" s="81" t="s">
        <v>2060</v>
      </c>
      <c r="F404" s="82" t="s">
        <v>1444</v>
      </c>
      <c r="G404" s="35" t="s">
        <v>837</v>
      </c>
      <c r="H404" s="37">
        <v>-7.8734136394375955</v>
      </c>
      <c r="I404" s="37">
        <v>-2.3435548675086944</v>
      </c>
      <c r="J404" s="83" t="s">
        <v>2061</v>
      </c>
      <c r="K404" s="35">
        <v>30.8</v>
      </c>
      <c r="L404" s="79">
        <v>82.42999999999999</v>
      </c>
      <c r="M404" s="84">
        <v>33.0</v>
      </c>
      <c r="N404" s="84">
        <v>6.0</v>
      </c>
      <c r="O404" s="85">
        <v>-1.6324396505009173</v>
      </c>
      <c r="P404" s="85">
        <v>-0.9099740830567411</v>
      </c>
      <c r="Q404" s="85">
        <v>-1.0445538868675301</v>
      </c>
      <c r="R404" s="85">
        <v>-0.4944291338668073</v>
      </c>
      <c r="S404" s="85">
        <v>-1.4142903091862948</v>
      </c>
      <c r="T404" s="85">
        <v>-0.2954438057332291</v>
      </c>
      <c r="U404" s="85">
        <v>-1.231818321244605</v>
      </c>
      <c r="V404" s="85">
        <v>0.0</v>
      </c>
      <c r="W404" s="85">
        <v>-1.5957264875399806</v>
      </c>
      <c r="X404" s="85">
        <v>0.7452620385585091</v>
      </c>
      <c r="Y404" s="50" t="s">
        <v>69</v>
      </c>
      <c r="Z404" s="50" t="s">
        <v>69</v>
      </c>
      <c r="AA404" s="50" t="s">
        <v>69</v>
      </c>
      <c r="AB404" s="50" t="s">
        <v>69</v>
      </c>
      <c r="AC404" s="34" t="str">
        <f t="shared" ref="AC404:AP404" si="404">LET(
  skater, IFERROR(INDEX(AllProj, MATCH($E404, AllProjNames, 0), MATCH(AC$2, AllProjCats, 0) + 1), ""),
  goalie, IFERROR(INDEX(AllGProj, MATCH($E404, AllGProjNames, 0), MATCH(AC$2, AllGProjCats, 0) + 1), ""),
  val, IF(skater &lt;&gt; "", skater, goalie),
  IF(OR($E404="", AC$2="", val=""), "", val * AC$1)
)</f>
        <v/>
      </c>
      <c r="AD404" s="34" t="str">
        <f t="shared" si="404"/>
        <v/>
      </c>
      <c r="AE404" s="34" t="str">
        <f t="shared" si="404"/>
        <v/>
      </c>
      <c r="AF404" s="34" t="str">
        <f t="shared" si="404"/>
        <v/>
      </c>
      <c r="AG404" s="34" t="str">
        <f t="shared" si="404"/>
        <v/>
      </c>
      <c r="AH404" s="34" t="str">
        <f t="shared" si="404"/>
        <v/>
      </c>
      <c r="AI404" s="34" t="str">
        <f t="shared" si="404"/>
        <v/>
      </c>
      <c r="AJ404" s="34" t="str">
        <f t="shared" si="404"/>
        <v/>
      </c>
      <c r="AK404" s="34" t="str">
        <f t="shared" si="404"/>
        <v/>
      </c>
      <c r="AL404" s="34" t="str">
        <f t="shared" si="404"/>
        <v/>
      </c>
      <c r="AM404" s="34" t="str">
        <f t="shared" si="404"/>
        <v/>
      </c>
      <c r="AN404" s="34" t="str">
        <f t="shared" si="404"/>
        <v/>
      </c>
      <c r="AO404" s="34" t="str">
        <f t="shared" si="404"/>
        <v/>
      </c>
      <c r="AP404" s="34" t="str">
        <f t="shared" si="404"/>
        <v/>
      </c>
      <c r="AQ404" s="76" t="s">
        <v>443</v>
      </c>
      <c r="AR404" s="77"/>
      <c r="AS404" s="77"/>
      <c r="AT404" s="77"/>
      <c r="AU404" s="77"/>
      <c r="AV404" s="77"/>
      <c r="AW404" s="77"/>
      <c r="AX404" s="77"/>
      <c r="AY404" s="77"/>
      <c r="AZ404" s="77"/>
      <c r="BA404" s="77"/>
      <c r="BB404" s="77"/>
      <c r="BC404" s="77"/>
      <c r="BD404" s="77"/>
      <c r="BE404" s="77"/>
      <c r="BF404" s="77"/>
      <c r="BG404" s="77"/>
      <c r="BH404" s="77"/>
      <c r="BI404" s="77"/>
      <c r="BJ404" s="77"/>
      <c r="BK404" s="77"/>
      <c r="BL404" s="77"/>
      <c r="BM404" s="78"/>
    </row>
    <row r="405">
      <c r="A405" s="41">
        <v>3.0714285714285716</v>
      </c>
      <c r="B405" s="41" t="b">
        <v>0</v>
      </c>
      <c r="C405" s="41" t="b">
        <f t="shared" si="3"/>
        <v>0</v>
      </c>
      <c r="D405" s="42" t="s">
        <v>1565</v>
      </c>
      <c r="E405" s="43" t="s">
        <v>1390</v>
      </c>
      <c r="F405" s="44" t="s">
        <v>1451</v>
      </c>
      <c r="G405" s="29" t="s">
        <v>6</v>
      </c>
      <c r="H405" s="32">
        <v>-7.8746564906139</v>
      </c>
      <c r="I405" s="32">
        <v>-3.5364335121437858</v>
      </c>
      <c r="J405" s="45" t="s">
        <v>2062</v>
      </c>
      <c r="K405" s="29">
        <v>27.5</v>
      </c>
      <c r="L405" s="41">
        <v>30.3</v>
      </c>
      <c r="M405" s="46">
        <v>29.0</v>
      </c>
      <c r="N405" s="46">
        <v>7.0</v>
      </c>
      <c r="O405" s="94" t="s">
        <v>69</v>
      </c>
      <c r="P405" s="94" t="s">
        <v>69</v>
      </c>
      <c r="Q405" s="94" t="s">
        <v>69</v>
      </c>
      <c r="R405" s="94" t="s">
        <v>69</v>
      </c>
      <c r="S405" s="94" t="s">
        <v>69</v>
      </c>
      <c r="T405" s="94" t="s">
        <v>69</v>
      </c>
      <c r="U405" s="94" t="s">
        <v>69</v>
      </c>
      <c r="V405" s="94" t="s">
        <v>69</v>
      </c>
      <c r="W405" s="94" t="s">
        <v>69</v>
      </c>
      <c r="X405" s="94" t="s">
        <v>69</v>
      </c>
      <c r="Y405" s="95">
        <v>-2.433564358188724</v>
      </c>
      <c r="Z405" s="95">
        <v>-3.1008377656952963</v>
      </c>
      <c r="AA405" s="95">
        <v>-2.3402543667298796</v>
      </c>
      <c r="AB405" s="95">
        <v>0.0</v>
      </c>
      <c r="AC405" s="34" t="str">
        <f t="shared" ref="AC405:AP405" si="405">LET(
  skater, IFERROR(INDEX(AllProj, MATCH($E405, AllProjNames, 0), MATCH(AC$2, AllProjCats, 0) + 1), ""),
  goalie, IFERROR(INDEX(AllGProj, MATCH($E405, AllGProjNames, 0), MATCH(AC$2, AllGProjCats, 0) + 1), ""),
  val, IF(skater &lt;&gt; "", skater, goalie),
  IF(OR($E405="", AC$2="", val=""), "", val * AC$1)
)</f>
        <v/>
      </c>
      <c r="AD405" s="34" t="str">
        <f t="shared" si="405"/>
        <v/>
      </c>
      <c r="AE405" s="34" t="str">
        <f t="shared" si="405"/>
        <v/>
      </c>
      <c r="AF405" s="34" t="str">
        <f t="shared" si="405"/>
        <v/>
      </c>
      <c r="AG405" s="34" t="str">
        <f t="shared" si="405"/>
        <v/>
      </c>
      <c r="AH405" s="34" t="str">
        <f t="shared" si="405"/>
        <v/>
      </c>
      <c r="AI405" s="34" t="str">
        <f t="shared" si="405"/>
        <v/>
      </c>
      <c r="AJ405" s="34" t="str">
        <f t="shared" si="405"/>
        <v/>
      </c>
      <c r="AK405" s="34" t="str">
        <f t="shared" si="405"/>
        <v/>
      </c>
      <c r="AL405" s="34" t="str">
        <f t="shared" si="405"/>
        <v/>
      </c>
      <c r="AM405" s="34" t="str">
        <f t="shared" si="405"/>
        <v/>
      </c>
      <c r="AN405" s="34" t="str">
        <f t="shared" si="405"/>
        <v/>
      </c>
      <c r="AO405" s="34" t="str">
        <f t="shared" si="405"/>
        <v/>
      </c>
      <c r="AP405" s="34" t="str">
        <f t="shared" si="405"/>
        <v/>
      </c>
      <c r="AQ405" s="76" t="s">
        <v>444</v>
      </c>
      <c r="AR405" s="77"/>
      <c r="AS405" s="77"/>
      <c r="AT405" s="77"/>
      <c r="AU405" s="77"/>
      <c r="AV405" s="77"/>
      <c r="AW405" s="77"/>
      <c r="AX405" s="77"/>
      <c r="AY405" s="77"/>
      <c r="AZ405" s="77"/>
      <c r="BA405" s="77"/>
      <c r="BB405" s="77"/>
      <c r="BC405" s="77"/>
      <c r="BD405" s="77"/>
      <c r="BE405" s="77"/>
      <c r="BF405" s="77"/>
      <c r="BG405" s="77"/>
      <c r="BH405" s="77"/>
      <c r="BI405" s="77"/>
      <c r="BJ405" s="77"/>
      <c r="BK405" s="77"/>
      <c r="BL405" s="77"/>
      <c r="BM405" s="78"/>
    </row>
    <row r="406">
      <c r="A406" s="79">
        <v>2.5714285714285716</v>
      </c>
      <c r="B406" s="79" t="b">
        <v>0</v>
      </c>
      <c r="C406" s="79" t="b">
        <f t="shared" si="3"/>
        <v>0</v>
      </c>
      <c r="D406" s="80" t="s">
        <v>1565</v>
      </c>
      <c r="E406" s="81" t="s">
        <v>963</v>
      </c>
      <c r="F406" s="82" t="s">
        <v>1517</v>
      </c>
      <c r="G406" s="35" t="s">
        <v>284</v>
      </c>
      <c r="H406" s="37">
        <v>-7.953745481377393</v>
      </c>
      <c r="I406" s="37">
        <v>-2.9156794611943075</v>
      </c>
      <c r="J406" s="83" t="s">
        <v>2063</v>
      </c>
      <c r="K406" s="35">
        <v>24.7</v>
      </c>
      <c r="L406" s="79">
        <v>75.9</v>
      </c>
      <c r="M406" s="84">
        <v>18.0</v>
      </c>
      <c r="N406" s="84">
        <v>6.0</v>
      </c>
      <c r="O406" s="85">
        <v>-0.35563977974398747</v>
      </c>
      <c r="P406" s="85">
        <v>-1.0035382381529232</v>
      </c>
      <c r="Q406" s="85">
        <v>-0.49609697042367706</v>
      </c>
      <c r="R406" s="85">
        <v>-1.5327585378073445</v>
      </c>
      <c r="S406" s="85">
        <v>-0.8057469270769917</v>
      </c>
      <c r="T406" s="85">
        <v>-0.16952108464970286</v>
      </c>
      <c r="U406" s="85">
        <v>-0.3459916780570856</v>
      </c>
      <c r="V406" s="85">
        <v>0.0</v>
      </c>
      <c r="W406" s="85">
        <v>-1.5895864305250766</v>
      </c>
      <c r="X406" s="85">
        <v>-1.6548658349406025</v>
      </c>
      <c r="Y406" s="50" t="s">
        <v>69</v>
      </c>
      <c r="Z406" s="50" t="s">
        <v>69</v>
      </c>
      <c r="AA406" s="50" t="s">
        <v>69</v>
      </c>
      <c r="AB406" s="50" t="s">
        <v>69</v>
      </c>
      <c r="AC406" s="34" t="str">
        <f t="shared" ref="AC406:AP406" si="406">LET(
  skater, IFERROR(INDEX(AllProj, MATCH($E406, AllProjNames, 0), MATCH(AC$2, AllProjCats, 0) + 1), ""),
  goalie, IFERROR(INDEX(AllGProj, MATCH($E406, AllGProjNames, 0), MATCH(AC$2, AllGProjCats, 0) + 1), ""),
  val, IF(skater &lt;&gt; "", skater, goalie),
  IF(OR($E406="", AC$2="", val=""), "", val * AC$1)
)</f>
        <v/>
      </c>
      <c r="AD406" s="34" t="str">
        <f t="shared" si="406"/>
        <v/>
      </c>
      <c r="AE406" s="34" t="str">
        <f t="shared" si="406"/>
        <v/>
      </c>
      <c r="AF406" s="34" t="str">
        <f t="shared" si="406"/>
        <v/>
      </c>
      <c r="AG406" s="34" t="str">
        <f t="shared" si="406"/>
        <v/>
      </c>
      <c r="AH406" s="34" t="str">
        <f t="shared" si="406"/>
        <v/>
      </c>
      <c r="AI406" s="34" t="str">
        <f t="shared" si="406"/>
        <v/>
      </c>
      <c r="AJ406" s="34" t="str">
        <f t="shared" si="406"/>
        <v/>
      </c>
      <c r="AK406" s="34" t="str">
        <f t="shared" si="406"/>
        <v/>
      </c>
      <c r="AL406" s="34" t="str">
        <f t="shared" si="406"/>
        <v/>
      </c>
      <c r="AM406" s="34" t="str">
        <f t="shared" si="406"/>
        <v/>
      </c>
      <c r="AN406" s="34" t="str">
        <f t="shared" si="406"/>
        <v/>
      </c>
      <c r="AO406" s="34" t="str">
        <f t="shared" si="406"/>
        <v/>
      </c>
      <c r="AP406" s="34" t="str">
        <f t="shared" si="406"/>
        <v/>
      </c>
      <c r="AQ406" s="76" t="s">
        <v>445</v>
      </c>
      <c r="AR406" s="77"/>
      <c r="AS406" s="77"/>
      <c r="AT406" s="77"/>
      <c r="AU406" s="77"/>
      <c r="AV406" s="77"/>
      <c r="AW406" s="77"/>
      <c r="AX406" s="77"/>
      <c r="AY406" s="77"/>
      <c r="AZ406" s="77"/>
      <c r="BA406" s="77"/>
      <c r="BB406" s="77"/>
      <c r="BC406" s="77"/>
      <c r="BD406" s="77"/>
      <c r="BE406" s="77"/>
      <c r="BF406" s="77"/>
      <c r="BG406" s="77"/>
      <c r="BH406" s="77"/>
      <c r="BI406" s="77"/>
      <c r="BJ406" s="77"/>
      <c r="BK406" s="77"/>
      <c r="BL406" s="77"/>
      <c r="BM406" s="78"/>
    </row>
    <row r="407">
      <c r="A407" s="41">
        <v>2.5714285714285716</v>
      </c>
      <c r="B407" s="41" t="b">
        <v>0</v>
      </c>
      <c r="C407" s="41" t="b">
        <f t="shared" si="3"/>
        <v>0</v>
      </c>
      <c r="D407" s="42" t="s">
        <v>1565</v>
      </c>
      <c r="E407" s="43" t="s">
        <v>968</v>
      </c>
      <c r="F407" s="44" t="s">
        <v>849</v>
      </c>
      <c r="G407" s="29" t="s">
        <v>829</v>
      </c>
      <c r="H407" s="32">
        <v>-7.961533371244121</v>
      </c>
      <c r="I407" s="32">
        <v>-2.5193957625162637</v>
      </c>
      <c r="J407" s="45" t="s">
        <v>2064</v>
      </c>
      <c r="K407" s="29">
        <v>22.7</v>
      </c>
      <c r="L407" s="41">
        <v>81.49749999999999</v>
      </c>
      <c r="M407" s="46">
        <v>29.0</v>
      </c>
      <c r="N407" s="46">
        <v>6.0</v>
      </c>
      <c r="O407" s="47">
        <v>-0.4905479322102173</v>
      </c>
      <c r="P407" s="47">
        <v>-0.8862268672530509</v>
      </c>
      <c r="Q407" s="47">
        <v>-0.11064992194792131</v>
      </c>
      <c r="R407" s="47">
        <v>-1.5896561552487414</v>
      </c>
      <c r="S407" s="47">
        <v>-0.999705623964773</v>
      </c>
      <c r="T407" s="47">
        <v>0.2692878453041424</v>
      </c>
      <c r="U407" s="47">
        <v>-0.46356499108733346</v>
      </c>
      <c r="V407" s="47">
        <v>0.0</v>
      </c>
      <c r="W407" s="47">
        <v>-2.1812400133554366</v>
      </c>
      <c r="X407" s="47">
        <v>-1.5092297114807893</v>
      </c>
      <c r="Y407" s="50" t="s">
        <v>69</v>
      </c>
      <c r="Z407" s="50" t="s">
        <v>69</v>
      </c>
      <c r="AA407" s="50" t="s">
        <v>69</v>
      </c>
      <c r="AB407" s="50" t="s">
        <v>69</v>
      </c>
      <c r="AC407" s="34" t="str">
        <f t="shared" ref="AC407:AP407" si="407">LET(
  skater, IFERROR(INDEX(AllProj, MATCH($E407, AllProjNames, 0), MATCH(AC$2, AllProjCats, 0) + 1), ""),
  goalie, IFERROR(INDEX(AllGProj, MATCH($E407, AllGProjNames, 0), MATCH(AC$2, AllGProjCats, 0) + 1), ""),
  val, IF(skater &lt;&gt; "", skater, goalie),
  IF(OR($E407="", AC$2="", val=""), "", val * AC$1)
)</f>
        <v/>
      </c>
      <c r="AD407" s="34" t="str">
        <f t="shared" si="407"/>
        <v/>
      </c>
      <c r="AE407" s="34" t="str">
        <f t="shared" si="407"/>
        <v/>
      </c>
      <c r="AF407" s="34" t="str">
        <f t="shared" si="407"/>
        <v/>
      </c>
      <c r="AG407" s="34" t="str">
        <f t="shared" si="407"/>
        <v/>
      </c>
      <c r="AH407" s="34" t="str">
        <f t="shared" si="407"/>
        <v/>
      </c>
      <c r="AI407" s="34" t="str">
        <f t="shared" si="407"/>
        <v/>
      </c>
      <c r="AJ407" s="34" t="str">
        <f t="shared" si="407"/>
        <v/>
      </c>
      <c r="AK407" s="34" t="str">
        <f t="shared" si="407"/>
        <v/>
      </c>
      <c r="AL407" s="34" t="str">
        <f t="shared" si="407"/>
        <v/>
      </c>
      <c r="AM407" s="34" t="str">
        <f t="shared" si="407"/>
        <v/>
      </c>
      <c r="AN407" s="34" t="str">
        <f t="shared" si="407"/>
        <v/>
      </c>
      <c r="AO407" s="34" t="str">
        <f t="shared" si="407"/>
        <v/>
      </c>
      <c r="AP407" s="34" t="str">
        <f t="shared" si="407"/>
        <v/>
      </c>
      <c r="AQ407" s="76" t="s">
        <v>446</v>
      </c>
      <c r="AR407" s="77"/>
      <c r="AS407" s="77"/>
      <c r="AT407" s="77"/>
      <c r="AU407" s="77"/>
      <c r="AV407" s="77"/>
      <c r="AW407" s="77"/>
      <c r="AX407" s="77"/>
      <c r="AY407" s="77"/>
      <c r="AZ407" s="77"/>
      <c r="BA407" s="77"/>
      <c r="BB407" s="77"/>
      <c r="BC407" s="77"/>
      <c r="BD407" s="77"/>
      <c r="BE407" s="77"/>
      <c r="BF407" s="77"/>
      <c r="BG407" s="77"/>
      <c r="BH407" s="77"/>
      <c r="BI407" s="77"/>
      <c r="BJ407" s="77"/>
      <c r="BK407" s="77"/>
      <c r="BL407" s="77"/>
      <c r="BM407" s="78"/>
    </row>
    <row r="408">
      <c r="A408" s="79">
        <v>3.0714285714285716</v>
      </c>
      <c r="B408" s="79" t="b">
        <v>0</v>
      </c>
      <c r="C408" s="79" t="b">
        <f t="shared" si="3"/>
        <v>0</v>
      </c>
      <c r="D408" s="80" t="s">
        <v>1565</v>
      </c>
      <c r="E408" s="81" t="s">
        <v>1395</v>
      </c>
      <c r="F408" s="82" t="s">
        <v>1454</v>
      </c>
      <c r="G408" s="35" t="s">
        <v>6</v>
      </c>
      <c r="H408" s="37">
        <v>-7.973130618053943</v>
      </c>
      <c r="I408" s="37">
        <v>-3.6349076395838296</v>
      </c>
      <c r="J408" s="83" t="s">
        <v>2065</v>
      </c>
      <c r="K408" s="35">
        <v>25.9</v>
      </c>
      <c r="L408" s="79">
        <v>10.0</v>
      </c>
      <c r="M408" s="84">
        <v>25.0</v>
      </c>
      <c r="N408" s="84">
        <v>6.0</v>
      </c>
      <c r="O408" s="96" t="s">
        <v>69</v>
      </c>
      <c r="P408" s="96" t="s">
        <v>69</v>
      </c>
      <c r="Q408" s="96" t="s">
        <v>69</v>
      </c>
      <c r="R408" s="96" t="s">
        <v>69</v>
      </c>
      <c r="S408" s="96" t="s">
        <v>69</v>
      </c>
      <c r="T408" s="96" t="s">
        <v>69</v>
      </c>
      <c r="U408" s="96" t="s">
        <v>69</v>
      </c>
      <c r="V408" s="96" t="s">
        <v>69</v>
      </c>
      <c r="W408" s="96" t="s">
        <v>69</v>
      </c>
      <c r="X408" s="96" t="s">
        <v>69</v>
      </c>
      <c r="Y408" s="95">
        <v>-4.123376577807199</v>
      </c>
      <c r="Z408" s="95">
        <v>-1.9506827655708132</v>
      </c>
      <c r="AA408" s="95">
        <v>-1.8990712746759313</v>
      </c>
      <c r="AB408" s="95">
        <v>0.0</v>
      </c>
      <c r="AC408" s="34" t="str">
        <f t="shared" ref="AC408:AP408" si="408">LET(
  skater, IFERROR(INDEX(AllProj, MATCH($E408, AllProjNames, 0), MATCH(AC$2, AllProjCats, 0) + 1), ""),
  goalie, IFERROR(INDEX(AllGProj, MATCH($E408, AllGProjNames, 0), MATCH(AC$2, AllGProjCats, 0) + 1), ""),
  val, IF(skater &lt;&gt; "", skater, goalie),
  IF(OR($E408="", AC$2="", val=""), "", val * AC$1)
)</f>
        <v/>
      </c>
      <c r="AD408" s="34" t="str">
        <f t="shared" si="408"/>
        <v/>
      </c>
      <c r="AE408" s="34" t="str">
        <f t="shared" si="408"/>
        <v/>
      </c>
      <c r="AF408" s="34" t="str">
        <f t="shared" si="408"/>
        <v/>
      </c>
      <c r="AG408" s="34" t="str">
        <f t="shared" si="408"/>
        <v/>
      </c>
      <c r="AH408" s="34" t="str">
        <f t="shared" si="408"/>
        <v/>
      </c>
      <c r="AI408" s="34" t="str">
        <f t="shared" si="408"/>
        <v/>
      </c>
      <c r="AJ408" s="34" t="str">
        <f t="shared" si="408"/>
        <v/>
      </c>
      <c r="AK408" s="34" t="str">
        <f t="shared" si="408"/>
        <v/>
      </c>
      <c r="AL408" s="34" t="str">
        <f t="shared" si="408"/>
        <v/>
      </c>
      <c r="AM408" s="34" t="str">
        <f t="shared" si="408"/>
        <v/>
      </c>
      <c r="AN408" s="34" t="str">
        <f t="shared" si="408"/>
        <v/>
      </c>
      <c r="AO408" s="34" t="str">
        <f t="shared" si="408"/>
        <v/>
      </c>
      <c r="AP408" s="34" t="str">
        <f t="shared" si="408"/>
        <v/>
      </c>
      <c r="AQ408" s="76" t="s">
        <v>447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77"/>
      <c r="BJ408" s="77"/>
      <c r="BK408" s="77"/>
      <c r="BL408" s="77"/>
      <c r="BM408" s="78"/>
    </row>
    <row r="409">
      <c r="A409" s="41">
        <v>2.5714285714285716</v>
      </c>
      <c r="B409" s="41" t="b">
        <v>0</v>
      </c>
      <c r="C409" s="41" t="b">
        <f t="shared" si="3"/>
        <v>0</v>
      </c>
      <c r="D409" s="42" t="s">
        <v>1565</v>
      </c>
      <c r="E409" s="43" t="s">
        <v>983</v>
      </c>
      <c r="F409" s="44" t="s">
        <v>1473</v>
      </c>
      <c r="G409" s="29" t="s">
        <v>837</v>
      </c>
      <c r="H409" s="32">
        <v>-7.973856942332989</v>
      </c>
      <c r="I409" s="32">
        <v>-2.443998170404088</v>
      </c>
      <c r="J409" s="45" t="s">
        <v>2066</v>
      </c>
      <c r="K409" s="29">
        <v>32.1</v>
      </c>
      <c r="L409" s="41">
        <v>77.14285714285714</v>
      </c>
      <c r="M409" s="46">
        <v>25.0</v>
      </c>
      <c r="N409" s="46">
        <v>6.0</v>
      </c>
      <c r="O409" s="47">
        <v>-2.222242373323217</v>
      </c>
      <c r="P409" s="47">
        <v>-1.189134837522246</v>
      </c>
      <c r="Q409" s="47">
        <v>-0.6918265740469932</v>
      </c>
      <c r="R409" s="47">
        <v>-0.3497336259358619</v>
      </c>
      <c r="S409" s="47">
        <v>-1.6499347800537607</v>
      </c>
      <c r="T409" s="47">
        <v>-0.16952108464970286</v>
      </c>
      <c r="U409" s="47">
        <v>-1.2358490412061969</v>
      </c>
      <c r="V409" s="47">
        <v>0.0</v>
      </c>
      <c r="W409" s="47">
        <v>-1.2584983045529194</v>
      </c>
      <c r="X409" s="47">
        <v>0.7928836789579077</v>
      </c>
      <c r="Y409" s="50" t="s">
        <v>69</v>
      </c>
      <c r="Z409" s="50" t="s">
        <v>69</v>
      </c>
      <c r="AA409" s="50" t="s">
        <v>69</v>
      </c>
      <c r="AB409" s="50" t="s">
        <v>69</v>
      </c>
      <c r="AC409" s="34" t="str">
        <f t="shared" ref="AC409:AP409" si="409">LET(
  skater, IFERROR(INDEX(AllProj, MATCH($E409, AllProjNames, 0), MATCH(AC$2, AllProjCats, 0) + 1), ""),
  goalie, IFERROR(INDEX(AllGProj, MATCH($E409, AllGProjNames, 0), MATCH(AC$2, AllGProjCats, 0) + 1), ""),
  val, IF(skater &lt;&gt; "", skater, goalie),
  IF(OR($E409="", AC$2="", val=""), "", val * AC$1)
)</f>
        <v/>
      </c>
      <c r="AD409" s="34" t="str">
        <f t="shared" si="409"/>
        <v/>
      </c>
      <c r="AE409" s="34" t="str">
        <f t="shared" si="409"/>
        <v/>
      </c>
      <c r="AF409" s="34" t="str">
        <f t="shared" si="409"/>
        <v/>
      </c>
      <c r="AG409" s="34" t="str">
        <f t="shared" si="409"/>
        <v/>
      </c>
      <c r="AH409" s="34" t="str">
        <f t="shared" si="409"/>
        <v/>
      </c>
      <c r="AI409" s="34" t="str">
        <f t="shared" si="409"/>
        <v/>
      </c>
      <c r="AJ409" s="34" t="str">
        <f t="shared" si="409"/>
        <v/>
      </c>
      <c r="AK409" s="34" t="str">
        <f t="shared" si="409"/>
        <v/>
      </c>
      <c r="AL409" s="34" t="str">
        <f t="shared" si="409"/>
        <v/>
      </c>
      <c r="AM409" s="34" t="str">
        <f t="shared" si="409"/>
        <v/>
      </c>
      <c r="AN409" s="34" t="str">
        <f t="shared" si="409"/>
        <v/>
      </c>
      <c r="AO409" s="34" t="str">
        <f t="shared" si="409"/>
        <v/>
      </c>
      <c r="AP409" s="34" t="str">
        <f t="shared" si="409"/>
        <v/>
      </c>
      <c r="AQ409" s="76" t="s">
        <v>448</v>
      </c>
      <c r="AR409" s="77"/>
      <c r="AS409" s="77"/>
      <c r="AT409" s="77"/>
      <c r="AU409" s="77"/>
      <c r="AV409" s="77"/>
      <c r="AW409" s="77"/>
      <c r="AX409" s="77"/>
      <c r="AY409" s="77"/>
      <c r="AZ409" s="77"/>
      <c r="BA409" s="77"/>
      <c r="BB409" s="77"/>
      <c r="BC409" s="77"/>
      <c r="BD409" s="77"/>
      <c r="BE409" s="77"/>
      <c r="BF409" s="77"/>
      <c r="BG409" s="77"/>
      <c r="BH409" s="77"/>
      <c r="BI409" s="77"/>
      <c r="BJ409" s="77"/>
      <c r="BK409" s="77"/>
      <c r="BL409" s="77"/>
      <c r="BM409" s="78"/>
    </row>
    <row r="410">
      <c r="A410" s="79" t="s">
        <v>69</v>
      </c>
      <c r="B410" s="79" t="b">
        <v>0</v>
      </c>
      <c r="C410" s="79" t="b">
        <f t="shared" si="3"/>
        <v>1</v>
      </c>
      <c r="D410" s="80" t="s">
        <v>824</v>
      </c>
      <c r="E410" s="81" t="s">
        <v>2067</v>
      </c>
      <c r="F410" s="82" t="s">
        <v>1548</v>
      </c>
      <c r="G410" s="35" t="s">
        <v>832</v>
      </c>
      <c r="H410" s="37">
        <v>-7.982906088660483</v>
      </c>
      <c r="I410" s="37">
        <v>-2.540768479932626</v>
      </c>
      <c r="J410" s="83" t="s">
        <v>2068</v>
      </c>
      <c r="K410" s="35">
        <v>29.0</v>
      </c>
      <c r="L410" s="79">
        <v>55.23529411764706</v>
      </c>
      <c r="M410" s="84">
        <v>34.0</v>
      </c>
      <c r="N410" s="84">
        <v>7.0</v>
      </c>
      <c r="O410" s="85">
        <v>-0.42831607140585065</v>
      </c>
      <c r="P410" s="85">
        <v>-0.08689885749253169</v>
      </c>
      <c r="Q410" s="85">
        <v>-0.9367531960087165</v>
      </c>
      <c r="R410" s="85">
        <v>-1.8473049146208174</v>
      </c>
      <c r="S410" s="85">
        <v>-0.3526391459930931</v>
      </c>
      <c r="T410" s="85">
        <v>0.710322280936186</v>
      </c>
      <c r="U410" s="85">
        <v>-0.4078648584899814</v>
      </c>
      <c r="V410" s="85">
        <v>0.0</v>
      </c>
      <c r="W410" s="85">
        <v>-2.5311885358086195</v>
      </c>
      <c r="X410" s="85">
        <v>-2.10226278977706</v>
      </c>
      <c r="Y410" s="50" t="s">
        <v>69</v>
      </c>
      <c r="Z410" s="50" t="s">
        <v>69</v>
      </c>
      <c r="AA410" s="50" t="s">
        <v>69</v>
      </c>
      <c r="AB410" s="50" t="s">
        <v>69</v>
      </c>
      <c r="AC410" s="34" t="str">
        <f t="shared" ref="AC410:AP410" si="410">LET(
  skater, IFERROR(INDEX(AllProj, MATCH($E410, AllProjNames, 0), MATCH(AC$2, AllProjCats, 0) + 1), ""),
  goalie, IFERROR(INDEX(AllGProj, MATCH($E410, AllGProjNames, 0), MATCH(AC$2, AllGProjCats, 0) + 1), ""),
  val, IF(skater &lt;&gt; "", skater, goalie),
  IF(OR($E410="", AC$2="", val=""), "", val * AC$1)
)</f>
        <v/>
      </c>
      <c r="AD410" s="34" t="str">
        <f t="shared" si="410"/>
        <v/>
      </c>
      <c r="AE410" s="34" t="str">
        <f t="shared" si="410"/>
        <v/>
      </c>
      <c r="AF410" s="34" t="str">
        <f t="shared" si="410"/>
        <v/>
      </c>
      <c r="AG410" s="34" t="str">
        <f t="shared" si="410"/>
        <v/>
      </c>
      <c r="AH410" s="34" t="str">
        <f t="shared" si="410"/>
        <v/>
      </c>
      <c r="AI410" s="34" t="str">
        <f t="shared" si="410"/>
        <v/>
      </c>
      <c r="AJ410" s="34" t="str">
        <f t="shared" si="410"/>
        <v/>
      </c>
      <c r="AK410" s="34" t="str">
        <f t="shared" si="410"/>
        <v/>
      </c>
      <c r="AL410" s="34" t="str">
        <f t="shared" si="410"/>
        <v/>
      </c>
      <c r="AM410" s="34" t="str">
        <f t="shared" si="410"/>
        <v/>
      </c>
      <c r="AN410" s="34" t="str">
        <f t="shared" si="410"/>
        <v/>
      </c>
      <c r="AO410" s="34" t="str">
        <f t="shared" si="410"/>
        <v/>
      </c>
      <c r="AP410" s="34" t="str">
        <f t="shared" si="410"/>
        <v/>
      </c>
      <c r="AQ410" s="76" t="s">
        <v>449</v>
      </c>
      <c r="AR410" s="77"/>
      <c r="AS410" s="77"/>
      <c r="AT410" s="77"/>
      <c r="AU410" s="77"/>
      <c r="AV410" s="77"/>
      <c r="AW410" s="77"/>
      <c r="AX410" s="77"/>
      <c r="AY410" s="77"/>
      <c r="AZ410" s="77"/>
      <c r="BA410" s="77"/>
      <c r="BB410" s="77"/>
      <c r="BC410" s="77"/>
      <c r="BD410" s="77"/>
      <c r="BE410" s="77"/>
      <c r="BF410" s="77"/>
      <c r="BG410" s="77"/>
      <c r="BH410" s="77"/>
      <c r="BI410" s="77"/>
      <c r="BJ410" s="77"/>
      <c r="BK410" s="77"/>
      <c r="BL410" s="77"/>
      <c r="BM410" s="78"/>
    </row>
    <row r="411">
      <c r="A411" s="41">
        <v>2.5714285714285716</v>
      </c>
      <c r="B411" s="41" t="b">
        <v>0</v>
      </c>
      <c r="C411" s="41" t="b">
        <f t="shared" si="3"/>
        <v>0</v>
      </c>
      <c r="D411" s="42" t="s">
        <v>1565</v>
      </c>
      <c r="E411" s="43" t="s">
        <v>969</v>
      </c>
      <c r="F411" s="44" t="s">
        <v>1416</v>
      </c>
      <c r="G411" s="29" t="s">
        <v>284</v>
      </c>
      <c r="H411" s="32">
        <v>-8.009631715803293</v>
      </c>
      <c r="I411" s="32">
        <v>-2.9715656956202077</v>
      </c>
      <c r="J411" s="45" t="s">
        <v>2069</v>
      </c>
      <c r="K411" s="29">
        <v>33.6</v>
      </c>
      <c r="L411" s="41">
        <v>80.85714285714286</v>
      </c>
      <c r="M411" s="46">
        <v>29.0</v>
      </c>
      <c r="N411" s="46">
        <v>7.0</v>
      </c>
      <c r="O411" s="47">
        <v>-1.5323719248781502</v>
      </c>
      <c r="P411" s="47">
        <v>-1.0638571329479531</v>
      </c>
      <c r="Q411" s="47">
        <v>-0.6193751006429329</v>
      </c>
      <c r="R411" s="47">
        <v>-1.2645351719025488</v>
      </c>
      <c r="S411" s="47">
        <v>-1.4772467327274834</v>
      </c>
      <c r="T411" s="47">
        <v>0.44813554304231407</v>
      </c>
      <c r="U411" s="47">
        <v>-1.559194552778843</v>
      </c>
      <c r="V411" s="47">
        <v>1.5028034952436613</v>
      </c>
      <c r="W411" s="47">
        <v>-1.2778190970499683</v>
      </c>
      <c r="X411" s="47">
        <v>-1.166171041161389</v>
      </c>
      <c r="Y411" s="50" t="s">
        <v>69</v>
      </c>
      <c r="Z411" s="50" t="s">
        <v>69</v>
      </c>
      <c r="AA411" s="50" t="s">
        <v>69</v>
      </c>
      <c r="AB411" s="50" t="s">
        <v>69</v>
      </c>
      <c r="AC411" s="34" t="str">
        <f t="shared" ref="AC411:AP411" si="411">LET(
  skater, IFERROR(INDEX(AllProj, MATCH($E411, AllProjNames, 0), MATCH(AC$2, AllProjCats, 0) + 1), ""),
  goalie, IFERROR(INDEX(AllGProj, MATCH($E411, AllGProjNames, 0), MATCH(AC$2, AllGProjCats, 0) + 1), ""),
  val, IF(skater &lt;&gt; "", skater, goalie),
  IF(OR($E411="", AC$2="", val=""), "", val * AC$1)
)</f>
        <v/>
      </c>
      <c r="AD411" s="34" t="str">
        <f t="shared" si="411"/>
        <v/>
      </c>
      <c r="AE411" s="34" t="str">
        <f t="shared" si="411"/>
        <v/>
      </c>
      <c r="AF411" s="34" t="str">
        <f t="shared" si="411"/>
        <v/>
      </c>
      <c r="AG411" s="34" t="str">
        <f t="shared" si="411"/>
        <v/>
      </c>
      <c r="AH411" s="34" t="str">
        <f t="shared" si="411"/>
        <v/>
      </c>
      <c r="AI411" s="34" t="str">
        <f t="shared" si="411"/>
        <v/>
      </c>
      <c r="AJ411" s="34" t="str">
        <f t="shared" si="411"/>
        <v/>
      </c>
      <c r="AK411" s="34" t="str">
        <f t="shared" si="411"/>
        <v/>
      </c>
      <c r="AL411" s="34" t="str">
        <f t="shared" si="411"/>
        <v/>
      </c>
      <c r="AM411" s="34" t="str">
        <f t="shared" si="411"/>
        <v/>
      </c>
      <c r="AN411" s="34" t="str">
        <f t="shared" si="411"/>
        <v/>
      </c>
      <c r="AO411" s="34" t="str">
        <f t="shared" si="411"/>
        <v/>
      </c>
      <c r="AP411" s="34" t="str">
        <f t="shared" si="411"/>
        <v/>
      </c>
      <c r="AQ411" s="76" t="s">
        <v>450</v>
      </c>
      <c r="AR411" s="77"/>
      <c r="AS411" s="77"/>
      <c r="AT411" s="77"/>
      <c r="AU411" s="77"/>
      <c r="AV411" s="77"/>
      <c r="AW411" s="77"/>
      <c r="AX411" s="77"/>
      <c r="AY411" s="77"/>
      <c r="AZ411" s="77"/>
      <c r="BA411" s="77"/>
      <c r="BB411" s="77"/>
      <c r="BC411" s="77"/>
      <c r="BD411" s="77"/>
      <c r="BE411" s="77"/>
      <c r="BF411" s="77"/>
      <c r="BG411" s="77"/>
      <c r="BH411" s="77"/>
      <c r="BI411" s="77"/>
      <c r="BJ411" s="77"/>
      <c r="BK411" s="77"/>
      <c r="BL411" s="77"/>
      <c r="BM411" s="78"/>
    </row>
    <row r="412">
      <c r="A412" s="79" t="s">
        <v>69</v>
      </c>
      <c r="B412" s="79" t="b">
        <v>0</v>
      </c>
      <c r="C412" s="79" t="b">
        <f t="shared" si="3"/>
        <v>1</v>
      </c>
      <c r="D412" s="80" t="s">
        <v>826</v>
      </c>
      <c r="E412" s="81" t="s">
        <v>2070</v>
      </c>
      <c r="F412" s="82" t="s">
        <v>1401</v>
      </c>
      <c r="G412" s="35" t="s">
        <v>837</v>
      </c>
      <c r="H412" s="37">
        <v>-8.044553184666093</v>
      </c>
      <c r="I412" s="37">
        <v>-2.5146944127371915</v>
      </c>
      <c r="J412" s="83" t="s">
        <v>2071</v>
      </c>
      <c r="K412" s="35">
        <v>32.5</v>
      </c>
      <c r="L412" s="79">
        <v>81.11529411764707</v>
      </c>
      <c r="M412" s="84">
        <v>25.0</v>
      </c>
      <c r="N412" s="84">
        <v>7.0</v>
      </c>
      <c r="O412" s="85">
        <v>-1.6765113627721364</v>
      </c>
      <c r="P412" s="85">
        <v>-0.26359640632054826</v>
      </c>
      <c r="Q412" s="85">
        <v>-1.7537562134271247</v>
      </c>
      <c r="R412" s="85">
        <v>-1.252261480467238</v>
      </c>
      <c r="S412" s="85">
        <v>-0.7270145298323323</v>
      </c>
      <c r="T412" s="85">
        <v>-0.6924651758549334</v>
      </c>
      <c r="U412" s="85">
        <v>-0.7421731212480235</v>
      </c>
      <c r="V412" s="85">
        <v>0.0</v>
      </c>
      <c r="W412" s="85">
        <v>-1.7974935441066762</v>
      </c>
      <c r="X412" s="85">
        <v>0.8607186493629199</v>
      </c>
      <c r="Y412" s="50" t="s">
        <v>69</v>
      </c>
      <c r="Z412" s="50" t="s">
        <v>69</v>
      </c>
      <c r="AA412" s="50" t="s">
        <v>69</v>
      </c>
      <c r="AB412" s="50" t="s">
        <v>69</v>
      </c>
      <c r="AC412" s="34" t="str">
        <f t="shared" ref="AC412:AP412" si="412">LET(
  skater, IFERROR(INDEX(AllProj, MATCH($E412, AllProjNames, 0), MATCH(AC$2, AllProjCats, 0) + 1), ""),
  goalie, IFERROR(INDEX(AllGProj, MATCH($E412, AllGProjNames, 0), MATCH(AC$2, AllGProjCats, 0) + 1), ""),
  val, IF(skater &lt;&gt; "", skater, goalie),
  IF(OR($E412="", AC$2="", val=""), "", val * AC$1)
)</f>
        <v/>
      </c>
      <c r="AD412" s="34" t="str">
        <f t="shared" si="412"/>
        <v/>
      </c>
      <c r="AE412" s="34" t="str">
        <f t="shared" si="412"/>
        <v/>
      </c>
      <c r="AF412" s="34" t="str">
        <f t="shared" si="412"/>
        <v/>
      </c>
      <c r="AG412" s="34" t="str">
        <f t="shared" si="412"/>
        <v/>
      </c>
      <c r="AH412" s="34" t="str">
        <f t="shared" si="412"/>
        <v/>
      </c>
      <c r="AI412" s="34" t="str">
        <f t="shared" si="412"/>
        <v/>
      </c>
      <c r="AJ412" s="34" t="str">
        <f t="shared" si="412"/>
        <v/>
      </c>
      <c r="AK412" s="34" t="str">
        <f t="shared" si="412"/>
        <v/>
      </c>
      <c r="AL412" s="34" t="str">
        <f t="shared" si="412"/>
        <v/>
      </c>
      <c r="AM412" s="34" t="str">
        <f t="shared" si="412"/>
        <v/>
      </c>
      <c r="AN412" s="34" t="str">
        <f t="shared" si="412"/>
        <v/>
      </c>
      <c r="AO412" s="34" t="str">
        <f t="shared" si="412"/>
        <v/>
      </c>
      <c r="AP412" s="34" t="str">
        <f t="shared" si="412"/>
        <v/>
      </c>
      <c r="AQ412" s="76" t="s">
        <v>451</v>
      </c>
      <c r="AR412" s="77"/>
      <c r="AS412" s="77"/>
      <c r="AT412" s="77"/>
      <c r="AU412" s="77"/>
      <c r="AV412" s="77"/>
      <c r="AW412" s="77"/>
      <c r="AX412" s="77"/>
      <c r="AY412" s="77"/>
      <c r="AZ412" s="77"/>
      <c r="BA412" s="77"/>
      <c r="BB412" s="77"/>
      <c r="BC412" s="77"/>
      <c r="BD412" s="77"/>
      <c r="BE412" s="77"/>
      <c r="BF412" s="77"/>
      <c r="BG412" s="77"/>
      <c r="BH412" s="77"/>
      <c r="BI412" s="77"/>
      <c r="BJ412" s="77"/>
      <c r="BK412" s="77"/>
      <c r="BL412" s="77"/>
      <c r="BM412" s="78"/>
    </row>
    <row r="413">
      <c r="A413" s="41">
        <v>2.5714285714285716</v>
      </c>
      <c r="B413" s="41" t="b">
        <v>0</v>
      </c>
      <c r="C413" s="41" t="b">
        <f t="shared" si="3"/>
        <v>0</v>
      </c>
      <c r="D413" s="42" t="s">
        <v>1565</v>
      </c>
      <c r="E413" s="43" t="s">
        <v>1024</v>
      </c>
      <c r="F413" s="44" t="s">
        <v>1461</v>
      </c>
      <c r="G413" s="29" t="s">
        <v>829</v>
      </c>
      <c r="H413" s="32">
        <v>-8.053304415923755</v>
      </c>
      <c r="I413" s="32">
        <v>-2.6111668071958976</v>
      </c>
      <c r="J413" s="45" t="s">
        <v>2072</v>
      </c>
      <c r="K413" s="29">
        <v>23.3</v>
      </c>
      <c r="L413" s="41">
        <v>79.08573529411764</v>
      </c>
      <c r="M413" s="46">
        <v>23.0</v>
      </c>
      <c r="N413" s="46">
        <v>6.0</v>
      </c>
      <c r="O413" s="47">
        <v>-1.1061269334810948</v>
      </c>
      <c r="P413" s="47">
        <v>-0.805296704830399</v>
      </c>
      <c r="Q413" s="47">
        <v>-1.2786824739423555</v>
      </c>
      <c r="R413" s="47">
        <v>-0.581828077887053</v>
      </c>
      <c r="S413" s="47">
        <v>-1.5687678958076894</v>
      </c>
      <c r="T413" s="47">
        <v>-0.24562074093730282</v>
      </c>
      <c r="U413" s="47">
        <v>-0.680514641557305</v>
      </c>
      <c r="V413" s="47">
        <v>0.0</v>
      </c>
      <c r="W413" s="47">
        <v>-0.48428574078035486</v>
      </c>
      <c r="X413" s="47">
        <v>-1.3021812067002</v>
      </c>
      <c r="Y413" s="50" t="s">
        <v>69</v>
      </c>
      <c r="Z413" s="50" t="s">
        <v>69</v>
      </c>
      <c r="AA413" s="50" t="s">
        <v>69</v>
      </c>
      <c r="AB413" s="50" t="s">
        <v>69</v>
      </c>
      <c r="AC413" s="34" t="str">
        <f t="shared" ref="AC413:AP413" si="413">LET(
  skater, IFERROR(INDEX(AllProj, MATCH($E413, AllProjNames, 0), MATCH(AC$2, AllProjCats, 0) + 1), ""),
  goalie, IFERROR(INDEX(AllGProj, MATCH($E413, AllGProjNames, 0), MATCH(AC$2, AllGProjCats, 0) + 1), ""),
  val, IF(skater &lt;&gt; "", skater, goalie),
  IF(OR($E413="", AC$2="", val=""), "", val * AC$1)
)</f>
        <v/>
      </c>
      <c r="AD413" s="34" t="str">
        <f t="shared" si="413"/>
        <v/>
      </c>
      <c r="AE413" s="34" t="str">
        <f t="shared" si="413"/>
        <v/>
      </c>
      <c r="AF413" s="34" t="str">
        <f t="shared" si="413"/>
        <v/>
      </c>
      <c r="AG413" s="34" t="str">
        <f t="shared" si="413"/>
        <v/>
      </c>
      <c r="AH413" s="34" t="str">
        <f t="shared" si="413"/>
        <v/>
      </c>
      <c r="AI413" s="34" t="str">
        <f t="shared" si="413"/>
        <v/>
      </c>
      <c r="AJ413" s="34" t="str">
        <f t="shared" si="413"/>
        <v/>
      </c>
      <c r="AK413" s="34" t="str">
        <f t="shared" si="413"/>
        <v/>
      </c>
      <c r="AL413" s="34" t="str">
        <f t="shared" si="413"/>
        <v/>
      </c>
      <c r="AM413" s="34" t="str">
        <f t="shared" si="413"/>
        <v/>
      </c>
      <c r="AN413" s="34" t="str">
        <f t="shared" si="413"/>
        <v/>
      </c>
      <c r="AO413" s="34" t="str">
        <f t="shared" si="413"/>
        <v/>
      </c>
      <c r="AP413" s="34" t="str">
        <f t="shared" si="413"/>
        <v/>
      </c>
      <c r="AQ413" s="76" t="s">
        <v>452</v>
      </c>
      <c r="AR413" s="77"/>
      <c r="AS413" s="77"/>
      <c r="AT413" s="77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77"/>
      <c r="BJ413" s="77"/>
      <c r="BK413" s="77"/>
      <c r="BL413" s="77"/>
      <c r="BM413" s="78"/>
    </row>
    <row r="414">
      <c r="A414" s="79">
        <v>2.642857142857143</v>
      </c>
      <c r="B414" s="79" t="b">
        <v>0</v>
      </c>
      <c r="C414" s="79" t="b">
        <f t="shared" si="3"/>
        <v>0</v>
      </c>
      <c r="D414" s="80" t="s">
        <v>1565</v>
      </c>
      <c r="E414" s="81" t="s">
        <v>1183</v>
      </c>
      <c r="F414" s="82" t="s">
        <v>1482</v>
      </c>
      <c r="G414" s="35" t="s">
        <v>835</v>
      </c>
      <c r="H414" s="37">
        <v>-8.065312051942627</v>
      </c>
      <c r="I414" s="37">
        <v>-2.677431927029888</v>
      </c>
      <c r="J414" s="83" t="s">
        <v>2073</v>
      </c>
      <c r="K414" s="35">
        <v>33.2</v>
      </c>
      <c r="L414" s="79">
        <v>78.71428571428571</v>
      </c>
      <c r="M414" s="84">
        <v>27.0</v>
      </c>
      <c r="N414" s="84">
        <v>6.0</v>
      </c>
      <c r="O414" s="85">
        <v>-1.6221988061861015</v>
      </c>
      <c r="P414" s="85">
        <v>-1.5951273986426382</v>
      </c>
      <c r="Q414" s="85">
        <v>-0.23625925215433902</v>
      </c>
      <c r="R414" s="85">
        <v>1.0713173192551084</v>
      </c>
      <c r="S414" s="85">
        <v>-1.7199434478887383</v>
      </c>
      <c r="T414" s="85">
        <v>-0.7871777123417198</v>
      </c>
      <c r="U414" s="85">
        <v>-1.9278873007305795</v>
      </c>
      <c r="V414" s="85">
        <v>0.0</v>
      </c>
      <c r="W414" s="85">
        <v>0.24735255309586618</v>
      </c>
      <c r="X414" s="85">
        <v>-1.4953880063494855</v>
      </c>
      <c r="Y414" s="50" t="s">
        <v>69</v>
      </c>
      <c r="Z414" s="50" t="s">
        <v>69</v>
      </c>
      <c r="AA414" s="50" t="s">
        <v>69</v>
      </c>
      <c r="AB414" s="50" t="s">
        <v>69</v>
      </c>
      <c r="AC414" s="34" t="str">
        <f t="shared" ref="AC414:AP414" si="414">LET(
  skater, IFERROR(INDEX(AllProj, MATCH($E414, AllProjNames, 0), MATCH(AC$2, AllProjCats, 0) + 1), ""),
  goalie, IFERROR(INDEX(AllGProj, MATCH($E414, AllGProjNames, 0), MATCH(AC$2, AllGProjCats, 0) + 1), ""),
  val, IF(skater &lt;&gt; "", skater, goalie),
  IF(OR($E414="", AC$2="", val=""), "", val * AC$1)
)</f>
        <v/>
      </c>
      <c r="AD414" s="34" t="str">
        <f t="shared" si="414"/>
        <v/>
      </c>
      <c r="AE414" s="34" t="str">
        <f t="shared" si="414"/>
        <v/>
      </c>
      <c r="AF414" s="34" t="str">
        <f t="shared" si="414"/>
        <v/>
      </c>
      <c r="AG414" s="34" t="str">
        <f t="shared" si="414"/>
        <v/>
      </c>
      <c r="AH414" s="34" t="str">
        <f t="shared" si="414"/>
        <v/>
      </c>
      <c r="AI414" s="34" t="str">
        <f t="shared" si="414"/>
        <v/>
      </c>
      <c r="AJ414" s="34" t="str">
        <f t="shared" si="414"/>
        <v/>
      </c>
      <c r="AK414" s="34" t="str">
        <f t="shared" si="414"/>
        <v/>
      </c>
      <c r="AL414" s="34" t="str">
        <f t="shared" si="414"/>
        <v/>
      </c>
      <c r="AM414" s="34" t="str">
        <f t="shared" si="414"/>
        <v/>
      </c>
      <c r="AN414" s="34" t="str">
        <f t="shared" si="414"/>
        <v/>
      </c>
      <c r="AO414" s="34" t="str">
        <f t="shared" si="414"/>
        <v/>
      </c>
      <c r="AP414" s="34" t="str">
        <f t="shared" si="414"/>
        <v/>
      </c>
      <c r="AQ414" s="76" t="s">
        <v>453</v>
      </c>
      <c r="AR414" s="77"/>
      <c r="AS414" s="77"/>
      <c r="AT414" s="77"/>
      <c r="AU414" s="77"/>
      <c r="AV414" s="77"/>
      <c r="AW414" s="77"/>
      <c r="AX414" s="77"/>
      <c r="AY414" s="77"/>
      <c r="AZ414" s="77"/>
      <c r="BA414" s="77"/>
      <c r="BB414" s="77"/>
      <c r="BC414" s="77"/>
      <c r="BD414" s="77"/>
      <c r="BE414" s="77"/>
      <c r="BF414" s="77"/>
      <c r="BG414" s="77"/>
      <c r="BH414" s="77"/>
      <c r="BI414" s="77"/>
      <c r="BJ414" s="77"/>
      <c r="BK414" s="77"/>
      <c r="BL414" s="77"/>
      <c r="BM414" s="78"/>
    </row>
    <row r="415">
      <c r="A415" s="41">
        <v>2.642857142857143</v>
      </c>
      <c r="B415" s="41" t="b">
        <v>0</v>
      </c>
      <c r="C415" s="41" t="b">
        <f t="shared" si="3"/>
        <v>0</v>
      </c>
      <c r="D415" s="42" t="s">
        <v>1565</v>
      </c>
      <c r="E415" s="43" t="s">
        <v>1153</v>
      </c>
      <c r="F415" s="44" t="s">
        <v>1299</v>
      </c>
      <c r="G415" s="29" t="s">
        <v>284</v>
      </c>
      <c r="H415" s="32">
        <v>-8.076305557298031</v>
      </c>
      <c r="I415" s="32">
        <v>-3.038239537114946</v>
      </c>
      <c r="J415" s="45" t="s">
        <v>2074</v>
      </c>
      <c r="K415" s="29">
        <v>32.0</v>
      </c>
      <c r="L415" s="41">
        <v>81.21875</v>
      </c>
      <c r="M415" s="46">
        <v>31.0</v>
      </c>
      <c r="N415" s="46">
        <v>7.0</v>
      </c>
      <c r="O415" s="47">
        <v>-0.8843418989398503</v>
      </c>
      <c r="P415" s="47">
        <v>-0.14127375650775395</v>
      </c>
      <c r="Q415" s="47">
        <v>-2.6897242530164753</v>
      </c>
      <c r="R415" s="47">
        <v>-1.753023758137482</v>
      </c>
      <c r="S415" s="47">
        <v>-0.3154666505136227</v>
      </c>
      <c r="T415" s="47">
        <v>-0.11740850857644765</v>
      </c>
      <c r="U415" s="47">
        <v>-1.730435791722301</v>
      </c>
      <c r="V415" s="47">
        <v>1.6363240639155798</v>
      </c>
      <c r="W415" s="47">
        <v>-2.001622795886342</v>
      </c>
      <c r="X415" s="47">
        <v>-0.07933220791333584</v>
      </c>
      <c r="Y415" s="50" t="s">
        <v>69</v>
      </c>
      <c r="Z415" s="50" t="s">
        <v>69</v>
      </c>
      <c r="AA415" s="50" t="s">
        <v>69</v>
      </c>
      <c r="AB415" s="50" t="s">
        <v>69</v>
      </c>
      <c r="AC415" s="34" t="str">
        <f t="shared" ref="AC415:AP415" si="415">LET(
  skater, IFERROR(INDEX(AllProj, MATCH($E415, AllProjNames, 0), MATCH(AC$2, AllProjCats, 0) + 1), ""),
  goalie, IFERROR(INDEX(AllGProj, MATCH($E415, AllGProjNames, 0), MATCH(AC$2, AllGProjCats, 0) + 1), ""),
  val, IF(skater &lt;&gt; "", skater, goalie),
  IF(OR($E415="", AC$2="", val=""), "", val * AC$1)
)</f>
        <v/>
      </c>
      <c r="AD415" s="34" t="str">
        <f t="shared" si="415"/>
        <v/>
      </c>
      <c r="AE415" s="34" t="str">
        <f t="shared" si="415"/>
        <v/>
      </c>
      <c r="AF415" s="34" t="str">
        <f t="shared" si="415"/>
        <v/>
      </c>
      <c r="AG415" s="34" t="str">
        <f t="shared" si="415"/>
        <v/>
      </c>
      <c r="AH415" s="34" t="str">
        <f t="shared" si="415"/>
        <v/>
      </c>
      <c r="AI415" s="34" t="str">
        <f t="shared" si="415"/>
        <v/>
      </c>
      <c r="AJ415" s="34" t="str">
        <f t="shared" si="415"/>
        <v/>
      </c>
      <c r="AK415" s="34" t="str">
        <f t="shared" si="415"/>
        <v/>
      </c>
      <c r="AL415" s="34" t="str">
        <f t="shared" si="415"/>
        <v/>
      </c>
      <c r="AM415" s="34" t="str">
        <f t="shared" si="415"/>
        <v/>
      </c>
      <c r="AN415" s="34" t="str">
        <f t="shared" si="415"/>
        <v/>
      </c>
      <c r="AO415" s="34" t="str">
        <f t="shared" si="415"/>
        <v/>
      </c>
      <c r="AP415" s="34" t="str">
        <f t="shared" si="415"/>
        <v/>
      </c>
      <c r="AQ415" s="76" t="s">
        <v>454</v>
      </c>
      <c r="AR415" s="77"/>
      <c r="AS415" s="77"/>
      <c r="AT415" s="77"/>
      <c r="AU415" s="77"/>
      <c r="AV415" s="77"/>
      <c r="AW415" s="77"/>
      <c r="AX415" s="77"/>
      <c r="AY415" s="77"/>
      <c r="AZ415" s="77"/>
      <c r="BA415" s="77"/>
      <c r="BB415" s="77"/>
      <c r="BC415" s="77"/>
      <c r="BD415" s="77"/>
      <c r="BE415" s="77"/>
      <c r="BF415" s="77"/>
      <c r="BG415" s="77"/>
      <c r="BH415" s="77"/>
      <c r="BI415" s="77"/>
      <c r="BJ415" s="77"/>
      <c r="BK415" s="77"/>
      <c r="BL415" s="77"/>
      <c r="BM415" s="78"/>
    </row>
    <row r="416">
      <c r="A416" s="79">
        <v>3.0714285714285716</v>
      </c>
      <c r="B416" s="79" t="b">
        <v>0</v>
      </c>
      <c r="C416" s="79" t="b">
        <f t="shared" si="3"/>
        <v>0</v>
      </c>
      <c r="D416" s="80" t="s">
        <v>1565</v>
      </c>
      <c r="E416" s="81" t="s">
        <v>1394</v>
      </c>
      <c r="F416" s="82" t="s">
        <v>1429</v>
      </c>
      <c r="G416" s="35" t="s">
        <v>6</v>
      </c>
      <c r="H416" s="37">
        <v>-8.143720394062026</v>
      </c>
      <c r="I416" s="37">
        <v>-3.805497415591912</v>
      </c>
      <c r="J416" s="83" t="s">
        <v>2075</v>
      </c>
      <c r="K416" s="35">
        <v>34.4</v>
      </c>
      <c r="L416" s="79">
        <v>10.0</v>
      </c>
      <c r="M416" s="84">
        <v>24.0</v>
      </c>
      <c r="N416" s="84">
        <v>7.0</v>
      </c>
      <c r="O416" s="96" t="s">
        <v>69</v>
      </c>
      <c r="P416" s="96" t="s">
        <v>69</v>
      </c>
      <c r="Q416" s="96" t="s">
        <v>69</v>
      </c>
      <c r="R416" s="96" t="s">
        <v>69</v>
      </c>
      <c r="S416" s="96" t="s">
        <v>69</v>
      </c>
      <c r="T416" s="96" t="s">
        <v>69</v>
      </c>
      <c r="U416" s="96" t="s">
        <v>69</v>
      </c>
      <c r="V416" s="96" t="s">
        <v>69</v>
      </c>
      <c r="W416" s="96" t="s">
        <v>69</v>
      </c>
      <c r="X416" s="96" t="s">
        <v>69</v>
      </c>
      <c r="Y416" s="95">
        <v>-4.12013938964701</v>
      </c>
      <c r="Z416" s="95">
        <v>-1.8487702972053546</v>
      </c>
      <c r="AA416" s="95">
        <v>-2.1748107072096605</v>
      </c>
      <c r="AB416" s="95">
        <v>0.0</v>
      </c>
      <c r="AC416" s="34" t="str">
        <f t="shared" ref="AC416:AP416" si="416">LET(
  skater, IFERROR(INDEX(AllProj, MATCH($E416, AllProjNames, 0), MATCH(AC$2, AllProjCats, 0) + 1), ""),
  goalie, IFERROR(INDEX(AllGProj, MATCH($E416, AllGProjNames, 0), MATCH(AC$2, AllGProjCats, 0) + 1), ""),
  val, IF(skater &lt;&gt; "", skater, goalie),
  IF(OR($E416="", AC$2="", val=""), "", val * AC$1)
)</f>
        <v/>
      </c>
      <c r="AD416" s="34" t="str">
        <f t="shared" si="416"/>
        <v/>
      </c>
      <c r="AE416" s="34" t="str">
        <f t="shared" si="416"/>
        <v/>
      </c>
      <c r="AF416" s="34" t="str">
        <f t="shared" si="416"/>
        <v/>
      </c>
      <c r="AG416" s="34" t="str">
        <f t="shared" si="416"/>
        <v/>
      </c>
      <c r="AH416" s="34" t="str">
        <f t="shared" si="416"/>
        <v/>
      </c>
      <c r="AI416" s="34" t="str">
        <f t="shared" si="416"/>
        <v/>
      </c>
      <c r="AJ416" s="34" t="str">
        <f t="shared" si="416"/>
        <v/>
      </c>
      <c r="AK416" s="34" t="str">
        <f t="shared" si="416"/>
        <v/>
      </c>
      <c r="AL416" s="34" t="str">
        <f t="shared" si="416"/>
        <v/>
      </c>
      <c r="AM416" s="34" t="str">
        <f t="shared" si="416"/>
        <v/>
      </c>
      <c r="AN416" s="34" t="str">
        <f t="shared" si="416"/>
        <v/>
      </c>
      <c r="AO416" s="34" t="str">
        <f t="shared" si="416"/>
        <v/>
      </c>
      <c r="AP416" s="34" t="str">
        <f t="shared" si="416"/>
        <v/>
      </c>
      <c r="AQ416" s="76" t="s">
        <v>455</v>
      </c>
      <c r="AR416" s="77"/>
      <c r="AS416" s="77"/>
      <c r="AT416" s="77"/>
      <c r="AU416" s="77"/>
      <c r="AV416" s="77"/>
      <c r="AW416" s="77"/>
      <c r="AX416" s="77"/>
      <c r="AY416" s="77"/>
      <c r="AZ416" s="77"/>
      <c r="BA416" s="77"/>
      <c r="BB416" s="77"/>
      <c r="BC416" s="77"/>
      <c r="BD416" s="77"/>
      <c r="BE416" s="77"/>
      <c r="BF416" s="77"/>
      <c r="BG416" s="77"/>
      <c r="BH416" s="77"/>
      <c r="BI416" s="77"/>
      <c r="BJ416" s="77"/>
      <c r="BK416" s="77"/>
      <c r="BL416" s="77"/>
      <c r="BM416" s="78"/>
    </row>
    <row r="417">
      <c r="A417" s="41" t="s">
        <v>69</v>
      </c>
      <c r="B417" s="41" t="b">
        <v>0</v>
      </c>
      <c r="C417" s="41" t="b">
        <f t="shared" si="3"/>
        <v>1</v>
      </c>
      <c r="D417" s="42" t="s">
        <v>826</v>
      </c>
      <c r="E417" s="43" t="s">
        <v>2076</v>
      </c>
      <c r="F417" s="44" t="s">
        <v>1710</v>
      </c>
      <c r="G417" s="29" t="s">
        <v>832</v>
      </c>
      <c r="H417" s="32">
        <v>-8.176297085039138</v>
      </c>
      <c r="I417" s="32">
        <v>-2.734159476311281</v>
      </c>
      <c r="J417" s="45" t="s">
        <v>2077</v>
      </c>
      <c r="K417" s="29">
        <v>23.8</v>
      </c>
      <c r="L417" s="41">
        <v>81.72720588235293</v>
      </c>
      <c r="M417" s="46">
        <v>23.0</v>
      </c>
      <c r="N417" s="46">
        <v>6.0</v>
      </c>
      <c r="O417" s="47">
        <v>0.3156025949441818</v>
      </c>
      <c r="P417" s="47">
        <v>-0.3654900726971862</v>
      </c>
      <c r="Q417" s="47">
        <v>-3.4864842213900817</v>
      </c>
      <c r="R417" s="47">
        <v>-1.0873117012722389</v>
      </c>
      <c r="S417" s="47">
        <v>0.28253362673682814</v>
      </c>
      <c r="T417" s="47">
        <v>-0.7826372609312401</v>
      </c>
      <c r="U417" s="47">
        <v>0.8265787000664166</v>
      </c>
      <c r="V417" s="47">
        <v>0.0</v>
      </c>
      <c r="W417" s="47">
        <v>-2.0405078834614803</v>
      </c>
      <c r="X417" s="47">
        <v>-1.8385808670343373</v>
      </c>
      <c r="Y417" s="50" t="s">
        <v>69</v>
      </c>
      <c r="Z417" s="50" t="s">
        <v>69</v>
      </c>
      <c r="AA417" s="50" t="s">
        <v>69</v>
      </c>
      <c r="AB417" s="50" t="s">
        <v>69</v>
      </c>
      <c r="AC417" s="34" t="str">
        <f t="shared" ref="AC417:AP417" si="417">LET(
  skater, IFERROR(INDEX(AllProj, MATCH($E417, AllProjNames, 0), MATCH(AC$2, AllProjCats, 0) + 1), ""),
  goalie, IFERROR(INDEX(AllGProj, MATCH($E417, AllGProjNames, 0), MATCH(AC$2, AllGProjCats, 0) + 1), ""),
  val, IF(skater &lt;&gt; "", skater, goalie),
  IF(OR($E417="", AC$2="", val=""), "", val * AC$1)
)</f>
        <v/>
      </c>
      <c r="AD417" s="34" t="str">
        <f t="shared" si="417"/>
        <v/>
      </c>
      <c r="AE417" s="34" t="str">
        <f t="shared" si="417"/>
        <v/>
      </c>
      <c r="AF417" s="34" t="str">
        <f t="shared" si="417"/>
        <v/>
      </c>
      <c r="AG417" s="34" t="str">
        <f t="shared" si="417"/>
        <v/>
      </c>
      <c r="AH417" s="34" t="str">
        <f t="shared" si="417"/>
        <v/>
      </c>
      <c r="AI417" s="34" t="str">
        <f t="shared" si="417"/>
        <v/>
      </c>
      <c r="AJ417" s="34" t="str">
        <f t="shared" si="417"/>
        <v/>
      </c>
      <c r="AK417" s="34" t="str">
        <f t="shared" si="417"/>
        <v/>
      </c>
      <c r="AL417" s="34" t="str">
        <f t="shared" si="417"/>
        <v/>
      </c>
      <c r="AM417" s="34" t="str">
        <f t="shared" si="417"/>
        <v/>
      </c>
      <c r="AN417" s="34" t="str">
        <f t="shared" si="417"/>
        <v/>
      </c>
      <c r="AO417" s="34" t="str">
        <f t="shared" si="417"/>
        <v/>
      </c>
      <c r="AP417" s="34" t="str">
        <f t="shared" si="417"/>
        <v/>
      </c>
      <c r="AQ417" s="76" t="s">
        <v>456</v>
      </c>
      <c r="AR417" s="77"/>
      <c r="AS417" s="77"/>
      <c r="AT417" s="77"/>
      <c r="AU417" s="77"/>
      <c r="AV417" s="77"/>
      <c r="AW417" s="77"/>
      <c r="AX417" s="77"/>
      <c r="AY417" s="77"/>
      <c r="AZ417" s="77"/>
      <c r="BA417" s="77"/>
      <c r="BB417" s="77"/>
      <c r="BC417" s="77"/>
      <c r="BD417" s="77"/>
      <c r="BE417" s="77"/>
      <c r="BF417" s="77"/>
      <c r="BG417" s="77"/>
      <c r="BH417" s="77"/>
      <c r="BI417" s="77"/>
      <c r="BJ417" s="77"/>
      <c r="BK417" s="77"/>
      <c r="BL417" s="77"/>
      <c r="BM417" s="78"/>
    </row>
    <row r="418">
      <c r="A418" s="79">
        <v>2.857142857142857</v>
      </c>
      <c r="B418" s="79" t="b">
        <v>0</v>
      </c>
      <c r="C418" s="79" t="b">
        <f t="shared" si="3"/>
        <v>0</v>
      </c>
      <c r="D418" s="80" t="s">
        <v>1565</v>
      </c>
      <c r="E418" s="81" t="s">
        <v>1380</v>
      </c>
      <c r="F418" s="82" t="s">
        <v>1498</v>
      </c>
      <c r="G418" s="35" t="s">
        <v>6</v>
      </c>
      <c r="H418" s="37">
        <v>-8.1764549159085</v>
      </c>
      <c r="I418" s="37">
        <v>-3.838231937438387</v>
      </c>
      <c r="J418" s="83" t="s">
        <v>2078</v>
      </c>
      <c r="K418" s="35">
        <v>22.5</v>
      </c>
      <c r="L418" s="79">
        <v>33.2</v>
      </c>
      <c r="M418" s="84">
        <v>28.0</v>
      </c>
      <c r="N418" s="84">
        <v>7.0</v>
      </c>
      <c r="O418" s="96" t="s">
        <v>69</v>
      </c>
      <c r="P418" s="96" t="s">
        <v>69</v>
      </c>
      <c r="Q418" s="96" t="s">
        <v>69</v>
      </c>
      <c r="R418" s="96" t="s">
        <v>69</v>
      </c>
      <c r="S418" s="96" t="s">
        <v>69</v>
      </c>
      <c r="T418" s="96" t="s">
        <v>69</v>
      </c>
      <c r="U418" s="96" t="s">
        <v>69</v>
      </c>
      <c r="V418" s="96" t="s">
        <v>69</v>
      </c>
      <c r="W418" s="96" t="s">
        <v>69</v>
      </c>
      <c r="X418" s="96" t="s">
        <v>69</v>
      </c>
      <c r="Y418" s="95">
        <v>-1.8940329981572825</v>
      </c>
      <c r="Z418" s="95">
        <v>-3.887019664514568</v>
      </c>
      <c r="AA418" s="95">
        <v>-2.3954022532366497</v>
      </c>
      <c r="AB418" s="95">
        <v>0.0</v>
      </c>
      <c r="AC418" s="34" t="str">
        <f t="shared" ref="AC418:AP418" si="418">LET(
  skater, IFERROR(INDEX(AllProj, MATCH($E418, AllProjNames, 0), MATCH(AC$2, AllProjCats, 0) + 1), ""),
  goalie, IFERROR(INDEX(AllGProj, MATCH($E418, AllGProjNames, 0), MATCH(AC$2, AllGProjCats, 0) + 1), ""),
  val, IF(skater &lt;&gt; "", skater, goalie),
  IF(OR($E418="", AC$2="", val=""), "", val * AC$1)
)</f>
        <v/>
      </c>
      <c r="AD418" s="34" t="str">
        <f t="shared" si="418"/>
        <v/>
      </c>
      <c r="AE418" s="34" t="str">
        <f t="shared" si="418"/>
        <v/>
      </c>
      <c r="AF418" s="34" t="str">
        <f t="shared" si="418"/>
        <v/>
      </c>
      <c r="AG418" s="34" t="str">
        <f t="shared" si="418"/>
        <v/>
      </c>
      <c r="AH418" s="34" t="str">
        <f t="shared" si="418"/>
        <v/>
      </c>
      <c r="AI418" s="34" t="str">
        <f t="shared" si="418"/>
        <v/>
      </c>
      <c r="AJ418" s="34" t="str">
        <f t="shared" si="418"/>
        <v/>
      </c>
      <c r="AK418" s="34" t="str">
        <f t="shared" si="418"/>
        <v/>
      </c>
      <c r="AL418" s="34" t="str">
        <f t="shared" si="418"/>
        <v/>
      </c>
      <c r="AM418" s="34" t="str">
        <f t="shared" si="418"/>
        <v/>
      </c>
      <c r="AN418" s="34" t="str">
        <f t="shared" si="418"/>
        <v/>
      </c>
      <c r="AO418" s="34" t="str">
        <f t="shared" si="418"/>
        <v/>
      </c>
      <c r="AP418" s="34" t="str">
        <f t="shared" si="418"/>
        <v/>
      </c>
      <c r="AQ418" s="76" t="s">
        <v>457</v>
      </c>
      <c r="AR418" s="77"/>
      <c r="AS418" s="77"/>
      <c r="AT418" s="77"/>
      <c r="AU418" s="77"/>
      <c r="AV418" s="77"/>
      <c r="AW418" s="77"/>
      <c r="AX418" s="77"/>
      <c r="AY418" s="77"/>
      <c r="AZ418" s="77"/>
      <c r="BA418" s="77"/>
      <c r="BB418" s="77"/>
      <c r="BC418" s="77"/>
      <c r="BD418" s="77"/>
      <c r="BE418" s="77"/>
      <c r="BF418" s="77"/>
      <c r="BG418" s="77"/>
      <c r="BH418" s="77"/>
      <c r="BI418" s="77"/>
      <c r="BJ418" s="77"/>
      <c r="BK418" s="77"/>
      <c r="BL418" s="77"/>
      <c r="BM418" s="78"/>
    </row>
    <row r="419">
      <c r="A419" s="41" t="s">
        <v>69</v>
      </c>
      <c r="B419" s="41" t="b">
        <v>0</v>
      </c>
      <c r="C419" s="41" t="b">
        <f t="shared" si="3"/>
        <v>1</v>
      </c>
      <c r="D419" s="42" t="s">
        <v>824</v>
      </c>
      <c r="E419" s="43" t="s">
        <v>2079</v>
      </c>
      <c r="F419" s="44" t="s">
        <v>1299</v>
      </c>
      <c r="G419" s="29" t="s">
        <v>835</v>
      </c>
      <c r="H419" s="32">
        <v>-8.181327994790646</v>
      </c>
      <c r="I419" s="32">
        <v>-2.793447869877907</v>
      </c>
      <c r="J419" s="45" t="s">
        <v>2080</v>
      </c>
      <c r="K419" s="29">
        <v>19.0</v>
      </c>
      <c r="L419" s="41">
        <v>77.92857142857143</v>
      </c>
      <c r="M419" s="46">
        <v>31.0</v>
      </c>
      <c r="N419" s="46">
        <v>7.0</v>
      </c>
      <c r="O419" s="47">
        <v>-0.49936278983671006</v>
      </c>
      <c r="P419" s="47">
        <v>-0.3423503528997126</v>
      </c>
      <c r="Q419" s="47">
        <v>-0.2974747133205115</v>
      </c>
      <c r="R419" s="47">
        <v>-1.6890741417783515</v>
      </c>
      <c r="S419" s="47">
        <v>-0.5577995618281134</v>
      </c>
      <c r="T419" s="47">
        <v>-0.7871777123417198</v>
      </c>
      <c r="U419" s="47">
        <v>-0.5865291927635661</v>
      </c>
      <c r="V419" s="47">
        <v>0.0</v>
      </c>
      <c r="W419" s="47">
        <v>-1.7666936950813588</v>
      </c>
      <c r="X419" s="47">
        <v>-1.6548658349406025</v>
      </c>
      <c r="Y419" s="50" t="s">
        <v>69</v>
      </c>
      <c r="Z419" s="50" t="s">
        <v>69</v>
      </c>
      <c r="AA419" s="50" t="s">
        <v>69</v>
      </c>
      <c r="AB419" s="50" t="s">
        <v>69</v>
      </c>
      <c r="AC419" s="34" t="str">
        <f t="shared" ref="AC419:AP419" si="419">LET(
  skater, IFERROR(INDEX(AllProj, MATCH($E419, AllProjNames, 0), MATCH(AC$2, AllProjCats, 0) + 1), ""),
  goalie, IFERROR(INDEX(AllGProj, MATCH($E419, AllGProjNames, 0), MATCH(AC$2, AllGProjCats, 0) + 1), ""),
  val, IF(skater &lt;&gt; "", skater, goalie),
  IF(OR($E419="", AC$2="", val=""), "", val * AC$1)
)</f>
        <v/>
      </c>
      <c r="AD419" s="34" t="str">
        <f t="shared" si="419"/>
        <v/>
      </c>
      <c r="AE419" s="34" t="str">
        <f t="shared" si="419"/>
        <v/>
      </c>
      <c r="AF419" s="34" t="str">
        <f t="shared" si="419"/>
        <v/>
      </c>
      <c r="AG419" s="34" t="str">
        <f t="shared" si="419"/>
        <v/>
      </c>
      <c r="AH419" s="34" t="str">
        <f t="shared" si="419"/>
        <v/>
      </c>
      <c r="AI419" s="34" t="str">
        <f t="shared" si="419"/>
        <v/>
      </c>
      <c r="AJ419" s="34" t="str">
        <f t="shared" si="419"/>
        <v/>
      </c>
      <c r="AK419" s="34" t="str">
        <f t="shared" si="419"/>
        <v/>
      </c>
      <c r="AL419" s="34" t="str">
        <f t="shared" si="419"/>
        <v/>
      </c>
      <c r="AM419" s="34" t="str">
        <f t="shared" si="419"/>
        <v/>
      </c>
      <c r="AN419" s="34" t="str">
        <f t="shared" si="419"/>
        <v/>
      </c>
      <c r="AO419" s="34" t="str">
        <f t="shared" si="419"/>
        <v/>
      </c>
      <c r="AP419" s="34" t="str">
        <f t="shared" si="419"/>
        <v/>
      </c>
      <c r="AQ419" s="76" t="s">
        <v>458</v>
      </c>
      <c r="AR419" s="77"/>
      <c r="AS419" s="77"/>
      <c r="AT419" s="77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77"/>
      <c r="BJ419" s="77"/>
      <c r="BK419" s="77"/>
      <c r="BL419" s="77"/>
      <c r="BM419" s="78"/>
    </row>
    <row r="420">
      <c r="A420" s="79">
        <v>2.5714285714285716</v>
      </c>
      <c r="B420" s="79" t="b">
        <v>0</v>
      </c>
      <c r="C420" s="79" t="b">
        <f t="shared" si="3"/>
        <v>0</v>
      </c>
      <c r="D420" s="80" t="s">
        <v>1565</v>
      </c>
      <c r="E420" s="81" t="s">
        <v>1085</v>
      </c>
      <c r="F420" s="82" t="s">
        <v>1512</v>
      </c>
      <c r="G420" s="35" t="s">
        <v>837</v>
      </c>
      <c r="H420" s="37">
        <v>-8.181505255054022</v>
      </c>
      <c r="I420" s="37">
        <v>-2.6516464831251207</v>
      </c>
      <c r="J420" s="83" t="s">
        <v>2081</v>
      </c>
      <c r="K420" s="35">
        <v>23.4</v>
      </c>
      <c r="L420" s="79">
        <v>78.36363636363636</v>
      </c>
      <c r="M420" s="84">
        <v>21.0</v>
      </c>
      <c r="N420" s="84">
        <v>7.0</v>
      </c>
      <c r="O420" s="85">
        <v>-1.7332574958032054</v>
      </c>
      <c r="P420" s="85">
        <v>-1.1216451650243102</v>
      </c>
      <c r="Q420" s="85">
        <v>-2.0386229439957955</v>
      </c>
      <c r="R420" s="85">
        <v>0.7144397523378304</v>
      </c>
      <c r="S420" s="85">
        <v>-1.2241783630721574</v>
      </c>
      <c r="T420" s="85">
        <v>-0.7871777123417198</v>
      </c>
      <c r="U420" s="85">
        <v>-1.2046018677855583</v>
      </c>
      <c r="V420" s="85">
        <v>0.0</v>
      </c>
      <c r="W420" s="85">
        <v>-0.3170487792421701</v>
      </c>
      <c r="X420" s="85">
        <v>-0.469412680126936</v>
      </c>
      <c r="Y420" s="50" t="s">
        <v>69</v>
      </c>
      <c r="Z420" s="50" t="s">
        <v>69</v>
      </c>
      <c r="AA420" s="50" t="s">
        <v>69</v>
      </c>
      <c r="AB420" s="50" t="s">
        <v>69</v>
      </c>
      <c r="AC420" s="34" t="str">
        <f t="shared" ref="AC420:AP420" si="420">LET(
  skater, IFERROR(INDEX(AllProj, MATCH($E420, AllProjNames, 0), MATCH(AC$2, AllProjCats, 0) + 1), ""),
  goalie, IFERROR(INDEX(AllGProj, MATCH($E420, AllGProjNames, 0), MATCH(AC$2, AllGProjCats, 0) + 1), ""),
  val, IF(skater &lt;&gt; "", skater, goalie),
  IF(OR($E420="", AC$2="", val=""), "", val * AC$1)
)</f>
        <v/>
      </c>
      <c r="AD420" s="34" t="str">
        <f t="shared" si="420"/>
        <v/>
      </c>
      <c r="AE420" s="34" t="str">
        <f t="shared" si="420"/>
        <v/>
      </c>
      <c r="AF420" s="34" t="str">
        <f t="shared" si="420"/>
        <v/>
      </c>
      <c r="AG420" s="34" t="str">
        <f t="shared" si="420"/>
        <v/>
      </c>
      <c r="AH420" s="34" t="str">
        <f t="shared" si="420"/>
        <v/>
      </c>
      <c r="AI420" s="34" t="str">
        <f t="shared" si="420"/>
        <v/>
      </c>
      <c r="AJ420" s="34" t="str">
        <f t="shared" si="420"/>
        <v/>
      </c>
      <c r="AK420" s="34" t="str">
        <f t="shared" si="420"/>
        <v/>
      </c>
      <c r="AL420" s="34" t="str">
        <f t="shared" si="420"/>
        <v/>
      </c>
      <c r="AM420" s="34" t="str">
        <f t="shared" si="420"/>
        <v/>
      </c>
      <c r="AN420" s="34" t="str">
        <f t="shared" si="420"/>
        <v/>
      </c>
      <c r="AO420" s="34" t="str">
        <f t="shared" si="420"/>
        <v/>
      </c>
      <c r="AP420" s="34" t="str">
        <f t="shared" si="420"/>
        <v/>
      </c>
      <c r="AQ420" s="76" t="s">
        <v>459</v>
      </c>
      <c r="AR420" s="77"/>
      <c r="AS420" s="77"/>
      <c r="AT420" s="77"/>
      <c r="AU420" s="77"/>
      <c r="AV420" s="77"/>
      <c r="AW420" s="77"/>
      <c r="AX420" s="77"/>
      <c r="AY420" s="77"/>
      <c r="AZ420" s="77"/>
      <c r="BA420" s="77"/>
      <c r="BB420" s="77"/>
      <c r="BC420" s="77"/>
      <c r="BD420" s="77"/>
      <c r="BE420" s="77"/>
      <c r="BF420" s="77"/>
      <c r="BG420" s="77"/>
      <c r="BH420" s="77"/>
      <c r="BI420" s="77"/>
      <c r="BJ420" s="77"/>
      <c r="BK420" s="77"/>
      <c r="BL420" s="77"/>
      <c r="BM420" s="78"/>
    </row>
    <row r="421">
      <c r="A421" s="41">
        <v>2.5714285714285716</v>
      </c>
      <c r="B421" s="41" t="b">
        <v>0</v>
      </c>
      <c r="C421" s="41" t="b">
        <f t="shared" si="3"/>
        <v>0</v>
      </c>
      <c r="D421" s="42" t="s">
        <v>1565</v>
      </c>
      <c r="E421" s="43" t="s">
        <v>1051</v>
      </c>
      <c r="F421" s="44" t="s">
        <v>1401</v>
      </c>
      <c r="G421" s="29" t="s">
        <v>832</v>
      </c>
      <c r="H421" s="32">
        <v>-8.19046206535264</v>
      </c>
      <c r="I421" s="32">
        <v>-2.7483244566247835</v>
      </c>
      <c r="J421" s="45" t="s">
        <v>2082</v>
      </c>
      <c r="K421" s="29">
        <v>21.3</v>
      </c>
      <c r="L421" s="41">
        <v>78.77470588235295</v>
      </c>
      <c r="M421" s="46">
        <v>25.0</v>
      </c>
      <c r="N421" s="46">
        <v>7.0</v>
      </c>
      <c r="O421" s="47">
        <v>-0.6676637585754923</v>
      </c>
      <c r="P421" s="47">
        <v>-0.6962075325114592</v>
      </c>
      <c r="Q421" s="47">
        <v>-1.8556780806803646</v>
      </c>
      <c r="R421" s="47">
        <v>-0.06722591013162087</v>
      </c>
      <c r="S421" s="47">
        <v>-0.8353807968697121</v>
      </c>
      <c r="T421" s="47">
        <v>-0.7097525525973726</v>
      </c>
      <c r="U421" s="47">
        <v>-0.994677184870867</v>
      </c>
      <c r="V421" s="47">
        <v>0.0</v>
      </c>
      <c r="W421" s="47">
        <v>-0.8474501991498644</v>
      </c>
      <c r="X421" s="47">
        <v>-1.516426049965889</v>
      </c>
      <c r="Y421" s="50" t="s">
        <v>69</v>
      </c>
      <c r="Z421" s="50" t="s">
        <v>69</v>
      </c>
      <c r="AA421" s="50" t="s">
        <v>69</v>
      </c>
      <c r="AB421" s="50" t="s">
        <v>69</v>
      </c>
      <c r="AC421" s="34" t="str">
        <f t="shared" ref="AC421:AP421" si="421">LET(
  skater, IFERROR(INDEX(AllProj, MATCH($E421, AllProjNames, 0), MATCH(AC$2, AllProjCats, 0) + 1), ""),
  goalie, IFERROR(INDEX(AllGProj, MATCH($E421, AllGProjNames, 0), MATCH(AC$2, AllGProjCats, 0) + 1), ""),
  val, IF(skater &lt;&gt; "", skater, goalie),
  IF(OR($E421="", AC$2="", val=""), "", val * AC$1)
)</f>
        <v/>
      </c>
      <c r="AD421" s="34" t="str">
        <f t="shared" si="421"/>
        <v/>
      </c>
      <c r="AE421" s="34" t="str">
        <f t="shared" si="421"/>
        <v/>
      </c>
      <c r="AF421" s="34" t="str">
        <f t="shared" si="421"/>
        <v/>
      </c>
      <c r="AG421" s="34" t="str">
        <f t="shared" si="421"/>
        <v/>
      </c>
      <c r="AH421" s="34" t="str">
        <f t="shared" si="421"/>
        <v/>
      </c>
      <c r="AI421" s="34" t="str">
        <f t="shared" si="421"/>
        <v/>
      </c>
      <c r="AJ421" s="34" t="str">
        <f t="shared" si="421"/>
        <v/>
      </c>
      <c r="AK421" s="34" t="str">
        <f t="shared" si="421"/>
        <v/>
      </c>
      <c r="AL421" s="34" t="str">
        <f t="shared" si="421"/>
        <v/>
      </c>
      <c r="AM421" s="34" t="str">
        <f t="shared" si="421"/>
        <v/>
      </c>
      <c r="AN421" s="34" t="str">
        <f t="shared" si="421"/>
        <v/>
      </c>
      <c r="AO421" s="34" t="str">
        <f t="shared" si="421"/>
        <v/>
      </c>
      <c r="AP421" s="34" t="str">
        <f t="shared" si="421"/>
        <v/>
      </c>
      <c r="AQ421" s="76" t="s">
        <v>460</v>
      </c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 s="77"/>
      <c r="BH421" s="77"/>
      <c r="BI421" s="77"/>
      <c r="BJ421" s="77"/>
      <c r="BK421" s="77"/>
      <c r="BL421" s="77"/>
      <c r="BM421" s="78"/>
    </row>
    <row r="422">
      <c r="A422" s="79">
        <v>3.0714285714285716</v>
      </c>
      <c r="B422" s="79" t="b">
        <v>0</v>
      </c>
      <c r="C422" s="79" t="b">
        <f t="shared" si="3"/>
        <v>0</v>
      </c>
      <c r="D422" s="80" t="s">
        <v>1565</v>
      </c>
      <c r="E422" s="81" t="s">
        <v>1391</v>
      </c>
      <c r="F422" s="82" t="s">
        <v>1548</v>
      </c>
      <c r="G422" s="35" t="s">
        <v>6</v>
      </c>
      <c r="H422" s="37">
        <v>-8.193231775231139</v>
      </c>
      <c r="I422" s="37">
        <v>-3.855008796761025</v>
      </c>
      <c r="J422" s="83" t="s">
        <v>2083</v>
      </c>
      <c r="K422" s="35">
        <v>31.6</v>
      </c>
      <c r="L422" s="79">
        <v>27.8</v>
      </c>
      <c r="M422" s="84">
        <v>34.0</v>
      </c>
      <c r="N422" s="84">
        <v>7.0</v>
      </c>
      <c r="O422" s="96" t="s">
        <v>69</v>
      </c>
      <c r="P422" s="96" t="s">
        <v>69</v>
      </c>
      <c r="Q422" s="96" t="s">
        <v>69</v>
      </c>
      <c r="R422" s="96" t="s">
        <v>69</v>
      </c>
      <c r="S422" s="96" t="s">
        <v>69</v>
      </c>
      <c r="T422" s="96" t="s">
        <v>69</v>
      </c>
      <c r="U422" s="96" t="s">
        <v>69</v>
      </c>
      <c r="V422" s="96" t="s">
        <v>69</v>
      </c>
      <c r="W422" s="96" t="s">
        <v>69</v>
      </c>
      <c r="X422" s="96" t="s">
        <v>69</v>
      </c>
      <c r="Y422" s="95">
        <v>-2.3040768317811784</v>
      </c>
      <c r="Z422" s="95">
        <v>-3.43860480370654</v>
      </c>
      <c r="AA422" s="95">
        <v>-2.45055013974342</v>
      </c>
      <c r="AB422" s="95">
        <v>0.0</v>
      </c>
      <c r="AC422" s="34" t="str">
        <f t="shared" ref="AC422:AP422" si="422">LET(
  skater, IFERROR(INDEX(AllProj, MATCH($E422, AllProjNames, 0), MATCH(AC$2, AllProjCats, 0) + 1), ""),
  goalie, IFERROR(INDEX(AllGProj, MATCH($E422, AllGProjNames, 0), MATCH(AC$2, AllGProjCats, 0) + 1), ""),
  val, IF(skater &lt;&gt; "", skater, goalie),
  IF(OR($E422="", AC$2="", val=""), "", val * AC$1)
)</f>
        <v/>
      </c>
      <c r="AD422" s="34" t="str">
        <f t="shared" si="422"/>
        <v/>
      </c>
      <c r="AE422" s="34" t="str">
        <f t="shared" si="422"/>
        <v/>
      </c>
      <c r="AF422" s="34" t="str">
        <f t="shared" si="422"/>
        <v/>
      </c>
      <c r="AG422" s="34" t="str">
        <f t="shared" si="422"/>
        <v/>
      </c>
      <c r="AH422" s="34" t="str">
        <f t="shared" si="422"/>
        <v/>
      </c>
      <c r="AI422" s="34" t="str">
        <f t="shared" si="422"/>
        <v/>
      </c>
      <c r="AJ422" s="34" t="str">
        <f t="shared" si="422"/>
        <v/>
      </c>
      <c r="AK422" s="34" t="str">
        <f t="shared" si="422"/>
        <v/>
      </c>
      <c r="AL422" s="34" t="str">
        <f t="shared" si="422"/>
        <v/>
      </c>
      <c r="AM422" s="34" t="str">
        <f t="shared" si="422"/>
        <v/>
      </c>
      <c r="AN422" s="34" t="str">
        <f t="shared" si="422"/>
        <v/>
      </c>
      <c r="AO422" s="34" t="str">
        <f t="shared" si="422"/>
        <v/>
      </c>
      <c r="AP422" s="34" t="str">
        <f t="shared" si="422"/>
        <v/>
      </c>
      <c r="AQ422" s="76" t="s">
        <v>461</v>
      </c>
      <c r="AR422" s="77"/>
      <c r="AS422" s="77"/>
      <c r="AT422" s="77"/>
      <c r="AU422" s="77"/>
      <c r="AV422" s="77"/>
      <c r="AW422" s="77"/>
      <c r="AX422" s="77"/>
      <c r="AY422" s="77"/>
      <c r="AZ422" s="77"/>
      <c r="BA422" s="77"/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8"/>
    </row>
    <row r="423">
      <c r="A423" s="41">
        <v>2.5714285714285716</v>
      </c>
      <c r="B423" s="41" t="b">
        <v>0</v>
      </c>
      <c r="C423" s="41" t="b">
        <f t="shared" si="3"/>
        <v>0</v>
      </c>
      <c r="D423" s="42" t="s">
        <v>1565</v>
      </c>
      <c r="E423" s="43" t="s">
        <v>1033</v>
      </c>
      <c r="F423" s="44" t="s">
        <v>1416</v>
      </c>
      <c r="G423" s="29" t="s">
        <v>829</v>
      </c>
      <c r="H423" s="32">
        <v>-8.22328595531321</v>
      </c>
      <c r="I423" s="32">
        <v>-2.7811483465853533</v>
      </c>
      <c r="J423" s="45" t="s">
        <v>2084</v>
      </c>
      <c r="K423" s="29">
        <v>25.7</v>
      </c>
      <c r="L423" s="41">
        <v>69.1815</v>
      </c>
      <c r="M423" s="46">
        <v>29.0</v>
      </c>
      <c r="N423" s="46">
        <v>7.0</v>
      </c>
      <c r="O423" s="47">
        <v>-0.848061686068134</v>
      </c>
      <c r="P423" s="47">
        <v>-1.311402081272316</v>
      </c>
      <c r="Q423" s="47">
        <v>-1.3070432923314992</v>
      </c>
      <c r="R423" s="47">
        <v>0.016790037447070697</v>
      </c>
      <c r="S423" s="47">
        <v>-1.0321703041743986</v>
      </c>
      <c r="T423" s="47">
        <v>-0.7812690454380372</v>
      </c>
      <c r="U423" s="47">
        <v>-1.3839766810479643</v>
      </c>
      <c r="V423" s="47">
        <v>0.0</v>
      </c>
      <c r="W423" s="47">
        <v>-0.43384632150393165</v>
      </c>
      <c r="X423" s="47">
        <v>-1.1423065809239998</v>
      </c>
      <c r="Y423" s="50" t="s">
        <v>69</v>
      </c>
      <c r="Z423" s="50" t="s">
        <v>69</v>
      </c>
      <c r="AA423" s="50" t="s">
        <v>69</v>
      </c>
      <c r="AB423" s="50" t="s">
        <v>69</v>
      </c>
      <c r="AC423" s="34" t="str">
        <f t="shared" ref="AC423:AP423" si="423">LET(
  skater, IFERROR(INDEX(AllProj, MATCH($E423, AllProjNames, 0), MATCH(AC$2, AllProjCats, 0) + 1), ""),
  goalie, IFERROR(INDEX(AllGProj, MATCH($E423, AllGProjNames, 0), MATCH(AC$2, AllGProjCats, 0) + 1), ""),
  val, IF(skater &lt;&gt; "", skater, goalie),
  IF(OR($E423="", AC$2="", val=""), "", val * AC$1)
)</f>
        <v/>
      </c>
      <c r="AD423" s="34" t="str">
        <f t="shared" si="423"/>
        <v/>
      </c>
      <c r="AE423" s="34" t="str">
        <f t="shared" si="423"/>
        <v/>
      </c>
      <c r="AF423" s="34" t="str">
        <f t="shared" si="423"/>
        <v/>
      </c>
      <c r="AG423" s="34" t="str">
        <f t="shared" si="423"/>
        <v/>
      </c>
      <c r="AH423" s="34" t="str">
        <f t="shared" si="423"/>
        <v/>
      </c>
      <c r="AI423" s="34" t="str">
        <f t="shared" si="423"/>
        <v/>
      </c>
      <c r="AJ423" s="34" t="str">
        <f t="shared" si="423"/>
        <v/>
      </c>
      <c r="AK423" s="34" t="str">
        <f t="shared" si="423"/>
        <v/>
      </c>
      <c r="AL423" s="34" t="str">
        <f t="shared" si="423"/>
        <v/>
      </c>
      <c r="AM423" s="34" t="str">
        <f t="shared" si="423"/>
        <v/>
      </c>
      <c r="AN423" s="34" t="str">
        <f t="shared" si="423"/>
        <v/>
      </c>
      <c r="AO423" s="34" t="str">
        <f t="shared" si="423"/>
        <v/>
      </c>
      <c r="AP423" s="34" t="str">
        <f t="shared" si="423"/>
        <v/>
      </c>
      <c r="AQ423" s="76" t="s">
        <v>462</v>
      </c>
      <c r="AR423" s="77"/>
      <c r="AS423" s="77"/>
      <c r="AT423" s="77"/>
      <c r="AU423" s="77"/>
      <c r="AV423" s="77"/>
      <c r="AW423" s="77"/>
      <c r="AX423" s="77"/>
      <c r="AY423" s="77"/>
      <c r="AZ423" s="77"/>
      <c r="BA423" s="77"/>
      <c r="BB423" s="77"/>
      <c r="BC423" s="77"/>
      <c r="BD423" s="77"/>
      <c r="BE423" s="77"/>
      <c r="BF423" s="77"/>
      <c r="BG423" s="77"/>
      <c r="BH423" s="77"/>
      <c r="BI423" s="77"/>
      <c r="BJ423" s="77"/>
      <c r="BK423" s="77"/>
      <c r="BL423" s="77"/>
      <c r="BM423" s="78"/>
    </row>
    <row r="424">
      <c r="A424" s="79">
        <v>2.857142857142857</v>
      </c>
      <c r="B424" s="79" t="b">
        <v>0</v>
      </c>
      <c r="C424" s="79" t="b">
        <f t="shared" si="3"/>
        <v>0</v>
      </c>
      <c r="D424" s="80" t="s">
        <v>1565</v>
      </c>
      <c r="E424" s="81" t="s">
        <v>1379</v>
      </c>
      <c r="F424" s="82" t="s">
        <v>1498</v>
      </c>
      <c r="G424" s="35" t="s">
        <v>6</v>
      </c>
      <c r="H424" s="37">
        <v>-8.224069866911274</v>
      </c>
      <c r="I424" s="37">
        <v>-3.8858468884411597</v>
      </c>
      <c r="J424" s="83" t="s">
        <v>2085</v>
      </c>
      <c r="K424" s="35">
        <v>25.5</v>
      </c>
      <c r="L424" s="79">
        <v>45.8</v>
      </c>
      <c r="M424" s="84">
        <v>28.0</v>
      </c>
      <c r="N424" s="84">
        <v>7.0</v>
      </c>
      <c r="O424" s="96" t="s">
        <v>69</v>
      </c>
      <c r="P424" s="96" t="s">
        <v>69</v>
      </c>
      <c r="Q424" s="96" t="s">
        <v>69</v>
      </c>
      <c r="R424" s="96" t="s">
        <v>69</v>
      </c>
      <c r="S424" s="96" t="s">
        <v>69</v>
      </c>
      <c r="T424" s="96" t="s">
        <v>69</v>
      </c>
      <c r="U424" s="96" t="s">
        <v>69</v>
      </c>
      <c r="V424" s="96" t="s">
        <v>69</v>
      </c>
      <c r="W424" s="96" t="s">
        <v>69</v>
      </c>
      <c r="X424" s="96" t="s">
        <v>69</v>
      </c>
      <c r="Y424" s="95">
        <v>-0.5607431012475846</v>
      </c>
      <c r="Z424" s="95">
        <v>-3.668635803731434</v>
      </c>
      <c r="AA424" s="95">
        <v>-3.9946909619322546</v>
      </c>
      <c r="AB424" s="95">
        <v>0.0</v>
      </c>
      <c r="AC424" s="34" t="str">
        <f t="shared" ref="AC424:AP424" si="424">LET(
  skater, IFERROR(INDEX(AllProj, MATCH($E424, AllProjNames, 0), MATCH(AC$2, AllProjCats, 0) + 1), ""),
  goalie, IFERROR(INDEX(AllGProj, MATCH($E424, AllGProjNames, 0), MATCH(AC$2, AllGProjCats, 0) + 1), ""),
  val, IF(skater &lt;&gt; "", skater, goalie),
  IF(OR($E424="", AC$2="", val=""), "", val * AC$1)
)</f>
        <v/>
      </c>
      <c r="AD424" s="34" t="str">
        <f t="shared" si="424"/>
        <v/>
      </c>
      <c r="AE424" s="34" t="str">
        <f t="shared" si="424"/>
        <v/>
      </c>
      <c r="AF424" s="34" t="str">
        <f t="shared" si="424"/>
        <v/>
      </c>
      <c r="AG424" s="34" t="str">
        <f t="shared" si="424"/>
        <v/>
      </c>
      <c r="AH424" s="34" t="str">
        <f t="shared" si="424"/>
        <v/>
      </c>
      <c r="AI424" s="34" t="str">
        <f t="shared" si="424"/>
        <v/>
      </c>
      <c r="AJ424" s="34" t="str">
        <f t="shared" si="424"/>
        <v/>
      </c>
      <c r="AK424" s="34" t="str">
        <f t="shared" si="424"/>
        <v/>
      </c>
      <c r="AL424" s="34" t="str">
        <f t="shared" si="424"/>
        <v/>
      </c>
      <c r="AM424" s="34" t="str">
        <f t="shared" si="424"/>
        <v/>
      </c>
      <c r="AN424" s="34" t="str">
        <f t="shared" si="424"/>
        <v/>
      </c>
      <c r="AO424" s="34" t="str">
        <f t="shared" si="424"/>
        <v/>
      </c>
      <c r="AP424" s="34" t="str">
        <f t="shared" si="424"/>
        <v/>
      </c>
      <c r="AQ424" s="76" t="s">
        <v>463</v>
      </c>
      <c r="AR424" s="77"/>
      <c r="AS424" s="77"/>
      <c r="AT424" s="77"/>
      <c r="AU424" s="77"/>
      <c r="AV424" s="77"/>
      <c r="AW424" s="77"/>
      <c r="AX424" s="77"/>
      <c r="AY424" s="77"/>
      <c r="AZ424" s="77"/>
      <c r="BA424" s="77"/>
      <c r="BB424" s="77"/>
      <c r="BC424" s="77"/>
      <c r="BD424" s="77"/>
      <c r="BE424" s="77"/>
      <c r="BF424" s="77"/>
      <c r="BG424" s="77"/>
      <c r="BH424" s="77"/>
      <c r="BI424" s="77"/>
      <c r="BJ424" s="77"/>
      <c r="BK424" s="77"/>
      <c r="BL424" s="77"/>
      <c r="BM424" s="78"/>
    </row>
    <row r="425">
      <c r="A425" s="41">
        <v>2.5714285714285716</v>
      </c>
      <c r="B425" s="41" t="b">
        <v>0</v>
      </c>
      <c r="C425" s="41" t="b">
        <f t="shared" si="3"/>
        <v>0</v>
      </c>
      <c r="D425" s="42" t="s">
        <v>1565</v>
      </c>
      <c r="E425" s="43" t="s">
        <v>1016</v>
      </c>
      <c r="F425" s="44" t="s">
        <v>1489</v>
      </c>
      <c r="G425" s="29" t="s">
        <v>832</v>
      </c>
      <c r="H425" s="32">
        <v>-8.238792354822603</v>
      </c>
      <c r="I425" s="32">
        <v>-2.796654746094746</v>
      </c>
      <c r="J425" s="45" t="s">
        <v>2086</v>
      </c>
      <c r="K425" s="29">
        <v>41.3</v>
      </c>
      <c r="L425" s="41">
        <v>80.14285714285714</v>
      </c>
      <c r="M425" s="46">
        <v>28.0</v>
      </c>
      <c r="N425" s="46">
        <v>7.0</v>
      </c>
      <c r="O425" s="47">
        <v>-0.6269169612940008</v>
      </c>
      <c r="P425" s="47">
        <v>-1.4443301616550641</v>
      </c>
      <c r="Q425" s="47">
        <v>-0.6775518530077199</v>
      </c>
      <c r="R425" s="47">
        <v>1.0446726140327771</v>
      </c>
      <c r="S425" s="47">
        <v>-0.6184737406184271</v>
      </c>
      <c r="T425" s="47">
        <v>-0.7871777123417198</v>
      </c>
      <c r="U425" s="47">
        <v>-1.3580894175324412</v>
      </c>
      <c r="V425" s="47">
        <v>0.0</v>
      </c>
      <c r="W425" s="47">
        <v>-1.9095504638474177</v>
      </c>
      <c r="X425" s="47">
        <v>-1.8613746585585904</v>
      </c>
      <c r="Y425" s="50" t="s">
        <v>69</v>
      </c>
      <c r="Z425" s="50" t="s">
        <v>69</v>
      </c>
      <c r="AA425" s="50" t="s">
        <v>69</v>
      </c>
      <c r="AB425" s="50" t="s">
        <v>69</v>
      </c>
      <c r="AC425" s="34" t="str">
        <f t="shared" ref="AC425:AP425" si="425">LET(
  skater, IFERROR(INDEX(AllProj, MATCH($E425, AllProjNames, 0), MATCH(AC$2, AllProjCats, 0) + 1), ""),
  goalie, IFERROR(INDEX(AllGProj, MATCH($E425, AllGProjNames, 0), MATCH(AC$2, AllGProjCats, 0) + 1), ""),
  val, IF(skater &lt;&gt; "", skater, goalie),
  IF(OR($E425="", AC$2="", val=""), "", val * AC$1)
)</f>
        <v/>
      </c>
      <c r="AD425" s="34" t="str">
        <f t="shared" si="425"/>
        <v/>
      </c>
      <c r="AE425" s="34" t="str">
        <f t="shared" si="425"/>
        <v/>
      </c>
      <c r="AF425" s="34" t="str">
        <f t="shared" si="425"/>
        <v/>
      </c>
      <c r="AG425" s="34" t="str">
        <f t="shared" si="425"/>
        <v/>
      </c>
      <c r="AH425" s="34" t="str">
        <f t="shared" si="425"/>
        <v/>
      </c>
      <c r="AI425" s="34" t="str">
        <f t="shared" si="425"/>
        <v/>
      </c>
      <c r="AJ425" s="34" t="str">
        <f t="shared" si="425"/>
        <v/>
      </c>
      <c r="AK425" s="34" t="str">
        <f t="shared" si="425"/>
        <v/>
      </c>
      <c r="AL425" s="34" t="str">
        <f t="shared" si="425"/>
        <v/>
      </c>
      <c r="AM425" s="34" t="str">
        <f t="shared" si="425"/>
        <v/>
      </c>
      <c r="AN425" s="34" t="str">
        <f t="shared" si="425"/>
        <v/>
      </c>
      <c r="AO425" s="34" t="str">
        <f t="shared" si="425"/>
        <v/>
      </c>
      <c r="AP425" s="34" t="str">
        <f t="shared" si="425"/>
        <v/>
      </c>
      <c r="AQ425" s="76" t="s">
        <v>464</v>
      </c>
      <c r="AR425" s="77"/>
      <c r="AS425" s="77"/>
      <c r="AT425" s="77"/>
      <c r="AU425" s="77"/>
      <c r="AV425" s="77"/>
      <c r="AW425" s="77"/>
      <c r="AX425" s="77"/>
      <c r="AY425" s="77"/>
      <c r="AZ425" s="77"/>
      <c r="BA425" s="77"/>
      <c r="BB425" s="77"/>
      <c r="BC425" s="77"/>
      <c r="BD425" s="77"/>
      <c r="BE425" s="77"/>
      <c r="BF425" s="77"/>
      <c r="BG425" s="77"/>
      <c r="BH425" s="77"/>
      <c r="BI425" s="77"/>
      <c r="BJ425" s="77"/>
      <c r="BK425" s="77"/>
      <c r="BL425" s="77"/>
      <c r="BM425" s="78"/>
    </row>
    <row r="426">
      <c r="A426" s="79">
        <v>2.5714285714285716</v>
      </c>
      <c r="B426" s="79" t="b">
        <v>0</v>
      </c>
      <c r="C426" s="79" t="b">
        <f t="shared" si="3"/>
        <v>0</v>
      </c>
      <c r="D426" s="80" t="s">
        <v>1565</v>
      </c>
      <c r="E426" s="81" t="s">
        <v>994</v>
      </c>
      <c r="F426" s="82" t="s">
        <v>1444</v>
      </c>
      <c r="G426" s="35" t="s">
        <v>837</v>
      </c>
      <c r="H426" s="37">
        <v>-8.27643225803416</v>
      </c>
      <c r="I426" s="37">
        <v>-2.746573486105258</v>
      </c>
      <c r="J426" s="83" t="s">
        <v>2087</v>
      </c>
      <c r="K426" s="35">
        <v>25.0</v>
      </c>
      <c r="L426" s="79">
        <v>81.85714285714286</v>
      </c>
      <c r="M426" s="84">
        <v>33.0</v>
      </c>
      <c r="N426" s="84">
        <v>6.0</v>
      </c>
      <c r="O426" s="85">
        <v>-2.074926287978177</v>
      </c>
      <c r="P426" s="85">
        <v>-1.2935329246674896</v>
      </c>
      <c r="Q426" s="85">
        <v>-2.264575910503131</v>
      </c>
      <c r="R426" s="85">
        <v>-1.3533508559769847</v>
      </c>
      <c r="S426" s="85">
        <v>-1.645267535531429</v>
      </c>
      <c r="T426" s="85">
        <v>-0.16952108464970286</v>
      </c>
      <c r="U426" s="85">
        <v>-1.5342207124541263</v>
      </c>
      <c r="V426" s="85">
        <v>0.0</v>
      </c>
      <c r="W426" s="85">
        <v>0.5400918333541835</v>
      </c>
      <c r="X426" s="85">
        <v>1.518871220372697</v>
      </c>
      <c r="Y426" s="50" t="s">
        <v>69</v>
      </c>
      <c r="Z426" s="50" t="s">
        <v>69</v>
      </c>
      <c r="AA426" s="50" t="s">
        <v>69</v>
      </c>
      <c r="AB426" s="50" t="s">
        <v>69</v>
      </c>
      <c r="AC426" s="34" t="str">
        <f t="shared" ref="AC426:AP426" si="426">LET(
  skater, IFERROR(INDEX(AllProj, MATCH($E426, AllProjNames, 0), MATCH(AC$2, AllProjCats, 0) + 1), ""),
  goalie, IFERROR(INDEX(AllGProj, MATCH($E426, AllGProjNames, 0), MATCH(AC$2, AllGProjCats, 0) + 1), ""),
  val, IF(skater &lt;&gt; "", skater, goalie),
  IF(OR($E426="", AC$2="", val=""), "", val * AC$1)
)</f>
        <v/>
      </c>
      <c r="AD426" s="34" t="str">
        <f t="shared" si="426"/>
        <v/>
      </c>
      <c r="AE426" s="34" t="str">
        <f t="shared" si="426"/>
        <v/>
      </c>
      <c r="AF426" s="34" t="str">
        <f t="shared" si="426"/>
        <v/>
      </c>
      <c r="AG426" s="34" t="str">
        <f t="shared" si="426"/>
        <v/>
      </c>
      <c r="AH426" s="34" t="str">
        <f t="shared" si="426"/>
        <v/>
      </c>
      <c r="AI426" s="34" t="str">
        <f t="shared" si="426"/>
        <v/>
      </c>
      <c r="AJ426" s="34" t="str">
        <f t="shared" si="426"/>
        <v/>
      </c>
      <c r="AK426" s="34" t="str">
        <f t="shared" si="426"/>
        <v/>
      </c>
      <c r="AL426" s="34" t="str">
        <f t="shared" si="426"/>
        <v/>
      </c>
      <c r="AM426" s="34" t="str">
        <f t="shared" si="426"/>
        <v/>
      </c>
      <c r="AN426" s="34" t="str">
        <f t="shared" si="426"/>
        <v/>
      </c>
      <c r="AO426" s="34" t="str">
        <f t="shared" si="426"/>
        <v/>
      </c>
      <c r="AP426" s="34" t="str">
        <f t="shared" si="426"/>
        <v/>
      </c>
      <c r="AQ426" s="76" t="s">
        <v>465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77"/>
      <c r="BJ426" s="77"/>
      <c r="BK426" s="77"/>
      <c r="BL426" s="77"/>
      <c r="BM426" s="78"/>
    </row>
    <row r="427">
      <c r="A427" s="41">
        <v>2.5</v>
      </c>
      <c r="B427" s="41" t="b">
        <v>0</v>
      </c>
      <c r="C427" s="41" t="b">
        <f t="shared" si="3"/>
        <v>0</v>
      </c>
      <c r="D427" s="42" t="s">
        <v>1565</v>
      </c>
      <c r="E427" s="43" t="s">
        <v>895</v>
      </c>
      <c r="F427" s="44" t="s">
        <v>1548</v>
      </c>
      <c r="G427" s="29" t="s">
        <v>837</v>
      </c>
      <c r="H427" s="32">
        <v>-8.28590494614516</v>
      </c>
      <c r="I427" s="32">
        <v>-2.7560461742162596</v>
      </c>
      <c r="J427" s="45" t="s">
        <v>2088</v>
      </c>
      <c r="K427" s="29">
        <v>22.8</v>
      </c>
      <c r="L427" s="41">
        <v>80.20160714285714</v>
      </c>
      <c r="M427" s="46">
        <v>34.0</v>
      </c>
      <c r="N427" s="46">
        <v>7.0</v>
      </c>
      <c r="O427" s="47">
        <v>-1.5903196535436102</v>
      </c>
      <c r="P427" s="47">
        <v>-0.8600261440993635</v>
      </c>
      <c r="Q427" s="47">
        <v>-1.5619624441935431</v>
      </c>
      <c r="R427" s="47">
        <v>-1.300104829309218</v>
      </c>
      <c r="S427" s="47">
        <v>-1.1776365082292568</v>
      </c>
      <c r="T427" s="47">
        <v>-0.12226083040850005</v>
      </c>
      <c r="U427" s="47">
        <v>-1.4569656792055372</v>
      </c>
      <c r="V427" s="47">
        <v>0.0</v>
      </c>
      <c r="W427" s="47">
        <v>-1.286330309434805</v>
      </c>
      <c r="X427" s="47">
        <v>1.069701452278671</v>
      </c>
      <c r="Y427" s="50" t="s">
        <v>69</v>
      </c>
      <c r="Z427" s="50" t="s">
        <v>69</v>
      </c>
      <c r="AA427" s="50" t="s">
        <v>69</v>
      </c>
      <c r="AB427" s="50" t="s">
        <v>69</v>
      </c>
      <c r="AC427" s="34" t="str">
        <f t="shared" ref="AC427:AP427" si="427">LET(
  skater, IFERROR(INDEX(AllProj, MATCH($E427, AllProjNames, 0), MATCH(AC$2, AllProjCats, 0) + 1), ""),
  goalie, IFERROR(INDEX(AllGProj, MATCH($E427, AllGProjNames, 0), MATCH(AC$2, AllGProjCats, 0) + 1), ""),
  val, IF(skater &lt;&gt; "", skater, goalie),
  IF(OR($E427="", AC$2="", val=""), "", val * AC$1)
)</f>
        <v/>
      </c>
      <c r="AD427" s="34" t="str">
        <f t="shared" si="427"/>
        <v/>
      </c>
      <c r="AE427" s="34" t="str">
        <f t="shared" si="427"/>
        <v/>
      </c>
      <c r="AF427" s="34" t="str">
        <f t="shared" si="427"/>
        <v/>
      </c>
      <c r="AG427" s="34" t="str">
        <f t="shared" si="427"/>
        <v/>
      </c>
      <c r="AH427" s="34" t="str">
        <f t="shared" si="427"/>
        <v/>
      </c>
      <c r="AI427" s="34" t="str">
        <f t="shared" si="427"/>
        <v/>
      </c>
      <c r="AJ427" s="34" t="str">
        <f t="shared" si="427"/>
        <v/>
      </c>
      <c r="AK427" s="34" t="str">
        <f t="shared" si="427"/>
        <v/>
      </c>
      <c r="AL427" s="34" t="str">
        <f t="shared" si="427"/>
        <v/>
      </c>
      <c r="AM427" s="34" t="str">
        <f t="shared" si="427"/>
        <v/>
      </c>
      <c r="AN427" s="34" t="str">
        <f t="shared" si="427"/>
        <v/>
      </c>
      <c r="AO427" s="34" t="str">
        <f t="shared" si="427"/>
        <v/>
      </c>
      <c r="AP427" s="34" t="str">
        <f t="shared" si="427"/>
        <v/>
      </c>
      <c r="AQ427" s="76" t="s">
        <v>466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77"/>
      <c r="BJ427" s="77"/>
      <c r="BK427" s="77"/>
      <c r="BL427" s="77"/>
      <c r="BM427" s="78"/>
    </row>
    <row r="428">
      <c r="A428" s="79">
        <v>2.7142857142857144</v>
      </c>
      <c r="B428" s="79" t="b">
        <v>0</v>
      </c>
      <c r="C428" s="79" t="b">
        <f t="shared" si="3"/>
        <v>0</v>
      </c>
      <c r="D428" s="80" t="s">
        <v>1565</v>
      </c>
      <c r="E428" s="81" t="s">
        <v>1309</v>
      </c>
      <c r="F428" s="82" t="s">
        <v>849</v>
      </c>
      <c r="G428" s="35" t="s">
        <v>830</v>
      </c>
      <c r="H428" s="37">
        <v>-8.287328532227527</v>
      </c>
      <c r="I428" s="37">
        <v>-2.8994484073147877</v>
      </c>
      <c r="J428" s="83" t="s">
        <v>2089</v>
      </c>
      <c r="K428" s="35">
        <v>23.7</v>
      </c>
      <c r="L428" s="79">
        <v>77.0</v>
      </c>
      <c r="M428" s="84">
        <v>29.0</v>
      </c>
      <c r="N428" s="84">
        <v>6.0</v>
      </c>
      <c r="O428" s="85">
        <v>-1.2736705067112504</v>
      </c>
      <c r="P428" s="85">
        <v>-1.5394484188318418</v>
      </c>
      <c r="Q428" s="85">
        <v>-2.5249486667214613</v>
      </c>
      <c r="R428" s="85">
        <v>-0.4385493100102976</v>
      </c>
      <c r="S428" s="85">
        <v>-1.2578862401778874</v>
      </c>
      <c r="T428" s="85">
        <v>-0.7871777123417198</v>
      </c>
      <c r="U428" s="85">
        <v>-1.8871405086218314</v>
      </c>
      <c r="V428" s="85">
        <v>0.0</v>
      </c>
      <c r="W428" s="85">
        <v>2.809992212477178</v>
      </c>
      <c r="X428" s="85">
        <v>-1.3884993812884154</v>
      </c>
      <c r="Y428" s="50" t="s">
        <v>69</v>
      </c>
      <c r="Z428" s="50" t="s">
        <v>69</v>
      </c>
      <c r="AA428" s="50" t="s">
        <v>69</v>
      </c>
      <c r="AB428" s="50" t="s">
        <v>69</v>
      </c>
      <c r="AC428" s="34" t="str">
        <f t="shared" ref="AC428:AP428" si="428">LET(
  skater, IFERROR(INDEX(AllProj, MATCH($E428, AllProjNames, 0), MATCH(AC$2, AllProjCats, 0) + 1), ""),
  goalie, IFERROR(INDEX(AllGProj, MATCH($E428, AllGProjNames, 0), MATCH(AC$2, AllGProjCats, 0) + 1), ""),
  val, IF(skater &lt;&gt; "", skater, goalie),
  IF(OR($E428="", AC$2="", val=""), "", val * AC$1)
)</f>
        <v/>
      </c>
      <c r="AD428" s="34" t="str">
        <f t="shared" si="428"/>
        <v/>
      </c>
      <c r="AE428" s="34" t="str">
        <f t="shared" si="428"/>
        <v/>
      </c>
      <c r="AF428" s="34" t="str">
        <f t="shared" si="428"/>
        <v/>
      </c>
      <c r="AG428" s="34" t="str">
        <f t="shared" si="428"/>
        <v/>
      </c>
      <c r="AH428" s="34" t="str">
        <f t="shared" si="428"/>
        <v/>
      </c>
      <c r="AI428" s="34" t="str">
        <f t="shared" si="428"/>
        <v/>
      </c>
      <c r="AJ428" s="34" t="str">
        <f t="shared" si="428"/>
        <v/>
      </c>
      <c r="AK428" s="34" t="str">
        <f t="shared" si="428"/>
        <v/>
      </c>
      <c r="AL428" s="34" t="str">
        <f t="shared" si="428"/>
        <v/>
      </c>
      <c r="AM428" s="34" t="str">
        <f t="shared" si="428"/>
        <v/>
      </c>
      <c r="AN428" s="34" t="str">
        <f t="shared" si="428"/>
        <v/>
      </c>
      <c r="AO428" s="34" t="str">
        <f t="shared" si="428"/>
        <v/>
      </c>
      <c r="AP428" s="34" t="str">
        <f t="shared" si="428"/>
        <v/>
      </c>
      <c r="AQ428" s="76" t="s">
        <v>467</v>
      </c>
      <c r="AR428" s="77"/>
      <c r="AS428" s="77"/>
      <c r="AT428" s="77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77"/>
      <c r="BJ428" s="77"/>
      <c r="BK428" s="77"/>
      <c r="BL428" s="77"/>
      <c r="BM428" s="78"/>
    </row>
    <row r="429">
      <c r="A429" s="41">
        <v>2.642857142857143</v>
      </c>
      <c r="B429" s="41" t="b">
        <v>0</v>
      </c>
      <c r="C429" s="41" t="b">
        <f t="shared" si="3"/>
        <v>0</v>
      </c>
      <c r="D429" s="42" t="s">
        <v>1565</v>
      </c>
      <c r="E429" s="43" t="s">
        <v>1126</v>
      </c>
      <c r="F429" s="44" t="s">
        <v>1439</v>
      </c>
      <c r="G429" s="29" t="s">
        <v>837</v>
      </c>
      <c r="H429" s="32">
        <v>-8.309367491058907</v>
      </c>
      <c r="I429" s="32">
        <v>-2.779508719130006</v>
      </c>
      <c r="J429" s="45" t="s">
        <v>2090</v>
      </c>
      <c r="K429" s="29">
        <v>36.6</v>
      </c>
      <c r="L429" s="41">
        <v>75.0</v>
      </c>
      <c r="M429" s="46">
        <v>25.0</v>
      </c>
      <c r="N429" s="46">
        <v>6.0</v>
      </c>
      <c r="O429" s="47">
        <v>-2.175532395043082</v>
      </c>
      <c r="P429" s="47">
        <v>-1.5139288864185598</v>
      </c>
      <c r="Q429" s="47">
        <v>-1.730810507824443</v>
      </c>
      <c r="R429" s="47">
        <v>0.6005941936605992</v>
      </c>
      <c r="S429" s="47">
        <v>-1.640600291009097</v>
      </c>
      <c r="T429" s="47">
        <v>-0.16952108464970286</v>
      </c>
      <c r="U429" s="47">
        <v>-1.804332511755666</v>
      </c>
      <c r="V429" s="47">
        <v>0.0</v>
      </c>
      <c r="W429" s="47">
        <v>-0.8767662830960733</v>
      </c>
      <c r="X429" s="47">
        <v>1.001530275077117</v>
      </c>
      <c r="Y429" s="50" t="s">
        <v>69</v>
      </c>
      <c r="Z429" s="50" t="s">
        <v>69</v>
      </c>
      <c r="AA429" s="50" t="s">
        <v>69</v>
      </c>
      <c r="AB429" s="50" t="s">
        <v>69</v>
      </c>
      <c r="AC429" s="34" t="str">
        <f t="shared" ref="AC429:AP429" si="429">LET(
  skater, IFERROR(INDEX(AllProj, MATCH($E429, AllProjNames, 0), MATCH(AC$2, AllProjCats, 0) + 1), ""),
  goalie, IFERROR(INDEX(AllGProj, MATCH($E429, AllGProjNames, 0), MATCH(AC$2, AllGProjCats, 0) + 1), ""),
  val, IF(skater &lt;&gt; "", skater, goalie),
  IF(OR($E429="", AC$2="", val=""), "", val * AC$1)
)</f>
        <v/>
      </c>
      <c r="AD429" s="34" t="str">
        <f t="shared" si="429"/>
        <v/>
      </c>
      <c r="AE429" s="34" t="str">
        <f t="shared" si="429"/>
        <v/>
      </c>
      <c r="AF429" s="34" t="str">
        <f t="shared" si="429"/>
        <v/>
      </c>
      <c r="AG429" s="34" t="str">
        <f t="shared" si="429"/>
        <v/>
      </c>
      <c r="AH429" s="34" t="str">
        <f t="shared" si="429"/>
        <v/>
      </c>
      <c r="AI429" s="34" t="str">
        <f t="shared" si="429"/>
        <v/>
      </c>
      <c r="AJ429" s="34" t="str">
        <f t="shared" si="429"/>
        <v/>
      </c>
      <c r="AK429" s="34" t="str">
        <f t="shared" si="429"/>
        <v/>
      </c>
      <c r="AL429" s="34" t="str">
        <f t="shared" si="429"/>
        <v/>
      </c>
      <c r="AM429" s="34" t="str">
        <f t="shared" si="429"/>
        <v/>
      </c>
      <c r="AN429" s="34" t="str">
        <f t="shared" si="429"/>
        <v/>
      </c>
      <c r="AO429" s="34" t="str">
        <f t="shared" si="429"/>
        <v/>
      </c>
      <c r="AP429" s="34" t="str">
        <f t="shared" si="429"/>
        <v/>
      </c>
      <c r="AQ429" s="76" t="s">
        <v>468</v>
      </c>
      <c r="AR429" s="77"/>
      <c r="AS429" s="77"/>
      <c r="AT429" s="77"/>
      <c r="AU429" s="77"/>
      <c r="AV429" s="77"/>
      <c r="AW429" s="77"/>
      <c r="AX429" s="77"/>
      <c r="AY429" s="77"/>
      <c r="AZ429" s="77"/>
      <c r="BA429" s="77"/>
      <c r="BB429" s="77"/>
      <c r="BC429" s="77"/>
      <c r="BD429" s="77"/>
      <c r="BE429" s="77"/>
      <c r="BF429" s="77"/>
      <c r="BG429" s="77"/>
      <c r="BH429" s="77"/>
      <c r="BI429" s="77"/>
      <c r="BJ429" s="77"/>
      <c r="BK429" s="77"/>
      <c r="BL429" s="77"/>
      <c r="BM429" s="78"/>
    </row>
    <row r="430">
      <c r="A430" s="79" t="s">
        <v>69</v>
      </c>
      <c r="B430" s="79" t="b">
        <v>0</v>
      </c>
      <c r="C430" s="79" t="b">
        <f t="shared" si="3"/>
        <v>1</v>
      </c>
      <c r="D430" s="80" t="s">
        <v>827</v>
      </c>
      <c r="E430" s="81" t="s">
        <v>2091</v>
      </c>
      <c r="F430" s="82" t="s">
        <v>1299</v>
      </c>
      <c r="G430" s="35" t="s">
        <v>835</v>
      </c>
      <c r="H430" s="37">
        <v>-8.330700342083098</v>
      </c>
      <c r="I430" s="37">
        <v>-2.9428202171703592</v>
      </c>
      <c r="J430" s="83" t="s">
        <v>2092</v>
      </c>
      <c r="K430" s="35">
        <v>20.8</v>
      </c>
      <c r="L430" s="79">
        <v>77.41176470588235</v>
      </c>
      <c r="M430" s="84">
        <v>31.0</v>
      </c>
      <c r="N430" s="84">
        <v>7.0</v>
      </c>
      <c r="O430" s="85">
        <v>-0.15273763113528363</v>
      </c>
      <c r="P430" s="85">
        <v>-0.611675718727852</v>
      </c>
      <c r="Q430" s="85">
        <v>-0.8806063916829898</v>
      </c>
      <c r="R430" s="85">
        <v>-1.5690530090785997</v>
      </c>
      <c r="S430" s="85">
        <v>-0.5276450345523364</v>
      </c>
      <c r="T430" s="85">
        <v>-0.7855208155364981</v>
      </c>
      <c r="U430" s="85">
        <v>-0.6152314185882043</v>
      </c>
      <c r="V430" s="85">
        <v>0.0</v>
      </c>
      <c r="W430" s="85">
        <v>-1.5733176263968167</v>
      </c>
      <c r="X430" s="85">
        <v>-1.614912696384517</v>
      </c>
      <c r="Y430" s="50" t="s">
        <v>69</v>
      </c>
      <c r="Z430" s="50" t="s">
        <v>69</v>
      </c>
      <c r="AA430" s="50" t="s">
        <v>69</v>
      </c>
      <c r="AB430" s="50" t="s">
        <v>69</v>
      </c>
      <c r="AC430" s="34" t="str">
        <f t="shared" ref="AC430:AP430" si="430">LET(
  skater, IFERROR(INDEX(AllProj, MATCH($E430, AllProjNames, 0), MATCH(AC$2, AllProjCats, 0) + 1), ""),
  goalie, IFERROR(INDEX(AllGProj, MATCH($E430, AllGProjNames, 0), MATCH(AC$2, AllGProjCats, 0) + 1), ""),
  val, IF(skater &lt;&gt; "", skater, goalie),
  IF(OR($E430="", AC$2="", val=""), "", val * AC$1)
)</f>
        <v/>
      </c>
      <c r="AD430" s="34" t="str">
        <f t="shared" si="430"/>
        <v/>
      </c>
      <c r="AE430" s="34" t="str">
        <f t="shared" si="430"/>
        <v/>
      </c>
      <c r="AF430" s="34" t="str">
        <f t="shared" si="430"/>
        <v/>
      </c>
      <c r="AG430" s="34" t="str">
        <f t="shared" si="430"/>
        <v/>
      </c>
      <c r="AH430" s="34" t="str">
        <f t="shared" si="430"/>
        <v/>
      </c>
      <c r="AI430" s="34" t="str">
        <f t="shared" si="430"/>
        <v/>
      </c>
      <c r="AJ430" s="34" t="str">
        <f t="shared" si="430"/>
        <v/>
      </c>
      <c r="AK430" s="34" t="str">
        <f t="shared" si="430"/>
        <v/>
      </c>
      <c r="AL430" s="34" t="str">
        <f t="shared" si="430"/>
        <v/>
      </c>
      <c r="AM430" s="34" t="str">
        <f t="shared" si="430"/>
        <v/>
      </c>
      <c r="AN430" s="34" t="str">
        <f t="shared" si="430"/>
        <v/>
      </c>
      <c r="AO430" s="34" t="str">
        <f t="shared" si="430"/>
        <v/>
      </c>
      <c r="AP430" s="34" t="str">
        <f t="shared" si="430"/>
        <v/>
      </c>
      <c r="AQ430" s="76" t="s">
        <v>469</v>
      </c>
      <c r="AR430" s="77"/>
      <c r="AS430" s="77"/>
      <c r="AT430" s="77"/>
      <c r="AU430" s="77"/>
      <c r="AV430" s="77"/>
      <c r="AW430" s="77"/>
      <c r="AX430" s="77"/>
      <c r="AY430" s="77"/>
      <c r="AZ430" s="77"/>
      <c r="BA430" s="77"/>
      <c r="BB430" s="77"/>
      <c r="BC430" s="77"/>
      <c r="BD430" s="77"/>
      <c r="BE430" s="77"/>
      <c r="BF430" s="77"/>
      <c r="BG430" s="77"/>
      <c r="BH430" s="77"/>
      <c r="BI430" s="77"/>
      <c r="BJ430" s="77"/>
      <c r="BK430" s="77"/>
      <c r="BL430" s="77"/>
      <c r="BM430" s="78"/>
    </row>
    <row r="431">
      <c r="A431" s="41">
        <v>2.5714285714285716</v>
      </c>
      <c r="B431" s="41" t="b">
        <v>0</v>
      </c>
      <c r="C431" s="41" t="b">
        <f t="shared" si="3"/>
        <v>0</v>
      </c>
      <c r="D431" s="42" t="s">
        <v>1565</v>
      </c>
      <c r="E431" s="43" t="s">
        <v>938</v>
      </c>
      <c r="F431" s="44" t="s">
        <v>1429</v>
      </c>
      <c r="G431" s="29" t="s">
        <v>837</v>
      </c>
      <c r="H431" s="32">
        <v>-8.35160743356786</v>
      </c>
      <c r="I431" s="32">
        <v>-2.821748661638959</v>
      </c>
      <c r="J431" s="45" t="s">
        <v>2093</v>
      </c>
      <c r="K431" s="29">
        <v>36.8</v>
      </c>
      <c r="L431" s="41">
        <v>77.16666666666667</v>
      </c>
      <c r="M431" s="46">
        <v>24.0</v>
      </c>
      <c r="N431" s="46">
        <v>7.0</v>
      </c>
      <c r="O431" s="47">
        <v>-1.9506657688355105</v>
      </c>
      <c r="P431" s="47">
        <v>-1.0536106540244383</v>
      </c>
      <c r="Q431" s="47">
        <v>0.11355963717402243</v>
      </c>
      <c r="R431" s="47">
        <v>-1.9793534025616315</v>
      </c>
      <c r="S431" s="47">
        <v>-0.9638498352709822</v>
      </c>
      <c r="T431" s="47">
        <v>-0.7871777123417198</v>
      </c>
      <c r="U431" s="47">
        <v>-1.6471506658522963</v>
      </c>
      <c r="V431" s="47">
        <v>0.0</v>
      </c>
      <c r="W431" s="47">
        <v>-1.2757211322081172</v>
      </c>
      <c r="X431" s="47">
        <v>1.192362100352814</v>
      </c>
      <c r="Y431" s="50" t="s">
        <v>69</v>
      </c>
      <c r="Z431" s="50" t="s">
        <v>69</v>
      </c>
      <c r="AA431" s="50" t="s">
        <v>69</v>
      </c>
      <c r="AB431" s="50" t="s">
        <v>69</v>
      </c>
      <c r="AC431" s="34" t="str">
        <f t="shared" ref="AC431:AP431" si="431">LET(
  skater, IFERROR(INDEX(AllProj, MATCH($E431, AllProjNames, 0), MATCH(AC$2, AllProjCats, 0) + 1), ""),
  goalie, IFERROR(INDEX(AllGProj, MATCH($E431, AllGProjNames, 0), MATCH(AC$2, AllGProjCats, 0) + 1), ""),
  val, IF(skater &lt;&gt; "", skater, goalie),
  IF(OR($E431="", AC$2="", val=""), "", val * AC$1)
)</f>
        <v/>
      </c>
      <c r="AD431" s="34" t="str">
        <f t="shared" si="431"/>
        <v/>
      </c>
      <c r="AE431" s="34" t="str">
        <f t="shared" si="431"/>
        <v/>
      </c>
      <c r="AF431" s="34" t="str">
        <f t="shared" si="431"/>
        <v/>
      </c>
      <c r="AG431" s="34" t="str">
        <f t="shared" si="431"/>
        <v/>
      </c>
      <c r="AH431" s="34" t="str">
        <f t="shared" si="431"/>
        <v/>
      </c>
      <c r="AI431" s="34" t="str">
        <f t="shared" si="431"/>
        <v/>
      </c>
      <c r="AJ431" s="34" t="str">
        <f t="shared" si="431"/>
        <v/>
      </c>
      <c r="AK431" s="34" t="str">
        <f t="shared" si="431"/>
        <v/>
      </c>
      <c r="AL431" s="34" t="str">
        <f t="shared" si="431"/>
        <v/>
      </c>
      <c r="AM431" s="34" t="str">
        <f t="shared" si="431"/>
        <v/>
      </c>
      <c r="AN431" s="34" t="str">
        <f t="shared" si="431"/>
        <v/>
      </c>
      <c r="AO431" s="34" t="str">
        <f t="shared" si="431"/>
        <v/>
      </c>
      <c r="AP431" s="34" t="str">
        <f t="shared" si="431"/>
        <v/>
      </c>
      <c r="AQ431" s="76" t="s">
        <v>470</v>
      </c>
      <c r="AR431" s="77"/>
      <c r="AS431" s="77"/>
      <c r="AT431" s="77"/>
      <c r="AU431" s="77"/>
      <c r="AV431" s="77"/>
      <c r="AW431" s="77"/>
      <c r="AX431" s="77"/>
      <c r="AY431" s="77"/>
      <c r="AZ431" s="77"/>
      <c r="BA431" s="77"/>
      <c r="BB431" s="77"/>
      <c r="BC431" s="77"/>
      <c r="BD431" s="77"/>
      <c r="BE431" s="77"/>
      <c r="BF431" s="77"/>
      <c r="BG431" s="77"/>
      <c r="BH431" s="77"/>
      <c r="BI431" s="77"/>
      <c r="BJ431" s="77"/>
      <c r="BK431" s="77"/>
      <c r="BL431" s="77"/>
      <c r="BM431" s="78"/>
    </row>
    <row r="432">
      <c r="A432" s="79">
        <v>2.642857142857143</v>
      </c>
      <c r="B432" s="79" t="b">
        <v>0</v>
      </c>
      <c r="C432" s="79" t="b">
        <f t="shared" si="3"/>
        <v>0</v>
      </c>
      <c r="D432" s="80" t="s">
        <v>1565</v>
      </c>
      <c r="E432" s="81" t="s">
        <v>1151</v>
      </c>
      <c r="F432" s="82" t="s">
        <v>1299</v>
      </c>
      <c r="G432" s="35" t="s">
        <v>837</v>
      </c>
      <c r="H432" s="37">
        <v>-8.351658515093241</v>
      </c>
      <c r="I432" s="37">
        <v>-2.8217997431643402</v>
      </c>
      <c r="J432" s="83" t="s">
        <v>2094</v>
      </c>
      <c r="K432" s="35">
        <v>26.7</v>
      </c>
      <c r="L432" s="79">
        <v>74.0</v>
      </c>
      <c r="M432" s="84">
        <v>31.0</v>
      </c>
      <c r="N432" s="84">
        <v>7.0</v>
      </c>
      <c r="O432" s="85">
        <v>-2.1396016425199016</v>
      </c>
      <c r="P432" s="85">
        <v>-1.5951273986426382</v>
      </c>
      <c r="Q432" s="85">
        <v>-0.622349674237077</v>
      </c>
      <c r="R432" s="85">
        <v>1.6930271077761578</v>
      </c>
      <c r="S432" s="85">
        <v>-1.6265985574421018</v>
      </c>
      <c r="T432" s="85">
        <v>-0.7871777123417198</v>
      </c>
      <c r="U432" s="85">
        <v>-1.4724433179666694</v>
      </c>
      <c r="V432" s="85">
        <v>0.0</v>
      </c>
      <c r="W432" s="85">
        <v>-1.262011175916019</v>
      </c>
      <c r="X432" s="85">
        <v>-0.5393761438032725</v>
      </c>
      <c r="Y432" s="50" t="s">
        <v>69</v>
      </c>
      <c r="Z432" s="50" t="s">
        <v>69</v>
      </c>
      <c r="AA432" s="50" t="s">
        <v>69</v>
      </c>
      <c r="AB432" s="50" t="s">
        <v>69</v>
      </c>
      <c r="AC432" s="34" t="str">
        <f t="shared" ref="AC432:AP432" si="432">LET(
  skater, IFERROR(INDEX(AllProj, MATCH($E432, AllProjNames, 0), MATCH(AC$2, AllProjCats, 0) + 1), ""),
  goalie, IFERROR(INDEX(AllGProj, MATCH($E432, AllGProjNames, 0), MATCH(AC$2, AllGProjCats, 0) + 1), ""),
  val, IF(skater &lt;&gt; "", skater, goalie),
  IF(OR($E432="", AC$2="", val=""), "", val * AC$1)
)</f>
        <v/>
      </c>
      <c r="AD432" s="34" t="str">
        <f t="shared" si="432"/>
        <v/>
      </c>
      <c r="AE432" s="34" t="str">
        <f t="shared" si="432"/>
        <v/>
      </c>
      <c r="AF432" s="34" t="str">
        <f t="shared" si="432"/>
        <v/>
      </c>
      <c r="AG432" s="34" t="str">
        <f t="shared" si="432"/>
        <v/>
      </c>
      <c r="AH432" s="34" t="str">
        <f t="shared" si="432"/>
        <v/>
      </c>
      <c r="AI432" s="34" t="str">
        <f t="shared" si="432"/>
        <v/>
      </c>
      <c r="AJ432" s="34" t="str">
        <f t="shared" si="432"/>
        <v/>
      </c>
      <c r="AK432" s="34" t="str">
        <f t="shared" si="432"/>
        <v/>
      </c>
      <c r="AL432" s="34" t="str">
        <f t="shared" si="432"/>
        <v/>
      </c>
      <c r="AM432" s="34" t="str">
        <f t="shared" si="432"/>
        <v/>
      </c>
      <c r="AN432" s="34" t="str">
        <f t="shared" si="432"/>
        <v/>
      </c>
      <c r="AO432" s="34" t="str">
        <f t="shared" si="432"/>
        <v/>
      </c>
      <c r="AP432" s="34" t="str">
        <f t="shared" si="432"/>
        <v/>
      </c>
      <c r="AQ432" s="76" t="s">
        <v>471</v>
      </c>
      <c r="AR432" s="77"/>
      <c r="AS432" s="77"/>
      <c r="AT432" s="77"/>
      <c r="AU432" s="77"/>
      <c r="AV432" s="77"/>
      <c r="AW432" s="77"/>
      <c r="AX432" s="77"/>
      <c r="AY432" s="77"/>
      <c r="AZ432" s="77"/>
      <c r="BA432" s="77"/>
      <c r="BB432" s="77"/>
      <c r="BC432" s="77"/>
      <c r="BD432" s="77"/>
      <c r="BE432" s="77"/>
      <c r="BF432" s="77"/>
      <c r="BG432" s="77"/>
      <c r="BH432" s="77"/>
      <c r="BI432" s="77"/>
      <c r="BJ432" s="77"/>
      <c r="BK432" s="77"/>
      <c r="BL432" s="77"/>
      <c r="BM432" s="78"/>
    </row>
    <row r="433">
      <c r="A433" s="41">
        <v>2.5714285714285716</v>
      </c>
      <c r="B433" s="41" t="b">
        <v>0</v>
      </c>
      <c r="C433" s="41" t="b">
        <f t="shared" si="3"/>
        <v>0</v>
      </c>
      <c r="D433" s="42" t="s">
        <v>1565</v>
      </c>
      <c r="E433" s="43" t="s">
        <v>948</v>
      </c>
      <c r="F433" s="44" t="s">
        <v>1299</v>
      </c>
      <c r="G433" s="29" t="s">
        <v>837</v>
      </c>
      <c r="H433" s="32">
        <v>-8.361102801254052</v>
      </c>
      <c r="I433" s="32">
        <v>-2.831244029325151</v>
      </c>
      <c r="J433" s="45" t="s">
        <v>2095</v>
      </c>
      <c r="K433" s="29">
        <v>22.5</v>
      </c>
      <c r="L433" s="41">
        <v>61.0</v>
      </c>
      <c r="M433" s="46">
        <v>31.0</v>
      </c>
      <c r="N433" s="46">
        <v>7.0</v>
      </c>
      <c r="O433" s="47">
        <v>-2.028216309698042</v>
      </c>
      <c r="P433" s="47">
        <v>-2.026639492176313</v>
      </c>
      <c r="Q433" s="94" t="s">
        <v>69</v>
      </c>
      <c r="R433" s="47">
        <v>-0.998088119679242</v>
      </c>
      <c r="S433" s="94" t="s">
        <v>69</v>
      </c>
      <c r="T433" s="94" t="s">
        <v>69</v>
      </c>
      <c r="U433" s="47">
        <v>-1.5421071883461421</v>
      </c>
      <c r="V433" s="94" t="s">
        <v>69</v>
      </c>
      <c r="W433" s="47">
        <v>-0.7965557203052943</v>
      </c>
      <c r="X433" s="47">
        <v>-0.9694959710490197</v>
      </c>
      <c r="Y433" s="50" t="s">
        <v>69</v>
      </c>
      <c r="Z433" s="50" t="s">
        <v>69</v>
      </c>
      <c r="AA433" s="50" t="s">
        <v>69</v>
      </c>
      <c r="AB433" s="50" t="s">
        <v>69</v>
      </c>
      <c r="AC433" s="34" t="str">
        <f t="shared" ref="AC433:AP433" si="433">LET(
  skater, IFERROR(INDEX(AllProj, MATCH($E433, AllProjNames, 0), MATCH(AC$2, AllProjCats, 0) + 1), ""),
  goalie, IFERROR(INDEX(AllGProj, MATCH($E433, AllGProjNames, 0), MATCH(AC$2, AllGProjCats, 0) + 1), ""),
  val, IF(skater &lt;&gt; "", skater, goalie),
  IF(OR($E433="", AC$2="", val=""), "", val * AC$1)
)</f>
        <v/>
      </c>
      <c r="AD433" s="34" t="str">
        <f t="shared" si="433"/>
        <v/>
      </c>
      <c r="AE433" s="34" t="str">
        <f t="shared" si="433"/>
        <v/>
      </c>
      <c r="AF433" s="34" t="str">
        <f t="shared" si="433"/>
        <v/>
      </c>
      <c r="AG433" s="34" t="str">
        <f t="shared" si="433"/>
        <v/>
      </c>
      <c r="AH433" s="34" t="str">
        <f t="shared" si="433"/>
        <v/>
      </c>
      <c r="AI433" s="34" t="str">
        <f t="shared" si="433"/>
        <v/>
      </c>
      <c r="AJ433" s="34" t="str">
        <f t="shared" si="433"/>
        <v/>
      </c>
      <c r="AK433" s="34" t="str">
        <f t="shared" si="433"/>
        <v/>
      </c>
      <c r="AL433" s="34" t="str">
        <f t="shared" si="433"/>
        <v/>
      </c>
      <c r="AM433" s="34" t="str">
        <f t="shared" si="433"/>
        <v/>
      </c>
      <c r="AN433" s="34" t="str">
        <f t="shared" si="433"/>
        <v/>
      </c>
      <c r="AO433" s="34" t="str">
        <f t="shared" si="433"/>
        <v/>
      </c>
      <c r="AP433" s="34" t="str">
        <f t="shared" si="433"/>
        <v/>
      </c>
      <c r="AQ433" s="76" t="s">
        <v>472</v>
      </c>
      <c r="AR433" s="77"/>
      <c r="AS433" s="77"/>
      <c r="AT433" s="77"/>
      <c r="AU433" s="77"/>
      <c r="AV433" s="77"/>
      <c r="AW433" s="77"/>
      <c r="AX433" s="77"/>
      <c r="AY433" s="77"/>
      <c r="AZ433" s="77"/>
      <c r="BA433" s="77"/>
      <c r="BB433" s="77"/>
      <c r="BC433" s="77"/>
      <c r="BD433" s="77"/>
      <c r="BE433" s="77"/>
      <c r="BF433" s="77"/>
      <c r="BG433" s="77"/>
      <c r="BH433" s="77"/>
      <c r="BI433" s="77"/>
      <c r="BJ433" s="77"/>
      <c r="BK433" s="77"/>
      <c r="BL433" s="77"/>
      <c r="BM433" s="78"/>
    </row>
    <row r="434">
      <c r="A434" s="79" t="s">
        <v>69</v>
      </c>
      <c r="B434" s="79" t="b">
        <v>0</v>
      </c>
      <c r="C434" s="79" t="b">
        <f t="shared" si="3"/>
        <v>1</v>
      </c>
      <c r="D434" s="80" t="s">
        <v>254</v>
      </c>
      <c r="E434" s="81" t="s">
        <v>2096</v>
      </c>
      <c r="F434" s="82" t="s">
        <v>1517</v>
      </c>
      <c r="G434" s="35" t="s">
        <v>829</v>
      </c>
      <c r="H434" s="37">
        <v>-8.363865897281775</v>
      </c>
      <c r="I434" s="37">
        <v>-2.9217282885539175</v>
      </c>
      <c r="J434" s="83" t="s">
        <v>2097</v>
      </c>
      <c r="K434" s="35">
        <v>24.7</v>
      </c>
      <c r="L434" s="79">
        <v>81.51632352941176</v>
      </c>
      <c r="M434" s="84">
        <v>18.0</v>
      </c>
      <c r="N434" s="84">
        <v>6.0</v>
      </c>
      <c r="O434" s="85">
        <v>-0.18001237993310026</v>
      </c>
      <c r="P434" s="85">
        <v>-0.6859672885822826</v>
      </c>
      <c r="Q434" s="85">
        <v>-0.7882684481683414</v>
      </c>
      <c r="R434" s="85">
        <v>-1.7027574517301696</v>
      </c>
      <c r="S434" s="85">
        <v>-0.7820075844718078</v>
      </c>
      <c r="T434" s="85">
        <v>-0.7246903817668382</v>
      </c>
      <c r="U434" s="85">
        <v>-0.6198960235252783</v>
      </c>
      <c r="V434" s="85">
        <v>0.0</v>
      </c>
      <c r="W434" s="85">
        <v>-1.1113725592985009</v>
      </c>
      <c r="X434" s="85">
        <v>-1.7688937798054556</v>
      </c>
      <c r="Y434" s="50" t="s">
        <v>69</v>
      </c>
      <c r="Z434" s="50" t="s">
        <v>69</v>
      </c>
      <c r="AA434" s="50" t="s">
        <v>69</v>
      </c>
      <c r="AB434" s="50" t="s">
        <v>69</v>
      </c>
      <c r="AC434" s="34" t="str">
        <f t="shared" ref="AC434:AP434" si="434">LET(
  skater, IFERROR(INDEX(AllProj, MATCH($E434, AllProjNames, 0), MATCH(AC$2, AllProjCats, 0) + 1), ""),
  goalie, IFERROR(INDEX(AllGProj, MATCH($E434, AllGProjNames, 0), MATCH(AC$2, AllGProjCats, 0) + 1), ""),
  val, IF(skater &lt;&gt; "", skater, goalie),
  IF(OR($E434="", AC$2="", val=""), "", val * AC$1)
)</f>
        <v/>
      </c>
      <c r="AD434" s="34" t="str">
        <f t="shared" si="434"/>
        <v/>
      </c>
      <c r="AE434" s="34" t="str">
        <f t="shared" si="434"/>
        <v/>
      </c>
      <c r="AF434" s="34" t="str">
        <f t="shared" si="434"/>
        <v/>
      </c>
      <c r="AG434" s="34" t="str">
        <f t="shared" si="434"/>
        <v/>
      </c>
      <c r="AH434" s="34" t="str">
        <f t="shared" si="434"/>
        <v/>
      </c>
      <c r="AI434" s="34" t="str">
        <f t="shared" si="434"/>
        <v/>
      </c>
      <c r="AJ434" s="34" t="str">
        <f t="shared" si="434"/>
        <v/>
      </c>
      <c r="AK434" s="34" t="str">
        <f t="shared" si="434"/>
        <v/>
      </c>
      <c r="AL434" s="34" t="str">
        <f t="shared" si="434"/>
        <v/>
      </c>
      <c r="AM434" s="34" t="str">
        <f t="shared" si="434"/>
        <v/>
      </c>
      <c r="AN434" s="34" t="str">
        <f t="shared" si="434"/>
        <v/>
      </c>
      <c r="AO434" s="34" t="str">
        <f t="shared" si="434"/>
        <v/>
      </c>
      <c r="AP434" s="34" t="str">
        <f t="shared" si="434"/>
        <v/>
      </c>
      <c r="AQ434" s="76" t="s">
        <v>473</v>
      </c>
      <c r="AR434" s="77"/>
      <c r="AS434" s="77"/>
      <c r="AT434" s="77"/>
      <c r="AU434" s="77"/>
      <c r="AV434" s="77"/>
      <c r="AW434" s="77"/>
      <c r="AX434" s="77"/>
      <c r="AY434" s="77"/>
      <c r="AZ434" s="77"/>
      <c r="BA434" s="77"/>
      <c r="BB434" s="77"/>
      <c r="BC434" s="77"/>
      <c r="BD434" s="77"/>
      <c r="BE434" s="77"/>
      <c r="BF434" s="77"/>
      <c r="BG434" s="77"/>
      <c r="BH434" s="77"/>
      <c r="BI434" s="77"/>
      <c r="BJ434" s="77"/>
      <c r="BK434" s="77"/>
      <c r="BL434" s="77"/>
      <c r="BM434" s="78"/>
    </row>
    <row r="435">
      <c r="A435" s="41">
        <v>2.5714285714285716</v>
      </c>
      <c r="B435" s="41" t="b">
        <v>0</v>
      </c>
      <c r="C435" s="41" t="b">
        <f t="shared" si="3"/>
        <v>0</v>
      </c>
      <c r="D435" s="42" t="s">
        <v>1565</v>
      </c>
      <c r="E435" s="43" t="s">
        <v>972</v>
      </c>
      <c r="F435" s="44" t="s">
        <v>1482</v>
      </c>
      <c r="G435" s="29" t="s">
        <v>832</v>
      </c>
      <c r="H435" s="32">
        <v>-8.387097895886257</v>
      </c>
      <c r="I435" s="32">
        <v>-2.9449602871583993</v>
      </c>
      <c r="J435" s="45" t="s">
        <v>2098</v>
      </c>
      <c r="K435" s="29">
        <v>30.3</v>
      </c>
      <c r="L435" s="41">
        <v>80.07325</v>
      </c>
      <c r="M435" s="46">
        <v>27.0</v>
      </c>
      <c r="N435" s="46">
        <v>6.0</v>
      </c>
      <c r="O435" s="47">
        <v>-0.8846598715789742</v>
      </c>
      <c r="P435" s="47">
        <v>-1.1388163970285334</v>
      </c>
      <c r="Q435" s="47">
        <v>0.37418163984709035</v>
      </c>
      <c r="R435" s="47">
        <v>-1.6255496942006187</v>
      </c>
      <c r="S435" s="47">
        <v>-1.5683739195509474</v>
      </c>
      <c r="T435" s="47">
        <v>-0.20301086216405434</v>
      </c>
      <c r="U435" s="47">
        <v>-1.5377369771060971</v>
      </c>
      <c r="V435" s="47">
        <v>0.0</v>
      </c>
      <c r="W435" s="47">
        <v>-0.6276651368024655</v>
      </c>
      <c r="X435" s="47">
        <v>-1.1754666773016549</v>
      </c>
      <c r="Y435" s="50" t="s">
        <v>69</v>
      </c>
      <c r="Z435" s="50" t="s">
        <v>69</v>
      </c>
      <c r="AA435" s="50" t="s">
        <v>69</v>
      </c>
      <c r="AB435" s="50" t="s">
        <v>69</v>
      </c>
      <c r="AC435" s="34" t="str">
        <f t="shared" ref="AC435:AP435" si="435">LET(
  skater, IFERROR(INDEX(AllProj, MATCH($E435, AllProjNames, 0), MATCH(AC$2, AllProjCats, 0) + 1), ""),
  goalie, IFERROR(INDEX(AllGProj, MATCH($E435, AllGProjNames, 0), MATCH(AC$2, AllGProjCats, 0) + 1), ""),
  val, IF(skater &lt;&gt; "", skater, goalie),
  IF(OR($E435="", AC$2="", val=""), "", val * AC$1)
)</f>
        <v/>
      </c>
      <c r="AD435" s="34" t="str">
        <f t="shared" si="435"/>
        <v/>
      </c>
      <c r="AE435" s="34" t="str">
        <f t="shared" si="435"/>
        <v/>
      </c>
      <c r="AF435" s="34" t="str">
        <f t="shared" si="435"/>
        <v/>
      </c>
      <c r="AG435" s="34" t="str">
        <f t="shared" si="435"/>
        <v/>
      </c>
      <c r="AH435" s="34" t="str">
        <f t="shared" si="435"/>
        <v/>
      </c>
      <c r="AI435" s="34" t="str">
        <f t="shared" si="435"/>
        <v/>
      </c>
      <c r="AJ435" s="34" t="str">
        <f t="shared" si="435"/>
        <v/>
      </c>
      <c r="AK435" s="34" t="str">
        <f t="shared" si="435"/>
        <v/>
      </c>
      <c r="AL435" s="34" t="str">
        <f t="shared" si="435"/>
        <v/>
      </c>
      <c r="AM435" s="34" t="str">
        <f t="shared" si="435"/>
        <v/>
      </c>
      <c r="AN435" s="34" t="str">
        <f t="shared" si="435"/>
        <v/>
      </c>
      <c r="AO435" s="34" t="str">
        <f t="shared" si="435"/>
        <v/>
      </c>
      <c r="AP435" s="34" t="str">
        <f t="shared" si="435"/>
        <v/>
      </c>
      <c r="AQ435" s="76" t="s">
        <v>474</v>
      </c>
      <c r="AR435" s="77"/>
      <c r="AS435" s="77"/>
      <c r="AT435" s="77"/>
      <c r="AU435" s="77"/>
      <c r="AV435" s="77"/>
      <c r="AW435" s="77"/>
      <c r="AX435" s="77"/>
      <c r="AY435" s="77"/>
      <c r="AZ435" s="77"/>
      <c r="BA435" s="77"/>
      <c r="BB435" s="77"/>
      <c r="BC435" s="77"/>
      <c r="BD435" s="77"/>
      <c r="BE435" s="77"/>
      <c r="BF435" s="77"/>
      <c r="BG435" s="77"/>
      <c r="BH435" s="77"/>
      <c r="BI435" s="77"/>
      <c r="BJ435" s="77"/>
      <c r="BK435" s="77"/>
      <c r="BL435" s="77"/>
      <c r="BM435" s="78"/>
    </row>
    <row r="436">
      <c r="A436" s="79">
        <v>2.642857142857143</v>
      </c>
      <c r="B436" s="79" t="b">
        <v>0</v>
      </c>
      <c r="C436" s="79" t="b">
        <f t="shared" si="3"/>
        <v>0</v>
      </c>
      <c r="D436" s="80" t="s">
        <v>1565</v>
      </c>
      <c r="E436" s="81" t="s">
        <v>1149</v>
      </c>
      <c r="F436" s="82" t="s">
        <v>1454</v>
      </c>
      <c r="G436" s="35" t="s">
        <v>837</v>
      </c>
      <c r="H436" s="37">
        <v>-8.397103383570974</v>
      </c>
      <c r="I436" s="37">
        <v>-2.8672446116420724</v>
      </c>
      <c r="J436" s="83" t="s">
        <v>2099</v>
      </c>
      <c r="K436" s="35">
        <v>23.8</v>
      </c>
      <c r="L436" s="79">
        <v>81.26588235294118</v>
      </c>
      <c r="M436" s="84">
        <v>25.0</v>
      </c>
      <c r="N436" s="84">
        <v>6.0</v>
      </c>
      <c r="O436" s="85">
        <v>-1.6374883446044977</v>
      </c>
      <c r="P436" s="85">
        <v>-0.43116773205277137</v>
      </c>
      <c r="Q436" s="85">
        <v>-0.9836543607646181</v>
      </c>
      <c r="R436" s="85">
        <v>-1.645407008104025</v>
      </c>
      <c r="S436" s="85">
        <v>-1.3164141135625511</v>
      </c>
      <c r="T436" s="85">
        <v>-0.014368894081880653</v>
      </c>
      <c r="U436" s="85">
        <v>-0.8740932859582164</v>
      </c>
      <c r="V436" s="85">
        <v>0.0</v>
      </c>
      <c r="W436" s="85">
        <v>-1.9977124366298489</v>
      </c>
      <c r="X436" s="85">
        <v>0.5032027921874351</v>
      </c>
      <c r="Y436" s="50" t="s">
        <v>69</v>
      </c>
      <c r="Z436" s="50" t="s">
        <v>69</v>
      </c>
      <c r="AA436" s="50" t="s">
        <v>69</v>
      </c>
      <c r="AB436" s="50" t="s">
        <v>69</v>
      </c>
      <c r="AC436" s="34" t="str">
        <f t="shared" ref="AC436:AP436" si="436">LET(
  skater, IFERROR(INDEX(AllProj, MATCH($E436, AllProjNames, 0), MATCH(AC$2, AllProjCats, 0) + 1), ""),
  goalie, IFERROR(INDEX(AllGProj, MATCH($E436, AllGProjNames, 0), MATCH(AC$2, AllGProjCats, 0) + 1), ""),
  val, IF(skater &lt;&gt; "", skater, goalie),
  IF(OR($E436="", AC$2="", val=""), "", val * AC$1)
)</f>
        <v/>
      </c>
      <c r="AD436" s="34" t="str">
        <f t="shared" si="436"/>
        <v/>
      </c>
      <c r="AE436" s="34" t="str">
        <f t="shared" si="436"/>
        <v/>
      </c>
      <c r="AF436" s="34" t="str">
        <f t="shared" si="436"/>
        <v/>
      </c>
      <c r="AG436" s="34" t="str">
        <f t="shared" si="436"/>
        <v/>
      </c>
      <c r="AH436" s="34" t="str">
        <f t="shared" si="436"/>
        <v/>
      </c>
      <c r="AI436" s="34" t="str">
        <f t="shared" si="436"/>
        <v/>
      </c>
      <c r="AJ436" s="34" t="str">
        <f t="shared" si="436"/>
        <v/>
      </c>
      <c r="AK436" s="34" t="str">
        <f t="shared" si="436"/>
        <v/>
      </c>
      <c r="AL436" s="34" t="str">
        <f t="shared" si="436"/>
        <v/>
      </c>
      <c r="AM436" s="34" t="str">
        <f t="shared" si="436"/>
        <v/>
      </c>
      <c r="AN436" s="34" t="str">
        <f t="shared" si="436"/>
        <v/>
      </c>
      <c r="AO436" s="34" t="str">
        <f t="shared" si="436"/>
        <v/>
      </c>
      <c r="AP436" s="34" t="str">
        <f t="shared" si="436"/>
        <v/>
      </c>
      <c r="AQ436" s="76" t="s">
        <v>475</v>
      </c>
      <c r="AR436" s="77"/>
      <c r="AS436" s="77"/>
      <c r="AT436" s="77"/>
      <c r="AU436" s="77"/>
      <c r="AV436" s="77"/>
      <c r="AW436" s="77"/>
      <c r="AX436" s="77"/>
      <c r="AY436" s="77"/>
      <c r="AZ436" s="77"/>
      <c r="BA436" s="77"/>
      <c r="BB436" s="77"/>
      <c r="BC436" s="77"/>
      <c r="BD436" s="77"/>
      <c r="BE436" s="77"/>
      <c r="BF436" s="77"/>
      <c r="BG436" s="77"/>
      <c r="BH436" s="77"/>
      <c r="BI436" s="77"/>
      <c r="BJ436" s="77"/>
      <c r="BK436" s="77"/>
      <c r="BL436" s="77"/>
      <c r="BM436" s="78"/>
    </row>
    <row r="437">
      <c r="A437" s="41">
        <v>2.5714285714285716</v>
      </c>
      <c r="B437" s="41" t="b">
        <v>0</v>
      </c>
      <c r="C437" s="41" t="b">
        <f t="shared" si="3"/>
        <v>0</v>
      </c>
      <c r="D437" s="42" t="s">
        <v>1565</v>
      </c>
      <c r="E437" s="43" t="s">
        <v>985</v>
      </c>
      <c r="F437" s="44" t="s">
        <v>1436</v>
      </c>
      <c r="G437" s="29" t="s">
        <v>284</v>
      </c>
      <c r="H437" s="32">
        <v>-8.44789636511719</v>
      </c>
      <c r="I437" s="32">
        <v>-3.4098303449341048</v>
      </c>
      <c r="J437" s="45" t="s">
        <v>2100</v>
      </c>
      <c r="K437" s="29">
        <v>18.5</v>
      </c>
      <c r="L437" s="41">
        <v>80.0</v>
      </c>
      <c r="M437" s="46">
        <v>26.0</v>
      </c>
      <c r="N437" s="46">
        <v>5.0</v>
      </c>
      <c r="O437" s="47">
        <v>-1.0556906080706216</v>
      </c>
      <c r="P437" s="47">
        <v>-0.6652111038859295</v>
      </c>
      <c r="Q437" s="94" t="s">
        <v>69</v>
      </c>
      <c r="R437" s="47">
        <v>-1.4477915333761344</v>
      </c>
      <c r="S437" s="47">
        <v>-0.5636336174810282</v>
      </c>
      <c r="T437" s="94" t="s">
        <v>69</v>
      </c>
      <c r="U437" s="47">
        <v>-0.7930015129920344</v>
      </c>
      <c r="V437" s="94" t="s">
        <v>69</v>
      </c>
      <c r="W437" s="47">
        <v>-2.034257397237461</v>
      </c>
      <c r="X437" s="47">
        <v>-1.8883105920739802</v>
      </c>
      <c r="Y437" s="50" t="s">
        <v>69</v>
      </c>
      <c r="Z437" s="50" t="s">
        <v>69</v>
      </c>
      <c r="AA437" s="50" t="s">
        <v>69</v>
      </c>
      <c r="AB437" s="50" t="s">
        <v>69</v>
      </c>
      <c r="AC437" s="34" t="str">
        <f t="shared" ref="AC437:AP437" si="437">LET(
  skater, IFERROR(INDEX(AllProj, MATCH($E437, AllProjNames, 0), MATCH(AC$2, AllProjCats, 0) + 1), ""),
  goalie, IFERROR(INDEX(AllGProj, MATCH($E437, AllGProjNames, 0), MATCH(AC$2, AllGProjCats, 0) + 1), ""),
  val, IF(skater &lt;&gt; "", skater, goalie),
  IF(OR($E437="", AC$2="", val=""), "", val * AC$1)
)</f>
        <v/>
      </c>
      <c r="AD437" s="34" t="str">
        <f t="shared" si="437"/>
        <v/>
      </c>
      <c r="AE437" s="34" t="str">
        <f t="shared" si="437"/>
        <v/>
      </c>
      <c r="AF437" s="34" t="str">
        <f t="shared" si="437"/>
        <v/>
      </c>
      <c r="AG437" s="34" t="str">
        <f t="shared" si="437"/>
        <v/>
      </c>
      <c r="AH437" s="34" t="str">
        <f t="shared" si="437"/>
        <v/>
      </c>
      <c r="AI437" s="34" t="str">
        <f t="shared" si="437"/>
        <v/>
      </c>
      <c r="AJ437" s="34" t="str">
        <f t="shared" si="437"/>
        <v/>
      </c>
      <c r="AK437" s="34" t="str">
        <f t="shared" si="437"/>
        <v/>
      </c>
      <c r="AL437" s="34" t="str">
        <f t="shared" si="437"/>
        <v/>
      </c>
      <c r="AM437" s="34" t="str">
        <f t="shared" si="437"/>
        <v/>
      </c>
      <c r="AN437" s="34" t="str">
        <f t="shared" si="437"/>
        <v/>
      </c>
      <c r="AO437" s="34" t="str">
        <f t="shared" si="437"/>
        <v/>
      </c>
      <c r="AP437" s="34" t="str">
        <f t="shared" si="437"/>
        <v/>
      </c>
      <c r="AQ437" s="76" t="s">
        <v>476</v>
      </c>
      <c r="AR437" s="77"/>
      <c r="AS437" s="77"/>
      <c r="AT437" s="77"/>
      <c r="AU437" s="77"/>
      <c r="AV437" s="77"/>
      <c r="AW437" s="77"/>
      <c r="AX437" s="77"/>
      <c r="AY437" s="77"/>
      <c r="AZ437" s="77"/>
      <c r="BA437" s="77"/>
      <c r="BB437" s="77"/>
      <c r="BC437" s="77"/>
      <c r="BD437" s="77"/>
      <c r="BE437" s="77"/>
      <c r="BF437" s="77"/>
      <c r="BG437" s="77"/>
      <c r="BH437" s="77"/>
      <c r="BI437" s="77"/>
      <c r="BJ437" s="77"/>
      <c r="BK437" s="77"/>
      <c r="BL437" s="77"/>
      <c r="BM437" s="78"/>
    </row>
    <row r="438">
      <c r="A438" s="79">
        <v>2.5714285714285716</v>
      </c>
      <c r="B438" s="79" t="b">
        <v>0</v>
      </c>
      <c r="C438" s="79" t="b">
        <f t="shared" si="3"/>
        <v>0</v>
      </c>
      <c r="D438" s="80" t="s">
        <v>1565</v>
      </c>
      <c r="E438" s="81" t="s">
        <v>956</v>
      </c>
      <c r="F438" s="82" t="s">
        <v>1464</v>
      </c>
      <c r="G438" s="35" t="s">
        <v>837</v>
      </c>
      <c r="H438" s="37">
        <v>-8.451663721286055</v>
      </c>
      <c r="I438" s="37">
        <v>-2.9218049493571536</v>
      </c>
      <c r="J438" s="83" t="s">
        <v>2101</v>
      </c>
      <c r="K438" s="35">
        <v>29.4</v>
      </c>
      <c r="L438" s="79">
        <v>78.0</v>
      </c>
      <c r="M438" s="84">
        <v>24.0</v>
      </c>
      <c r="N438" s="84">
        <v>7.0</v>
      </c>
      <c r="O438" s="85">
        <v>-2.36021646301223</v>
      </c>
      <c r="P438" s="85">
        <v>-1.6438465059770855</v>
      </c>
      <c r="Q438" s="85">
        <v>-0.42573032707134467</v>
      </c>
      <c r="R438" s="85">
        <v>-0.10104971052744213</v>
      </c>
      <c r="S438" s="85">
        <v>-1.72461069241107</v>
      </c>
      <c r="T438" s="85">
        <v>-0.16952108464970286</v>
      </c>
      <c r="U438" s="85">
        <v>-2.297237255006651</v>
      </c>
      <c r="V438" s="85">
        <v>0.0</v>
      </c>
      <c r="W438" s="85">
        <v>-0.7959702417447775</v>
      </c>
      <c r="X438" s="85">
        <v>1.0665185591142479</v>
      </c>
      <c r="Y438" s="50" t="s">
        <v>69</v>
      </c>
      <c r="Z438" s="50" t="s">
        <v>69</v>
      </c>
      <c r="AA438" s="50" t="s">
        <v>69</v>
      </c>
      <c r="AB438" s="50" t="s">
        <v>69</v>
      </c>
      <c r="AC438" s="34" t="str">
        <f t="shared" ref="AC438:AP438" si="438">LET(
  skater, IFERROR(INDEX(AllProj, MATCH($E438, AllProjNames, 0), MATCH(AC$2, AllProjCats, 0) + 1), ""),
  goalie, IFERROR(INDEX(AllGProj, MATCH($E438, AllGProjNames, 0), MATCH(AC$2, AllGProjCats, 0) + 1), ""),
  val, IF(skater &lt;&gt; "", skater, goalie),
  IF(OR($E438="", AC$2="", val=""), "", val * AC$1)
)</f>
        <v/>
      </c>
      <c r="AD438" s="34" t="str">
        <f t="shared" si="438"/>
        <v/>
      </c>
      <c r="AE438" s="34" t="str">
        <f t="shared" si="438"/>
        <v/>
      </c>
      <c r="AF438" s="34" t="str">
        <f t="shared" si="438"/>
        <v/>
      </c>
      <c r="AG438" s="34" t="str">
        <f t="shared" si="438"/>
        <v/>
      </c>
      <c r="AH438" s="34" t="str">
        <f t="shared" si="438"/>
        <v/>
      </c>
      <c r="AI438" s="34" t="str">
        <f t="shared" si="438"/>
        <v/>
      </c>
      <c r="AJ438" s="34" t="str">
        <f t="shared" si="438"/>
        <v/>
      </c>
      <c r="AK438" s="34" t="str">
        <f t="shared" si="438"/>
        <v/>
      </c>
      <c r="AL438" s="34" t="str">
        <f t="shared" si="438"/>
        <v/>
      </c>
      <c r="AM438" s="34" t="str">
        <f t="shared" si="438"/>
        <v/>
      </c>
      <c r="AN438" s="34" t="str">
        <f t="shared" si="438"/>
        <v/>
      </c>
      <c r="AO438" s="34" t="str">
        <f t="shared" si="438"/>
        <v/>
      </c>
      <c r="AP438" s="34" t="str">
        <f t="shared" si="438"/>
        <v/>
      </c>
      <c r="AQ438" s="76" t="s">
        <v>477</v>
      </c>
      <c r="AR438" s="77"/>
      <c r="AS438" s="77"/>
      <c r="AT438" s="77"/>
      <c r="AU438" s="77"/>
      <c r="AV438" s="77"/>
      <c r="AW438" s="77"/>
      <c r="AX438" s="77"/>
      <c r="AY438" s="77"/>
      <c r="AZ438" s="77"/>
      <c r="BA438" s="77"/>
      <c r="BB438" s="77"/>
      <c r="BC438" s="77"/>
      <c r="BD438" s="77"/>
      <c r="BE438" s="77"/>
      <c r="BF438" s="77"/>
      <c r="BG438" s="77"/>
      <c r="BH438" s="77"/>
      <c r="BI438" s="77"/>
      <c r="BJ438" s="77"/>
      <c r="BK438" s="77"/>
      <c r="BL438" s="77"/>
      <c r="BM438" s="78"/>
    </row>
    <row r="439">
      <c r="A439" s="41">
        <v>2.642857142857143</v>
      </c>
      <c r="B439" s="41" t="b">
        <v>0</v>
      </c>
      <c r="C439" s="41" t="b">
        <f t="shared" si="3"/>
        <v>0</v>
      </c>
      <c r="D439" s="42" t="s">
        <v>1565</v>
      </c>
      <c r="E439" s="43" t="s">
        <v>1166</v>
      </c>
      <c r="F439" s="44" t="s">
        <v>1710</v>
      </c>
      <c r="G439" s="29" t="s">
        <v>837</v>
      </c>
      <c r="H439" s="32">
        <v>-8.45800730781753</v>
      </c>
      <c r="I439" s="32">
        <v>-2.928148535888629</v>
      </c>
      <c r="J439" s="45" t="s">
        <v>2102</v>
      </c>
      <c r="K439" s="29">
        <v>22.6</v>
      </c>
      <c r="L439" s="41">
        <v>78.88196428571429</v>
      </c>
      <c r="M439" s="46">
        <v>23.0</v>
      </c>
      <c r="N439" s="46">
        <v>6.0</v>
      </c>
      <c r="O439" s="47">
        <v>-1.2264844665197003</v>
      </c>
      <c r="P439" s="47">
        <v>-0.5726280570438045</v>
      </c>
      <c r="Q439" s="47">
        <v>-3.262257059209102</v>
      </c>
      <c r="R439" s="47">
        <v>-0.4413270927068327</v>
      </c>
      <c r="S439" s="47">
        <v>-0.43771729397170894</v>
      </c>
      <c r="T439" s="47">
        <v>-0.7646764597548191</v>
      </c>
      <c r="U439" s="47">
        <v>-0.6695393241651932</v>
      </c>
      <c r="V439" s="47">
        <v>0.0</v>
      </c>
      <c r="W439" s="47">
        <v>-2.0540996530846134</v>
      </c>
      <c r="X439" s="47">
        <v>0.970722098638244</v>
      </c>
      <c r="Y439" s="50" t="s">
        <v>69</v>
      </c>
      <c r="Z439" s="50" t="s">
        <v>69</v>
      </c>
      <c r="AA439" s="50" t="s">
        <v>69</v>
      </c>
      <c r="AB439" s="50" t="s">
        <v>69</v>
      </c>
      <c r="AC439" s="34" t="str">
        <f t="shared" ref="AC439:AP439" si="439">LET(
  skater, IFERROR(INDEX(AllProj, MATCH($E439, AllProjNames, 0), MATCH(AC$2, AllProjCats, 0) + 1), ""),
  goalie, IFERROR(INDEX(AllGProj, MATCH($E439, AllGProjNames, 0), MATCH(AC$2, AllGProjCats, 0) + 1), ""),
  val, IF(skater &lt;&gt; "", skater, goalie),
  IF(OR($E439="", AC$2="", val=""), "", val * AC$1)
)</f>
        <v/>
      </c>
      <c r="AD439" s="34" t="str">
        <f t="shared" si="439"/>
        <v/>
      </c>
      <c r="AE439" s="34" t="str">
        <f t="shared" si="439"/>
        <v/>
      </c>
      <c r="AF439" s="34" t="str">
        <f t="shared" si="439"/>
        <v/>
      </c>
      <c r="AG439" s="34" t="str">
        <f t="shared" si="439"/>
        <v/>
      </c>
      <c r="AH439" s="34" t="str">
        <f t="shared" si="439"/>
        <v/>
      </c>
      <c r="AI439" s="34" t="str">
        <f t="shared" si="439"/>
        <v/>
      </c>
      <c r="AJ439" s="34" t="str">
        <f t="shared" si="439"/>
        <v/>
      </c>
      <c r="AK439" s="34" t="str">
        <f t="shared" si="439"/>
        <v/>
      </c>
      <c r="AL439" s="34" t="str">
        <f t="shared" si="439"/>
        <v/>
      </c>
      <c r="AM439" s="34" t="str">
        <f t="shared" si="439"/>
        <v/>
      </c>
      <c r="AN439" s="34" t="str">
        <f t="shared" si="439"/>
        <v/>
      </c>
      <c r="AO439" s="34" t="str">
        <f t="shared" si="439"/>
        <v/>
      </c>
      <c r="AP439" s="34" t="str">
        <f t="shared" si="439"/>
        <v/>
      </c>
      <c r="AQ439" s="76" t="s">
        <v>478</v>
      </c>
      <c r="AR439" s="77"/>
      <c r="AS439" s="77"/>
      <c r="AT439" s="77"/>
      <c r="AU439" s="77"/>
      <c r="AV439" s="77"/>
      <c r="AW439" s="77"/>
      <c r="AX439" s="77"/>
      <c r="AY439" s="77"/>
      <c r="AZ439" s="77"/>
      <c r="BA439" s="77"/>
      <c r="BB439" s="77"/>
      <c r="BC439" s="77"/>
      <c r="BD439" s="77"/>
      <c r="BE439" s="77"/>
      <c r="BF439" s="77"/>
      <c r="BG439" s="77"/>
      <c r="BH439" s="77"/>
      <c r="BI439" s="77"/>
      <c r="BJ439" s="77"/>
      <c r="BK439" s="77"/>
      <c r="BL439" s="77"/>
      <c r="BM439" s="78"/>
    </row>
    <row r="440">
      <c r="A440" s="79">
        <v>2.5714285714285716</v>
      </c>
      <c r="B440" s="79" t="b">
        <v>0</v>
      </c>
      <c r="C440" s="79" t="b">
        <f t="shared" si="3"/>
        <v>0</v>
      </c>
      <c r="D440" s="80" t="s">
        <v>1565</v>
      </c>
      <c r="E440" s="81" t="s">
        <v>1059</v>
      </c>
      <c r="F440" s="82" t="s">
        <v>1429</v>
      </c>
      <c r="G440" s="35" t="s">
        <v>830</v>
      </c>
      <c r="H440" s="37">
        <v>-8.483820238749146</v>
      </c>
      <c r="I440" s="37">
        <v>-3.0959401138364075</v>
      </c>
      <c r="J440" s="83" t="s">
        <v>2103</v>
      </c>
      <c r="K440" s="35">
        <v>38.9</v>
      </c>
      <c r="L440" s="79">
        <v>74.71428571428571</v>
      </c>
      <c r="M440" s="84">
        <v>24.0</v>
      </c>
      <c r="N440" s="84">
        <v>7.0</v>
      </c>
      <c r="O440" s="85">
        <v>-1.6078265051768295</v>
      </c>
      <c r="P440" s="85">
        <v>-1.581207653689939</v>
      </c>
      <c r="Q440" s="85">
        <v>-1.3961184060520233</v>
      </c>
      <c r="R440" s="85">
        <v>-0.12769441574977294</v>
      </c>
      <c r="S440" s="85">
        <v>-1.2392172620885602</v>
      </c>
      <c r="T440" s="85">
        <v>0.44813554304231407</v>
      </c>
      <c r="U440" s="85">
        <v>-2.104018595652265</v>
      </c>
      <c r="V440" s="85">
        <v>0.08838276691959143</v>
      </c>
      <c r="W440" s="85">
        <v>0.6003961250873971</v>
      </c>
      <c r="X440" s="85">
        <v>-1.5646518353890593</v>
      </c>
      <c r="Y440" s="50" t="s">
        <v>69</v>
      </c>
      <c r="Z440" s="50" t="s">
        <v>69</v>
      </c>
      <c r="AA440" s="50" t="s">
        <v>69</v>
      </c>
      <c r="AB440" s="50" t="s">
        <v>69</v>
      </c>
      <c r="AC440" s="34" t="str">
        <f t="shared" ref="AC440:AP440" si="440">LET(
  skater, IFERROR(INDEX(AllProj, MATCH($E440, AllProjNames, 0), MATCH(AC$2, AllProjCats, 0) + 1), ""),
  goalie, IFERROR(INDEX(AllGProj, MATCH($E440, AllGProjNames, 0), MATCH(AC$2, AllGProjCats, 0) + 1), ""),
  val, IF(skater &lt;&gt; "", skater, goalie),
  IF(OR($E440="", AC$2="", val=""), "", val * AC$1)
)</f>
        <v/>
      </c>
      <c r="AD440" s="34" t="str">
        <f t="shared" si="440"/>
        <v/>
      </c>
      <c r="AE440" s="34" t="str">
        <f t="shared" si="440"/>
        <v/>
      </c>
      <c r="AF440" s="34" t="str">
        <f t="shared" si="440"/>
        <v/>
      </c>
      <c r="AG440" s="34" t="str">
        <f t="shared" si="440"/>
        <v/>
      </c>
      <c r="AH440" s="34" t="str">
        <f t="shared" si="440"/>
        <v/>
      </c>
      <c r="AI440" s="34" t="str">
        <f t="shared" si="440"/>
        <v/>
      </c>
      <c r="AJ440" s="34" t="str">
        <f t="shared" si="440"/>
        <v/>
      </c>
      <c r="AK440" s="34" t="str">
        <f t="shared" si="440"/>
        <v/>
      </c>
      <c r="AL440" s="34" t="str">
        <f t="shared" si="440"/>
        <v/>
      </c>
      <c r="AM440" s="34" t="str">
        <f t="shared" si="440"/>
        <v/>
      </c>
      <c r="AN440" s="34" t="str">
        <f t="shared" si="440"/>
        <v/>
      </c>
      <c r="AO440" s="34" t="str">
        <f t="shared" si="440"/>
        <v/>
      </c>
      <c r="AP440" s="34" t="str">
        <f t="shared" si="440"/>
        <v/>
      </c>
      <c r="AQ440" s="76" t="s">
        <v>479</v>
      </c>
      <c r="AR440" s="77"/>
      <c r="AS440" s="77"/>
      <c r="AT440" s="77"/>
      <c r="AU440" s="77"/>
      <c r="AV440" s="77"/>
      <c r="AW440" s="77"/>
      <c r="AX440" s="77"/>
      <c r="AY440" s="77"/>
      <c r="AZ440" s="77"/>
      <c r="BA440" s="77"/>
      <c r="BB440" s="77"/>
      <c r="BC440" s="77"/>
      <c r="BD440" s="77"/>
      <c r="BE440" s="77"/>
      <c r="BF440" s="77"/>
      <c r="BG440" s="77"/>
      <c r="BH440" s="77"/>
      <c r="BI440" s="77"/>
      <c r="BJ440" s="77"/>
      <c r="BK440" s="77"/>
      <c r="BL440" s="77"/>
      <c r="BM440" s="78"/>
    </row>
    <row r="441">
      <c r="A441" s="41">
        <v>2.5714285714285716</v>
      </c>
      <c r="B441" s="41" t="b">
        <v>0</v>
      </c>
      <c r="C441" s="41" t="b">
        <f t="shared" si="3"/>
        <v>0</v>
      </c>
      <c r="D441" s="42" t="s">
        <v>1565</v>
      </c>
      <c r="E441" s="43" t="s">
        <v>942</v>
      </c>
      <c r="F441" s="44" t="s">
        <v>1517</v>
      </c>
      <c r="G441" s="29" t="s">
        <v>837</v>
      </c>
      <c r="H441" s="32">
        <v>-8.488294830364069</v>
      </c>
      <c r="I441" s="32">
        <v>-2.9584360584351677</v>
      </c>
      <c r="J441" s="45" t="s">
        <v>2104</v>
      </c>
      <c r="K441" s="29">
        <v>32.5</v>
      </c>
      <c r="L441" s="41">
        <v>83.035</v>
      </c>
      <c r="M441" s="46">
        <v>18.0</v>
      </c>
      <c r="N441" s="46">
        <v>6.0</v>
      </c>
      <c r="O441" s="47">
        <v>-1.797515656191203</v>
      </c>
      <c r="P441" s="47">
        <v>-0.6215716624302982</v>
      </c>
      <c r="Q441" s="47">
        <v>-2.8723384923623594</v>
      </c>
      <c r="R441" s="47">
        <v>-0.35082801643845796</v>
      </c>
      <c r="S441" s="47">
        <v>-1.038643376174306</v>
      </c>
      <c r="T441" s="47">
        <v>0.3392254029680211</v>
      </c>
      <c r="U441" s="47">
        <v>-0.8975103095601514</v>
      </c>
      <c r="V441" s="47">
        <v>0.0</v>
      </c>
      <c r="W441" s="47">
        <v>-1.322898700897649</v>
      </c>
      <c r="X441" s="47">
        <v>0.0737859807223344</v>
      </c>
      <c r="Y441" s="50" t="s">
        <v>69</v>
      </c>
      <c r="Z441" s="50" t="s">
        <v>69</v>
      </c>
      <c r="AA441" s="50" t="s">
        <v>69</v>
      </c>
      <c r="AB441" s="50" t="s">
        <v>69</v>
      </c>
      <c r="AC441" s="34" t="str">
        <f t="shared" ref="AC441:AP441" si="441">LET(
  skater, IFERROR(INDEX(AllProj, MATCH($E441, AllProjNames, 0), MATCH(AC$2, AllProjCats, 0) + 1), ""),
  goalie, IFERROR(INDEX(AllGProj, MATCH($E441, AllGProjNames, 0), MATCH(AC$2, AllGProjCats, 0) + 1), ""),
  val, IF(skater &lt;&gt; "", skater, goalie),
  IF(OR($E441="", AC$2="", val=""), "", val * AC$1)
)</f>
        <v/>
      </c>
      <c r="AD441" s="34" t="str">
        <f t="shared" si="441"/>
        <v/>
      </c>
      <c r="AE441" s="34" t="str">
        <f t="shared" si="441"/>
        <v/>
      </c>
      <c r="AF441" s="34" t="str">
        <f t="shared" si="441"/>
        <v/>
      </c>
      <c r="AG441" s="34" t="str">
        <f t="shared" si="441"/>
        <v/>
      </c>
      <c r="AH441" s="34" t="str">
        <f t="shared" si="441"/>
        <v/>
      </c>
      <c r="AI441" s="34" t="str">
        <f t="shared" si="441"/>
        <v/>
      </c>
      <c r="AJ441" s="34" t="str">
        <f t="shared" si="441"/>
        <v/>
      </c>
      <c r="AK441" s="34" t="str">
        <f t="shared" si="441"/>
        <v/>
      </c>
      <c r="AL441" s="34" t="str">
        <f t="shared" si="441"/>
        <v/>
      </c>
      <c r="AM441" s="34" t="str">
        <f t="shared" si="441"/>
        <v/>
      </c>
      <c r="AN441" s="34" t="str">
        <f t="shared" si="441"/>
        <v/>
      </c>
      <c r="AO441" s="34" t="str">
        <f t="shared" si="441"/>
        <v/>
      </c>
      <c r="AP441" s="34" t="str">
        <f t="shared" si="441"/>
        <v/>
      </c>
      <c r="AQ441" s="76" t="s">
        <v>480</v>
      </c>
      <c r="AR441" s="77"/>
      <c r="AS441" s="77"/>
      <c r="AT441" s="77"/>
      <c r="AU441" s="77"/>
      <c r="AV441" s="77"/>
      <c r="AW441" s="77"/>
      <c r="AX441" s="77"/>
      <c r="AY441" s="77"/>
      <c r="AZ441" s="77"/>
      <c r="BA441" s="77"/>
      <c r="BB441" s="77"/>
      <c r="BC441" s="77"/>
      <c r="BD441" s="77"/>
      <c r="BE441" s="77"/>
      <c r="BF441" s="77"/>
      <c r="BG441" s="77"/>
      <c r="BH441" s="77"/>
      <c r="BI441" s="77"/>
      <c r="BJ441" s="77"/>
      <c r="BK441" s="77"/>
      <c r="BL441" s="77"/>
      <c r="BM441" s="78"/>
    </row>
    <row r="442">
      <c r="A442" s="79">
        <v>2.5714285714285716</v>
      </c>
      <c r="B442" s="79" t="b">
        <v>0</v>
      </c>
      <c r="C442" s="79" t="b">
        <f t="shared" si="3"/>
        <v>0</v>
      </c>
      <c r="D442" s="80" t="s">
        <v>1565</v>
      </c>
      <c r="E442" s="81" t="s">
        <v>1013</v>
      </c>
      <c r="F442" s="82" t="s">
        <v>1710</v>
      </c>
      <c r="G442" s="35" t="s">
        <v>836</v>
      </c>
      <c r="H442" s="37">
        <v>-8.505114933144075</v>
      </c>
      <c r="I442" s="37">
        <v>-3.0629773244162175</v>
      </c>
      <c r="J442" s="83" t="s">
        <v>2105</v>
      </c>
      <c r="K442" s="35">
        <v>26.6</v>
      </c>
      <c r="L442" s="79">
        <v>83.27514705882353</v>
      </c>
      <c r="M442" s="84">
        <v>23.0</v>
      </c>
      <c r="N442" s="84">
        <v>6.0</v>
      </c>
      <c r="O442" s="85">
        <v>-0.3101143787627487</v>
      </c>
      <c r="P442" s="85">
        <v>-1.0753144339249137</v>
      </c>
      <c r="Q442" s="85">
        <v>-3.1304337272854132</v>
      </c>
      <c r="R442" s="85">
        <v>-0.9711546085547761</v>
      </c>
      <c r="S442" s="85">
        <v>-1.2031850606071404</v>
      </c>
      <c r="T442" s="85">
        <v>0.9603796228446075</v>
      </c>
      <c r="U442" s="85">
        <v>-0.3076376591977437</v>
      </c>
      <c r="V442" s="85">
        <v>0.0</v>
      </c>
      <c r="W442" s="85">
        <v>-1.3881238767594213</v>
      </c>
      <c r="X442" s="85">
        <v>-1.0795308108965247</v>
      </c>
      <c r="Y442" s="50" t="s">
        <v>69</v>
      </c>
      <c r="Z442" s="50" t="s">
        <v>69</v>
      </c>
      <c r="AA442" s="50" t="s">
        <v>69</v>
      </c>
      <c r="AB442" s="50" t="s">
        <v>69</v>
      </c>
      <c r="AC442" s="34" t="str">
        <f t="shared" ref="AC442:AP442" si="442">LET(
  skater, IFERROR(INDEX(AllProj, MATCH($E442, AllProjNames, 0), MATCH(AC$2, AllProjCats, 0) + 1), ""),
  goalie, IFERROR(INDEX(AllGProj, MATCH($E442, AllGProjNames, 0), MATCH(AC$2, AllGProjCats, 0) + 1), ""),
  val, IF(skater &lt;&gt; "", skater, goalie),
  IF(OR($E442="", AC$2="", val=""), "", val * AC$1)
)</f>
        <v/>
      </c>
      <c r="AD442" s="34" t="str">
        <f t="shared" si="442"/>
        <v/>
      </c>
      <c r="AE442" s="34" t="str">
        <f t="shared" si="442"/>
        <v/>
      </c>
      <c r="AF442" s="34" t="str">
        <f t="shared" si="442"/>
        <v/>
      </c>
      <c r="AG442" s="34" t="str">
        <f t="shared" si="442"/>
        <v/>
      </c>
      <c r="AH442" s="34" t="str">
        <f t="shared" si="442"/>
        <v/>
      </c>
      <c r="AI442" s="34" t="str">
        <f t="shared" si="442"/>
        <v/>
      </c>
      <c r="AJ442" s="34" t="str">
        <f t="shared" si="442"/>
        <v/>
      </c>
      <c r="AK442" s="34" t="str">
        <f t="shared" si="442"/>
        <v/>
      </c>
      <c r="AL442" s="34" t="str">
        <f t="shared" si="442"/>
        <v/>
      </c>
      <c r="AM442" s="34" t="str">
        <f t="shared" si="442"/>
        <v/>
      </c>
      <c r="AN442" s="34" t="str">
        <f t="shared" si="442"/>
        <v/>
      </c>
      <c r="AO442" s="34" t="str">
        <f t="shared" si="442"/>
        <v/>
      </c>
      <c r="AP442" s="34" t="str">
        <f t="shared" si="442"/>
        <v/>
      </c>
      <c r="AQ442" s="76" t="s">
        <v>481</v>
      </c>
      <c r="AR442" s="77"/>
      <c r="AS442" s="77"/>
      <c r="AT442" s="77"/>
      <c r="AU442" s="77"/>
      <c r="AV442" s="77"/>
      <c r="AW442" s="77"/>
      <c r="AX442" s="77"/>
      <c r="AY442" s="77"/>
      <c r="AZ442" s="77"/>
      <c r="BA442" s="77"/>
      <c r="BB442" s="77"/>
      <c r="BC442" s="77"/>
      <c r="BD442" s="77"/>
      <c r="BE442" s="77"/>
      <c r="BF442" s="77"/>
      <c r="BG442" s="77"/>
      <c r="BH442" s="77"/>
      <c r="BI442" s="77"/>
      <c r="BJ442" s="77"/>
      <c r="BK442" s="77"/>
      <c r="BL442" s="77"/>
      <c r="BM442" s="78"/>
    </row>
    <row r="443">
      <c r="A443" s="41" t="s">
        <v>69</v>
      </c>
      <c r="B443" s="41" t="b">
        <v>0</v>
      </c>
      <c r="C443" s="41" t="b">
        <f t="shared" si="3"/>
        <v>1</v>
      </c>
      <c r="D443" s="42" t="s">
        <v>825</v>
      </c>
      <c r="E443" s="43" t="s">
        <v>2106</v>
      </c>
      <c r="F443" s="44" t="s">
        <v>1594</v>
      </c>
      <c r="G443" s="29" t="s">
        <v>284</v>
      </c>
      <c r="H443" s="32">
        <v>-8.517383732958214</v>
      </c>
      <c r="I443" s="32">
        <v>-3.4793177127751287</v>
      </c>
      <c r="J443" s="45" t="s">
        <v>2107</v>
      </c>
      <c r="K443" s="29">
        <v>32.4</v>
      </c>
      <c r="L443" s="41">
        <v>81.4279411764706</v>
      </c>
      <c r="M443" s="46">
        <v>26.0</v>
      </c>
      <c r="N443" s="46">
        <v>6.0</v>
      </c>
      <c r="O443" s="47">
        <v>-0.787356207516645</v>
      </c>
      <c r="P443" s="47">
        <v>0.2091421824110923</v>
      </c>
      <c r="Q443" s="47">
        <v>-4.207734855586211</v>
      </c>
      <c r="R443" s="47">
        <v>-1.6266852356842019</v>
      </c>
      <c r="S443" s="47">
        <v>0.10419108325097007</v>
      </c>
      <c r="T443" s="47">
        <v>0.4546755282362766</v>
      </c>
      <c r="U443" s="47">
        <v>-1.7274620347426815</v>
      </c>
      <c r="V443" s="47">
        <v>2.2318266652977896</v>
      </c>
      <c r="W443" s="47">
        <v>-2.0754027427374204</v>
      </c>
      <c r="X443" s="47">
        <v>-1.0925781158871823</v>
      </c>
      <c r="Y443" s="50" t="s">
        <v>69</v>
      </c>
      <c r="Z443" s="50" t="s">
        <v>69</v>
      </c>
      <c r="AA443" s="50" t="s">
        <v>69</v>
      </c>
      <c r="AB443" s="50" t="s">
        <v>69</v>
      </c>
      <c r="AC443" s="34" t="str">
        <f t="shared" ref="AC443:AP443" si="443">LET(
  skater, IFERROR(INDEX(AllProj, MATCH($E443, AllProjNames, 0), MATCH(AC$2, AllProjCats, 0) + 1), ""),
  goalie, IFERROR(INDEX(AllGProj, MATCH($E443, AllGProjNames, 0), MATCH(AC$2, AllGProjCats, 0) + 1), ""),
  val, IF(skater &lt;&gt; "", skater, goalie),
  IF(OR($E443="", AC$2="", val=""), "", val * AC$1)
)</f>
        <v/>
      </c>
      <c r="AD443" s="34" t="str">
        <f t="shared" si="443"/>
        <v/>
      </c>
      <c r="AE443" s="34" t="str">
        <f t="shared" si="443"/>
        <v/>
      </c>
      <c r="AF443" s="34" t="str">
        <f t="shared" si="443"/>
        <v/>
      </c>
      <c r="AG443" s="34" t="str">
        <f t="shared" si="443"/>
        <v/>
      </c>
      <c r="AH443" s="34" t="str">
        <f t="shared" si="443"/>
        <v/>
      </c>
      <c r="AI443" s="34" t="str">
        <f t="shared" si="443"/>
        <v/>
      </c>
      <c r="AJ443" s="34" t="str">
        <f t="shared" si="443"/>
        <v/>
      </c>
      <c r="AK443" s="34" t="str">
        <f t="shared" si="443"/>
        <v/>
      </c>
      <c r="AL443" s="34" t="str">
        <f t="shared" si="443"/>
        <v/>
      </c>
      <c r="AM443" s="34" t="str">
        <f t="shared" si="443"/>
        <v/>
      </c>
      <c r="AN443" s="34" t="str">
        <f t="shared" si="443"/>
        <v/>
      </c>
      <c r="AO443" s="34" t="str">
        <f t="shared" si="443"/>
        <v/>
      </c>
      <c r="AP443" s="34" t="str">
        <f t="shared" si="443"/>
        <v/>
      </c>
      <c r="AQ443" s="76" t="s">
        <v>482</v>
      </c>
      <c r="AR443" s="77"/>
      <c r="AS443" s="77"/>
      <c r="AT443" s="77"/>
      <c r="AU443" s="77"/>
      <c r="AV443" s="77"/>
      <c r="AW443" s="77"/>
      <c r="AX443" s="77"/>
      <c r="AY443" s="77"/>
      <c r="AZ443" s="77"/>
      <c r="BA443" s="77"/>
      <c r="BB443" s="77"/>
      <c r="BC443" s="77"/>
      <c r="BD443" s="77"/>
      <c r="BE443" s="77"/>
      <c r="BF443" s="77"/>
      <c r="BG443" s="77"/>
      <c r="BH443" s="77"/>
      <c r="BI443" s="77"/>
      <c r="BJ443" s="77"/>
      <c r="BK443" s="77"/>
      <c r="BL443" s="77"/>
      <c r="BM443" s="78"/>
    </row>
    <row r="444">
      <c r="A444" s="79">
        <v>2.5714285714285716</v>
      </c>
      <c r="B444" s="79" t="b">
        <v>0</v>
      </c>
      <c r="C444" s="79" t="b">
        <f t="shared" si="3"/>
        <v>0</v>
      </c>
      <c r="D444" s="80" t="s">
        <v>1565</v>
      </c>
      <c r="E444" s="81" t="s">
        <v>1009</v>
      </c>
      <c r="F444" s="82" t="s">
        <v>1411</v>
      </c>
      <c r="G444" s="35" t="s">
        <v>835</v>
      </c>
      <c r="H444" s="37">
        <v>-8.536069717510237</v>
      </c>
      <c r="I444" s="37">
        <v>-3.1481895925974985</v>
      </c>
      <c r="J444" s="83" t="s">
        <v>2108</v>
      </c>
      <c r="K444" s="35">
        <v>20.2</v>
      </c>
      <c r="L444" s="79">
        <v>77.45454545454545</v>
      </c>
      <c r="M444" s="84">
        <v>33.0</v>
      </c>
      <c r="N444" s="84">
        <v>8.0</v>
      </c>
      <c r="O444" s="85">
        <v>-0.41394559179296697</v>
      </c>
      <c r="P444" s="85">
        <v>-0.8381885405329816</v>
      </c>
      <c r="Q444" s="85">
        <v>-0.04599482786057522</v>
      </c>
      <c r="R444" s="85">
        <v>-1.1789491490671837</v>
      </c>
      <c r="S444" s="85">
        <v>-1.1412051271195918</v>
      </c>
      <c r="T444" s="85">
        <v>-0.16952108464970286</v>
      </c>
      <c r="U444" s="85">
        <v>-1.4036756380294717</v>
      </c>
      <c r="V444" s="85">
        <v>0.0</v>
      </c>
      <c r="W444" s="85">
        <v>-1.6899960036536794</v>
      </c>
      <c r="X444" s="85">
        <v>-1.6545937548040834</v>
      </c>
      <c r="Y444" s="50" t="s">
        <v>69</v>
      </c>
      <c r="Z444" s="50" t="s">
        <v>69</v>
      </c>
      <c r="AA444" s="50" t="s">
        <v>69</v>
      </c>
      <c r="AB444" s="50" t="s">
        <v>69</v>
      </c>
      <c r="AC444" s="34" t="str">
        <f t="shared" ref="AC444:AP444" si="444">LET(
  skater, IFERROR(INDEX(AllProj, MATCH($E444, AllProjNames, 0), MATCH(AC$2, AllProjCats, 0) + 1), ""),
  goalie, IFERROR(INDEX(AllGProj, MATCH($E444, AllGProjNames, 0), MATCH(AC$2, AllGProjCats, 0) + 1), ""),
  val, IF(skater &lt;&gt; "", skater, goalie),
  IF(OR($E444="", AC$2="", val=""), "", val * AC$1)
)</f>
        <v/>
      </c>
      <c r="AD444" s="34" t="str">
        <f t="shared" si="444"/>
        <v/>
      </c>
      <c r="AE444" s="34" t="str">
        <f t="shared" si="444"/>
        <v/>
      </c>
      <c r="AF444" s="34" t="str">
        <f t="shared" si="444"/>
        <v/>
      </c>
      <c r="AG444" s="34" t="str">
        <f t="shared" si="444"/>
        <v/>
      </c>
      <c r="AH444" s="34" t="str">
        <f t="shared" si="444"/>
        <v/>
      </c>
      <c r="AI444" s="34" t="str">
        <f t="shared" si="444"/>
        <v/>
      </c>
      <c r="AJ444" s="34" t="str">
        <f t="shared" si="444"/>
        <v/>
      </c>
      <c r="AK444" s="34" t="str">
        <f t="shared" si="444"/>
        <v/>
      </c>
      <c r="AL444" s="34" t="str">
        <f t="shared" si="444"/>
        <v/>
      </c>
      <c r="AM444" s="34" t="str">
        <f t="shared" si="444"/>
        <v/>
      </c>
      <c r="AN444" s="34" t="str">
        <f t="shared" si="444"/>
        <v/>
      </c>
      <c r="AO444" s="34" t="str">
        <f t="shared" si="444"/>
        <v/>
      </c>
      <c r="AP444" s="34" t="str">
        <f t="shared" si="444"/>
        <v/>
      </c>
      <c r="AQ444" s="76" t="s">
        <v>483</v>
      </c>
      <c r="AR444" s="77"/>
      <c r="AS444" s="77"/>
      <c r="AT444" s="77"/>
      <c r="AU444" s="77"/>
      <c r="AV444" s="77"/>
      <c r="AW444" s="77"/>
      <c r="AX444" s="77"/>
      <c r="AY444" s="77"/>
      <c r="AZ444" s="77"/>
      <c r="BA444" s="77"/>
      <c r="BB444" s="77"/>
      <c r="BC444" s="77"/>
      <c r="BD444" s="77"/>
      <c r="BE444" s="77"/>
      <c r="BF444" s="77"/>
      <c r="BG444" s="77"/>
      <c r="BH444" s="77"/>
      <c r="BI444" s="77"/>
      <c r="BJ444" s="77"/>
      <c r="BK444" s="77"/>
      <c r="BL444" s="77"/>
      <c r="BM444" s="78"/>
    </row>
    <row r="445">
      <c r="A445" s="41">
        <v>2.5714285714285716</v>
      </c>
      <c r="B445" s="41" t="b">
        <v>0</v>
      </c>
      <c r="C445" s="41" t="b">
        <f t="shared" si="3"/>
        <v>0</v>
      </c>
      <c r="D445" s="42" t="s">
        <v>1565</v>
      </c>
      <c r="E445" s="43" t="s">
        <v>1077</v>
      </c>
      <c r="F445" s="44" t="s">
        <v>1464</v>
      </c>
      <c r="G445" s="29" t="s">
        <v>832</v>
      </c>
      <c r="H445" s="32">
        <v>-8.538879568186408</v>
      </c>
      <c r="I445" s="32">
        <v>-3.0967419594585506</v>
      </c>
      <c r="J445" s="45" t="s">
        <v>2109</v>
      </c>
      <c r="K445" s="29">
        <v>25.5</v>
      </c>
      <c r="L445" s="41">
        <v>77.48058823529412</v>
      </c>
      <c r="M445" s="46">
        <v>24.0</v>
      </c>
      <c r="N445" s="46">
        <v>7.0</v>
      </c>
      <c r="O445" s="47">
        <v>-0.5453183599554857</v>
      </c>
      <c r="P445" s="47">
        <v>-0.8313508330038201</v>
      </c>
      <c r="Q445" s="47">
        <v>-0.9867783113458035</v>
      </c>
      <c r="R445" s="47">
        <v>-1.0717798670252894</v>
      </c>
      <c r="S445" s="47">
        <v>-1.1205435910868862</v>
      </c>
      <c r="T445" s="47">
        <v>-0.7852573114910503</v>
      </c>
      <c r="U445" s="47">
        <v>0.05416404809888103</v>
      </c>
      <c r="V445" s="47">
        <v>0.0</v>
      </c>
      <c r="W445" s="47">
        <v>-1.2520888244750714</v>
      </c>
      <c r="X445" s="47">
        <v>-1.9999265179018832</v>
      </c>
      <c r="Y445" s="50" t="s">
        <v>69</v>
      </c>
      <c r="Z445" s="50" t="s">
        <v>69</v>
      </c>
      <c r="AA445" s="50" t="s">
        <v>69</v>
      </c>
      <c r="AB445" s="50" t="s">
        <v>69</v>
      </c>
      <c r="AC445" s="34" t="str">
        <f t="shared" ref="AC445:AP445" si="445">LET(
  skater, IFERROR(INDEX(AllProj, MATCH($E445, AllProjNames, 0), MATCH(AC$2, AllProjCats, 0) + 1), ""),
  goalie, IFERROR(INDEX(AllGProj, MATCH($E445, AllGProjNames, 0), MATCH(AC$2, AllGProjCats, 0) + 1), ""),
  val, IF(skater &lt;&gt; "", skater, goalie),
  IF(OR($E445="", AC$2="", val=""), "", val * AC$1)
)</f>
        <v/>
      </c>
      <c r="AD445" s="34" t="str">
        <f t="shared" si="445"/>
        <v/>
      </c>
      <c r="AE445" s="34" t="str">
        <f t="shared" si="445"/>
        <v/>
      </c>
      <c r="AF445" s="34" t="str">
        <f t="shared" si="445"/>
        <v/>
      </c>
      <c r="AG445" s="34" t="str">
        <f t="shared" si="445"/>
        <v/>
      </c>
      <c r="AH445" s="34" t="str">
        <f t="shared" si="445"/>
        <v/>
      </c>
      <c r="AI445" s="34" t="str">
        <f t="shared" si="445"/>
        <v/>
      </c>
      <c r="AJ445" s="34" t="str">
        <f t="shared" si="445"/>
        <v/>
      </c>
      <c r="AK445" s="34" t="str">
        <f t="shared" si="445"/>
        <v/>
      </c>
      <c r="AL445" s="34" t="str">
        <f t="shared" si="445"/>
        <v/>
      </c>
      <c r="AM445" s="34" t="str">
        <f t="shared" si="445"/>
        <v/>
      </c>
      <c r="AN445" s="34" t="str">
        <f t="shared" si="445"/>
        <v/>
      </c>
      <c r="AO445" s="34" t="str">
        <f t="shared" si="445"/>
        <v/>
      </c>
      <c r="AP445" s="34" t="str">
        <f t="shared" si="445"/>
        <v/>
      </c>
      <c r="AQ445" s="76" t="s">
        <v>484</v>
      </c>
      <c r="AR445" s="77"/>
      <c r="AS445" s="77"/>
      <c r="AT445" s="77"/>
      <c r="AU445" s="77"/>
      <c r="AV445" s="77"/>
      <c r="AW445" s="77"/>
      <c r="AX445" s="77"/>
      <c r="AY445" s="77"/>
      <c r="AZ445" s="77"/>
      <c r="BA445" s="77"/>
      <c r="BB445" s="77"/>
      <c r="BC445" s="77"/>
      <c r="BD445" s="77"/>
      <c r="BE445" s="77"/>
      <c r="BF445" s="77"/>
      <c r="BG445" s="77"/>
      <c r="BH445" s="77"/>
      <c r="BI445" s="77"/>
      <c r="BJ445" s="77"/>
      <c r="BK445" s="77"/>
      <c r="BL445" s="77"/>
      <c r="BM445" s="78"/>
    </row>
    <row r="446">
      <c r="A446" s="79">
        <v>2.5714285714285716</v>
      </c>
      <c r="B446" s="79" t="b">
        <v>0</v>
      </c>
      <c r="C446" s="79" t="b">
        <f t="shared" si="3"/>
        <v>0</v>
      </c>
      <c r="D446" s="80" t="s">
        <v>1565</v>
      </c>
      <c r="E446" s="81" t="s">
        <v>1011</v>
      </c>
      <c r="F446" s="82" t="s">
        <v>1429</v>
      </c>
      <c r="G446" s="35" t="s">
        <v>832</v>
      </c>
      <c r="H446" s="37">
        <v>-8.544025103408792</v>
      </c>
      <c r="I446" s="37">
        <v>-3.101887494680935</v>
      </c>
      <c r="J446" s="83" t="s">
        <v>2110</v>
      </c>
      <c r="K446" s="35">
        <v>25.2</v>
      </c>
      <c r="L446" s="79">
        <v>78.77839285714286</v>
      </c>
      <c r="M446" s="84">
        <v>24.0</v>
      </c>
      <c r="N446" s="84">
        <v>7.0</v>
      </c>
      <c r="O446" s="85">
        <v>-0.6298737548555645</v>
      </c>
      <c r="P446" s="85">
        <v>-0.7673946723412215</v>
      </c>
      <c r="Q446" s="85">
        <v>-0.7208130059100212</v>
      </c>
      <c r="R446" s="85">
        <v>-1.3759467626162187</v>
      </c>
      <c r="S446" s="85">
        <v>-0.707269725997068</v>
      </c>
      <c r="T446" s="85">
        <v>-0.7805144919970098</v>
      </c>
      <c r="U446" s="85">
        <v>-1.1750849191998731</v>
      </c>
      <c r="V446" s="85">
        <v>0.0</v>
      </c>
      <c r="W446" s="85">
        <v>-0.8984279693190251</v>
      </c>
      <c r="X446" s="85">
        <v>-1.4886998011727905</v>
      </c>
      <c r="Y446" s="50" t="s">
        <v>69</v>
      </c>
      <c r="Z446" s="50" t="s">
        <v>69</v>
      </c>
      <c r="AA446" s="50" t="s">
        <v>69</v>
      </c>
      <c r="AB446" s="50" t="s">
        <v>69</v>
      </c>
      <c r="AC446" s="34" t="str">
        <f t="shared" ref="AC446:AP446" si="446">LET(
  skater, IFERROR(INDEX(AllProj, MATCH($E446, AllProjNames, 0), MATCH(AC$2, AllProjCats, 0) + 1), ""),
  goalie, IFERROR(INDEX(AllGProj, MATCH($E446, AllGProjNames, 0), MATCH(AC$2, AllGProjCats, 0) + 1), ""),
  val, IF(skater &lt;&gt; "", skater, goalie),
  IF(OR($E446="", AC$2="", val=""), "", val * AC$1)
)</f>
        <v/>
      </c>
      <c r="AD446" s="34" t="str">
        <f t="shared" si="446"/>
        <v/>
      </c>
      <c r="AE446" s="34" t="str">
        <f t="shared" si="446"/>
        <v/>
      </c>
      <c r="AF446" s="34" t="str">
        <f t="shared" si="446"/>
        <v/>
      </c>
      <c r="AG446" s="34" t="str">
        <f t="shared" si="446"/>
        <v/>
      </c>
      <c r="AH446" s="34" t="str">
        <f t="shared" si="446"/>
        <v/>
      </c>
      <c r="AI446" s="34" t="str">
        <f t="shared" si="446"/>
        <v/>
      </c>
      <c r="AJ446" s="34" t="str">
        <f t="shared" si="446"/>
        <v/>
      </c>
      <c r="AK446" s="34" t="str">
        <f t="shared" si="446"/>
        <v/>
      </c>
      <c r="AL446" s="34" t="str">
        <f t="shared" si="446"/>
        <v/>
      </c>
      <c r="AM446" s="34" t="str">
        <f t="shared" si="446"/>
        <v/>
      </c>
      <c r="AN446" s="34" t="str">
        <f t="shared" si="446"/>
        <v/>
      </c>
      <c r="AO446" s="34" t="str">
        <f t="shared" si="446"/>
        <v/>
      </c>
      <c r="AP446" s="34" t="str">
        <f t="shared" si="446"/>
        <v/>
      </c>
      <c r="AQ446" s="76" t="s">
        <v>485</v>
      </c>
      <c r="AR446" s="77"/>
      <c r="AS446" s="77"/>
      <c r="AT446" s="77"/>
      <c r="AU446" s="77"/>
      <c r="AV446" s="77"/>
      <c r="AW446" s="77"/>
      <c r="AX446" s="77"/>
      <c r="AY446" s="77"/>
      <c r="AZ446" s="77"/>
      <c r="BA446" s="77"/>
      <c r="BB446" s="77"/>
      <c r="BC446" s="77"/>
      <c r="BD446" s="77"/>
      <c r="BE446" s="77"/>
      <c r="BF446" s="77"/>
      <c r="BG446" s="77"/>
      <c r="BH446" s="77"/>
      <c r="BI446" s="77"/>
      <c r="BJ446" s="77"/>
      <c r="BK446" s="77"/>
      <c r="BL446" s="77"/>
      <c r="BM446" s="78"/>
    </row>
    <row r="447">
      <c r="A447" s="41">
        <v>2.5714285714285716</v>
      </c>
      <c r="B447" s="41" t="b">
        <v>0</v>
      </c>
      <c r="C447" s="41" t="b">
        <f t="shared" si="3"/>
        <v>0</v>
      </c>
      <c r="D447" s="42" t="s">
        <v>1565</v>
      </c>
      <c r="E447" s="43" t="s">
        <v>1069</v>
      </c>
      <c r="F447" s="44" t="s">
        <v>1429</v>
      </c>
      <c r="G447" s="29" t="s">
        <v>837</v>
      </c>
      <c r="H447" s="32">
        <v>-8.55434977538851</v>
      </c>
      <c r="I447" s="32">
        <v>-3.024491003459608</v>
      </c>
      <c r="J447" s="45" t="s">
        <v>2111</v>
      </c>
      <c r="K447" s="29">
        <v>33.2</v>
      </c>
      <c r="L447" s="41">
        <v>70.57142857142857</v>
      </c>
      <c r="M447" s="46">
        <v>24.0</v>
      </c>
      <c r="N447" s="46">
        <v>7.0</v>
      </c>
      <c r="O447" s="47">
        <v>-2.089298588987449</v>
      </c>
      <c r="P447" s="47">
        <v>-1.3283322870492373</v>
      </c>
      <c r="Q447" s="47">
        <v>1.7212403310837736</v>
      </c>
      <c r="R447" s="47">
        <v>-1.5576269293481866</v>
      </c>
      <c r="S447" s="47">
        <v>-1.7106089588440747</v>
      </c>
      <c r="T447" s="47">
        <v>-0.7871777123417198</v>
      </c>
      <c r="U447" s="47">
        <v>-1.8463937165130833</v>
      </c>
      <c r="V447" s="47">
        <v>0.0</v>
      </c>
      <c r="W447" s="47">
        <v>-2.2655214286415317</v>
      </c>
      <c r="X447" s="47">
        <v>1.3093695152529992</v>
      </c>
      <c r="Y447" s="50" t="s">
        <v>69</v>
      </c>
      <c r="Z447" s="50" t="s">
        <v>69</v>
      </c>
      <c r="AA447" s="50" t="s">
        <v>69</v>
      </c>
      <c r="AB447" s="50" t="s">
        <v>69</v>
      </c>
      <c r="AC447" s="34" t="str">
        <f t="shared" ref="AC447:AP447" si="447">LET(
  skater, IFERROR(INDEX(AllProj, MATCH($E447, AllProjNames, 0), MATCH(AC$2, AllProjCats, 0) + 1), ""),
  goalie, IFERROR(INDEX(AllGProj, MATCH($E447, AllGProjNames, 0), MATCH(AC$2, AllGProjCats, 0) + 1), ""),
  val, IF(skater &lt;&gt; "", skater, goalie),
  IF(OR($E447="", AC$2="", val=""), "", val * AC$1)
)</f>
        <v/>
      </c>
      <c r="AD447" s="34" t="str">
        <f t="shared" si="447"/>
        <v/>
      </c>
      <c r="AE447" s="34" t="str">
        <f t="shared" si="447"/>
        <v/>
      </c>
      <c r="AF447" s="34" t="str">
        <f t="shared" si="447"/>
        <v/>
      </c>
      <c r="AG447" s="34" t="str">
        <f t="shared" si="447"/>
        <v/>
      </c>
      <c r="AH447" s="34" t="str">
        <f t="shared" si="447"/>
        <v/>
      </c>
      <c r="AI447" s="34" t="str">
        <f t="shared" si="447"/>
        <v/>
      </c>
      <c r="AJ447" s="34" t="str">
        <f t="shared" si="447"/>
        <v/>
      </c>
      <c r="AK447" s="34" t="str">
        <f t="shared" si="447"/>
        <v/>
      </c>
      <c r="AL447" s="34" t="str">
        <f t="shared" si="447"/>
        <v/>
      </c>
      <c r="AM447" s="34" t="str">
        <f t="shared" si="447"/>
        <v/>
      </c>
      <c r="AN447" s="34" t="str">
        <f t="shared" si="447"/>
        <v/>
      </c>
      <c r="AO447" s="34" t="str">
        <f t="shared" si="447"/>
        <v/>
      </c>
      <c r="AP447" s="34" t="str">
        <f t="shared" si="447"/>
        <v/>
      </c>
      <c r="AQ447" s="76" t="s">
        <v>486</v>
      </c>
      <c r="AR447" s="77"/>
      <c r="AS447" s="77"/>
      <c r="AT447" s="77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77"/>
      <c r="BJ447" s="77"/>
      <c r="BK447" s="77"/>
      <c r="BL447" s="77"/>
      <c r="BM447" s="78"/>
    </row>
    <row r="448">
      <c r="A448" s="79">
        <v>2.5714285714285716</v>
      </c>
      <c r="B448" s="79" t="b">
        <v>0</v>
      </c>
      <c r="C448" s="79" t="b">
        <f t="shared" si="3"/>
        <v>0</v>
      </c>
      <c r="D448" s="80" t="s">
        <v>1565</v>
      </c>
      <c r="E448" s="81" t="s">
        <v>1056</v>
      </c>
      <c r="F448" s="82" t="s">
        <v>1419</v>
      </c>
      <c r="G448" s="35" t="s">
        <v>837</v>
      </c>
      <c r="H448" s="37">
        <v>-8.565928023947587</v>
      </c>
      <c r="I448" s="37">
        <v>-3.0360692520186854</v>
      </c>
      <c r="J448" s="83" t="s">
        <v>2112</v>
      </c>
      <c r="K448" s="35">
        <v>30.3</v>
      </c>
      <c r="L448" s="79">
        <v>76.0</v>
      </c>
      <c r="M448" s="84">
        <v>23.0</v>
      </c>
      <c r="N448" s="84">
        <v>7.0</v>
      </c>
      <c r="O448" s="85">
        <v>-1.9671340304086349</v>
      </c>
      <c r="P448" s="85">
        <v>-1.4466501191471806</v>
      </c>
      <c r="Q448" s="85">
        <v>1.5257729013905938</v>
      </c>
      <c r="R448" s="85">
        <v>-1.0957853721611213</v>
      </c>
      <c r="S448" s="85">
        <v>-1.72461069241107</v>
      </c>
      <c r="T448" s="85">
        <v>-0.16952108464970286</v>
      </c>
      <c r="U448" s="85">
        <v>-1.4947883329940477</v>
      </c>
      <c r="V448" s="85">
        <v>0.0</v>
      </c>
      <c r="W448" s="85">
        <v>-1.5939775197289512</v>
      </c>
      <c r="X448" s="85">
        <v>-0.5992337738374719</v>
      </c>
      <c r="Y448" s="50" t="s">
        <v>69</v>
      </c>
      <c r="Z448" s="50" t="s">
        <v>69</v>
      </c>
      <c r="AA448" s="50" t="s">
        <v>69</v>
      </c>
      <c r="AB448" s="50" t="s">
        <v>69</v>
      </c>
      <c r="AC448" s="34" t="str">
        <f t="shared" ref="AC448:AP448" si="448">LET(
  skater, IFERROR(INDEX(AllProj, MATCH($E448, AllProjNames, 0), MATCH(AC$2, AllProjCats, 0) + 1), ""),
  goalie, IFERROR(INDEX(AllGProj, MATCH($E448, AllGProjNames, 0), MATCH(AC$2, AllGProjCats, 0) + 1), ""),
  val, IF(skater &lt;&gt; "", skater, goalie),
  IF(OR($E448="", AC$2="", val=""), "", val * AC$1)
)</f>
        <v/>
      </c>
      <c r="AD448" s="34" t="str">
        <f t="shared" si="448"/>
        <v/>
      </c>
      <c r="AE448" s="34" t="str">
        <f t="shared" si="448"/>
        <v/>
      </c>
      <c r="AF448" s="34" t="str">
        <f t="shared" si="448"/>
        <v/>
      </c>
      <c r="AG448" s="34" t="str">
        <f t="shared" si="448"/>
        <v/>
      </c>
      <c r="AH448" s="34" t="str">
        <f t="shared" si="448"/>
        <v/>
      </c>
      <c r="AI448" s="34" t="str">
        <f t="shared" si="448"/>
        <v/>
      </c>
      <c r="AJ448" s="34" t="str">
        <f t="shared" si="448"/>
        <v/>
      </c>
      <c r="AK448" s="34" t="str">
        <f t="shared" si="448"/>
        <v/>
      </c>
      <c r="AL448" s="34" t="str">
        <f t="shared" si="448"/>
        <v/>
      </c>
      <c r="AM448" s="34" t="str">
        <f t="shared" si="448"/>
        <v/>
      </c>
      <c r="AN448" s="34" t="str">
        <f t="shared" si="448"/>
        <v/>
      </c>
      <c r="AO448" s="34" t="str">
        <f t="shared" si="448"/>
        <v/>
      </c>
      <c r="AP448" s="34" t="str">
        <f t="shared" si="448"/>
        <v/>
      </c>
      <c r="AQ448" s="76" t="s">
        <v>487</v>
      </c>
      <c r="AR448" s="77"/>
      <c r="AS448" s="77"/>
      <c r="AT448" s="77"/>
      <c r="AU448" s="77"/>
      <c r="AV448" s="77"/>
      <c r="AW448" s="77"/>
      <c r="AX448" s="77"/>
      <c r="AY448" s="77"/>
      <c r="AZ448" s="77"/>
      <c r="BA448" s="77"/>
      <c r="BB448" s="77"/>
      <c r="BC448" s="77"/>
      <c r="BD448" s="77"/>
      <c r="BE448" s="77"/>
      <c r="BF448" s="77"/>
      <c r="BG448" s="77"/>
      <c r="BH448" s="77"/>
      <c r="BI448" s="77"/>
      <c r="BJ448" s="77"/>
      <c r="BK448" s="77"/>
      <c r="BL448" s="77"/>
      <c r="BM448" s="78"/>
    </row>
    <row r="449">
      <c r="A449" s="41">
        <v>2.5714285714285716</v>
      </c>
      <c r="B449" s="41" t="b">
        <v>0</v>
      </c>
      <c r="C449" s="41" t="b">
        <f t="shared" si="3"/>
        <v>0</v>
      </c>
      <c r="D449" s="42" t="s">
        <v>1565</v>
      </c>
      <c r="E449" s="43" t="s">
        <v>954</v>
      </c>
      <c r="F449" s="44" t="s">
        <v>1489</v>
      </c>
      <c r="G449" s="29" t="s">
        <v>837</v>
      </c>
      <c r="H449" s="32">
        <v>-8.575746670980914</v>
      </c>
      <c r="I449" s="32">
        <v>-3.045887899052013</v>
      </c>
      <c r="J449" s="45" t="s">
        <v>2113</v>
      </c>
      <c r="K449" s="29">
        <v>33.2</v>
      </c>
      <c r="L449" s="41">
        <v>79.85714285714286</v>
      </c>
      <c r="M449" s="46">
        <v>28.0</v>
      </c>
      <c r="N449" s="46">
        <v>7.0</v>
      </c>
      <c r="O449" s="47">
        <v>-2.1899046960523543</v>
      </c>
      <c r="P449" s="47">
        <v>-1.5417683763239582</v>
      </c>
      <c r="Q449" s="47">
        <v>0.20905398276904502</v>
      </c>
      <c r="R449" s="47">
        <v>-1.1934826246430004</v>
      </c>
      <c r="S449" s="47">
        <v>-1.7152762033664064</v>
      </c>
      <c r="T449" s="47">
        <v>-0.16952108464970286</v>
      </c>
      <c r="U449" s="47">
        <v>-1.739926291970871</v>
      </c>
      <c r="V449" s="47">
        <v>0.0</v>
      </c>
      <c r="W449" s="47">
        <v>-0.7456190855403472</v>
      </c>
      <c r="X449" s="47">
        <v>0.5106977087966823</v>
      </c>
      <c r="Y449" s="50" t="s">
        <v>69</v>
      </c>
      <c r="Z449" s="50" t="s">
        <v>69</v>
      </c>
      <c r="AA449" s="50" t="s">
        <v>69</v>
      </c>
      <c r="AB449" s="50" t="s">
        <v>69</v>
      </c>
      <c r="AC449" s="34" t="str">
        <f t="shared" ref="AC449:AP449" si="449">LET(
  skater, IFERROR(INDEX(AllProj, MATCH($E449, AllProjNames, 0), MATCH(AC$2, AllProjCats, 0) + 1), ""),
  goalie, IFERROR(INDEX(AllGProj, MATCH($E449, AllGProjNames, 0), MATCH(AC$2, AllGProjCats, 0) + 1), ""),
  val, IF(skater &lt;&gt; "", skater, goalie),
  IF(OR($E449="", AC$2="", val=""), "", val * AC$1)
)</f>
        <v/>
      </c>
      <c r="AD449" s="34" t="str">
        <f t="shared" si="449"/>
        <v/>
      </c>
      <c r="AE449" s="34" t="str">
        <f t="shared" si="449"/>
        <v/>
      </c>
      <c r="AF449" s="34" t="str">
        <f t="shared" si="449"/>
        <v/>
      </c>
      <c r="AG449" s="34" t="str">
        <f t="shared" si="449"/>
        <v/>
      </c>
      <c r="AH449" s="34" t="str">
        <f t="shared" si="449"/>
        <v/>
      </c>
      <c r="AI449" s="34" t="str">
        <f t="shared" si="449"/>
        <v/>
      </c>
      <c r="AJ449" s="34" t="str">
        <f t="shared" si="449"/>
        <v/>
      </c>
      <c r="AK449" s="34" t="str">
        <f t="shared" si="449"/>
        <v/>
      </c>
      <c r="AL449" s="34" t="str">
        <f t="shared" si="449"/>
        <v/>
      </c>
      <c r="AM449" s="34" t="str">
        <f t="shared" si="449"/>
        <v/>
      </c>
      <c r="AN449" s="34" t="str">
        <f t="shared" si="449"/>
        <v/>
      </c>
      <c r="AO449" s="34" t="str">
        <f t="shared" si="449"/>
        <v/>
      </c>
      <c r="AP449" s="34" t="str">
        <f t="shared" si="449"/>
        <v/>
      </c>
      <c r="AQ449" s="76" t="s">
        <v>488</v>
      </c>
      <c r="AR449" s="77"/>
      <c r="AS449" s="77"/>
      <c r="AT449" s="77"/>
      <c r="AU449" s="77"/>
      <c r="AV449" s="77"/>
      <c r="AW449" s="77"/>
      <c r="AX449" s="77"/>
      <c r="AY449" s="77"/>
      <c r="AZ449" s="77"/>
      <c r="BA449" s="77"/>
      <c r="BB449" s="77"/>
      <c r="BC449" s="77"/>
      <c r="BD449" s="77"/>
      <c r="BE449" s="77"/>
      <c r="BF449" s="77"/>
      <c r="BG449" s="77"/>
      <c r="BH449" s="77"/>
      <c r="BI449" s="77"/>
      <c r="BJ449" s="77"/>
      <c r="BK449" s="77"/>
      <c r="BL449" s="77"/>
      <c r="BM449" s="78"/>
    </row>
    <row r="450">
      <c r="A450" s="79">
        <v>2.5</v>
      </c>
      <c r="B450" s="79" t="b">
        <v>0</v>
      </c>
      <c r="C450" s="79" t="b">
        <f t="shared" si="3"/>
        <v>0</v>
      </c>
      <c r="D450" s="80" t="s">
        <v>1565</v>
      </c>
      <c r="E450" s="81" t="s">
        <v>915</v>
      </c>
      <c r="F450" s="82" t="s">
        <v>1451</v>
      </c>
      <c r="G450" s="35" t="s">
        <v>284</v>
      </c>
      <c r="H450" s="37">
        <v>-8.605137190289627</v>
      </c>
      <c r="I450" s="37">
        <v>-3.5670711701065416</v>
      </c>
      <c r="J450" s="83" t="s">
        <v>2114</v>
      </c>
      <c r="K450" s="35">
        <v>32.4</v>
      </c>
      <c r="L450" s="79">
        <v>79.0</v>
      </c>
      <c r="M450" s="84">
        <v>29.0</v>
      </c>
      <c r="N450" s="84">
        <v>7.0</v>
      </c>
      <c r="O450" s="85">
        <v>-1.776701042035778</v>
      </c>
      <c r="P450" s="85">
        <v>-2.2702350288485484</v>
      </c>
      <c r="Q450" s="96" t="s">
        <v>69</v>
      </c>
      <c r="R450" s="85">
        <v>-0.998088119679242</v>
      </c>
      <c r="S450" s="96" t="s">
        <v>69</v>
      </c>
      <c r="T450" s="96" t="s">
        <v>69</v>
      </c>
      <c r="U450" s="85">
        <v>-1.4270960815875788</v>
      </c>
      <c r="V450" s="96" t="s">
        <v>69</v>
      </c>
      <c r="W450" s="85">
        <v>-0.7145887218329654</v>
      </c>
      <c r="X450" s="85">
        <v>-1.418428196305515</v>
      </c>
      <c r="Y450" s="50" t="s">
        <v>69</v>
      </c>
      <c r="Z450" s="50" t="s">
        <v>69</v>
      </c>
      <c r="AA450" s="50" t="s">
        <v>69</v>
      </c>
      <c r="AB450" s="50" t="s">
        <v>69</v>
      </c>
      <c r="AC450" s="34" t="str">
        <f t="shared" ref="AC450:AP450" si="450">LET(
  skater, IFERROR(INDEX(AllProj, MATCH($E450, AllProjNames, 0), MATCH(AC$2, AllProjCats, 0) + 1), ""),
  goalie, IFERROR(INDEX(AllGProj, MATCH($E450, AllGProjNames, 0), MATCH(AC$2, AllGProjCats, 0) + 1), ""),
  val, IF(skater &lt;&gt; "", skater, goalie),
  IF(OR($E450="", AC$2="", val=""), "", val * AC$1)
)</f>
        <v/>
      </c>
      <c r="AD450" s="34" t="str">
        <f t="shared" si="450"/>
        <v/>
      </c>
      <c r="AE450" s="34" t="str">
        <f t="shared" si="450"/>
        <v/>
      </c>
      <c r="AF450" s="34" t="str">
        <f t="shared" si="450"/>
        <v/>
      </c>
      <c r="AG450" s="34" t="str">
        <f t="shared" si="450"/>
        <v/>
      </c>
      <c r="AH450" s="34" t="str">
        <f t="shared" si="450"/>
        <v/>
      </c>
      <c r="AI450" s="34" t="str">
        <f t="shared" si="450"/>
        <v/>
      </c>
      <c r="AJ450" s="34" t="str">
        <f t="shared" si="450"/>
        <v/>
      </c>
      <c r="AK450" s="34" t="str">
        <f t="shared" si="450"/>
        <v/>
      </c>
      <c r="AL450" s="34" t="str">
        <f t="shared" si="450"/>
        <v/>
      </c>
      <c r="AM450" s="34" t="str">
        <f t="shared" si="450"/>
        <v/>
      </c>
      <c r="AN450" s="34" t="str">
        <f t="shared" si="450"/>
        <v/>
      </c>
      <c r="AO450" s="34" t="str">
        <f t="shared" si="450"/>
        <v/>
      </c>
      <c r="AP450" s="34" t="str">
        <f t="shared" si="450"/>
        <v/>
      </c>
      <c r="AQ450" s="76" t="s">
        <v>489</v>
      </c>
      <c r="AR450" s="77"/>
      <c r="AS450" s="77"/>
      <c r="AT450" s="77"/>
      <c r="AU450" s="77"/>
      <c r="AV450" s="77"/>
      <c r="AW450" s="77"/>
      <c r="AX450" s="77"/>
      <c r="AY450" s="77"/>
      <c r="AZ450" s="77"/>
      <c r="BA450" s="77"/>
      <c r="BB450" s="77"/>
      <c r="BC450" s="77"/>
      <c r="BD450" s="77"/>
      <c r="BE450" s="77"/>
      <c r="BF450" s="77"/>
      <c r="BG450" s="77"/>
      <c r="BH450" s="77"/>
      <c r="BI450" s="77"/>
      <c r="BJ450" s="77"/>
      <c r="BK450" s="77"/>
      <c r="BL450" s="77"/>
      <c r="BM450" s="78"/>
    </row>
    <row r="451">
      <c r="A451" s="41" t="s">
        <v>69</v>
      </c>
      <c r="B451" s="41" t="b">
        <v>0</v>
      </c>
      <c r="C451" s="41" t="b">
        <f t="shared" si="3"/>
        <v>1</v>
      </c>
      <c r="D451" s="42" t="s">
        <v>826</v>
      </c>
      <c r="E451" s="43" t="s">
        <v>2115</v>
      </c>
      <c r="F451" s="44" t="s">
        <v>1401</v>
      </c>
      <c r="G451" s="29" t="s">
        <v>830</v>
      </c>
      <c r="H451" s="32">
        <v>-8.628509363008883</v>
      </c>
      <c r="I451" s="32">
        <v>-3.240629238096144</v>
      </c>
      <c r="J451" s="45" t="s">
        <v>2116</v>
      </c>
      <c r="K451" s="29">
        <v>31.5</v>
      </c>
      <c r="L451" s="41">
        <v>78.42562500000001</v>
      </c>
      <c r="M451" s="46">
        <v>25.0</v>
      </c>
      <c r="N451" s="46">
        <v>7.0</v>
      </c>
      <c r="O451" s="47">
        <v>-0.6748790327826019</v>
      </c>
      <c r="P451" s="47">
        <v>-1.443622831548771</v>
      </c>
      <c r="Q451" s="47">
        <v>-1.0104762622483108</v>
      </c>
      <c r="R451" s="47">
        <v>-1.0710731873117563</v>
      </c>
      <c r="S451" s="47">
        <v>-1.2759414023179654</v>
      </c>
      <c r="T451" s="47">
        <v>-0.556379944252627</v>
      </c>
      <c r="U451" s="47">
        <v>-1.2249717067785844</v>
      </c>
      <c r="V451" s="47">
        <v>0.846134534407309</v>
      </c>
      <c r="W451" s="47">
        <v>-0.5886563432825934</v>
      </c>
      <c r="X451" s="47">
        <v>-1.6286431868929812</v>
      </c>
      <c r="Y451" s="50" t="s">
        <v>69</v>
      </c>
      <c r="Z451" s="50" t="s">
        <v>69</v>
      </c>
      <c r="AA451" s="50" t="s">
        <v>69</v>
      </c>
      <c r="AB451" s="50" t="s">
        <v>69</v>
      </c>
      <c r="AC451" s="34" t="str">
        <f t="shared" ref="AC451:AP451" si="451">LET(
  skater, IFERROR(INDEX(AllProj, MATCH($E451, AllProjNames, 0), MATCH(AC$2, AllProjCats, 0) + 1), ""),
  goalie, IFERROR(INDEX(AllGProj, MATCH($E451, AllGProjNames, 0), MATCH(AC$2, AllGProjCats, 0) + 1), ""),
  val, IF(skater &lt;&gt; "", skater, goalie),
  IF(OR($E451="", AC$2="", val=""), "", val * AC$1)
)</f>
        <v/>
      </c>
      <c r="AD451" s="34" t="str">
        <f t="shared" si="451"/>
        <v/>
      </c>
      <c r="AE451" s="34" t="str">
        <f t="shared" si="451"/>
        <v/>
      </c>
      <c r="AF451" s="34" t="str">
        <f t="shared" si="451"/>
        <v/>
      </c>
      <c r="AG451" s="34" t="str">
        <f t="shared" si="451"/>
        <v/>
      </c>
      <c r="AH451" s="34" t="str">
        <f t="shared" si="451"/>
        <v/>
      </c>
      <c r="AI451" s="34" t="str">
        <f t="shared" si="451"/>
        <v/>
      </c>
      <c r="AJ451" s="34" t="str">
        <f t="shared" si="451"/>
        <v/>
      </c>
      <c r="AK451" s="34" t="str">
        <f t="shared" si="451"/>
        <v/>
      </c>
      <c r="AL451" s="34" t="str">
        <f t="shared" si="451"/>
        <v/>
      </c>
      <c r="AM451" s="34" t="str">
        <f t="shared" si="451"/>
        <v/>
      </c>
      <c r="AN451" s="34" t="str">
        <f t="shared" si="451"/>
        <v/>
      </c>
      <c r="AO451" s="34" t="str">
        <f t="shared" si="451"/>
        <v/>
      </c>
      <c r="AP451" s="34" t="str">
        <f t="shared" si="451"/>
        <v/>
      </c>
      <c r="AQ451" s="76" t="s">
        <v>490</v>
      </c>
      <c r="AR451" s="77"/>
      <c r="AS451" s="77"/>
      <c r="AT451" s="77"/>
      <c r="AU451" s="77"/>
      <c r="AV451" s="77"/>
      <c r="AW451" s="77"/>
      <c r="AX451" s="77"/>
      <c r="AY451" s="77"/>
      <c r="AZ451" s="77"/>
      <c r="BA451" s="77"/>
      <c r="BB451" s="77"/>
      <c r="BC451" s="77"/>
      <c r="BD451" s="77"/>
      <c r="BE451" s="77"/>
      <c r="BF451" s="77"/>
      <c r="BG451" s="77"/>
      <c r="BH451" s="77"/>
      <c r="BI451" s="77"/>
      <c r="BJ451" s="77"/>
      <c r="BK451" s="77"/>
      <c r="BL451" s="77"/>
      <c r="BM451" s="78"/>
    </row>
    <row r="452">
      <c r="A452" s="79">
        <v>2.642857142857143</v>
      </c>
      <c r="B452" s="79" t="b">
        <v>0</v>
      </c>
      <c r="C452" s="79" t="b">
        <f t="shared" si="3"/>
        <v>0</v>
      </c>
      <c r="D452" s="80" t="s">
        <v>1565</v>
      </c>
      <c r="E452" s="81" t="s">
        <v>1226</v>
      </c>
      <c r="F452" s="82" t="s">
        <v>1454</v>
      </c>
      <c r="G452" s="35" t="s">
        <v>837</v>
      </c>
      <c r="H452" s="37">
        <v>-8.74060942403462</v>
      </c>
      <c r="I452" s="37">
        <v>-3.2107506521057187</v>
      </c>
      <c r="J452" s="83" t="s">
        <v>2117</v>
      </c>
      <c r="K452" s="35">
        <v>23.0</v>
      </c>
      <c r="L452" s="79">
        <v>79.4675</v>
      </c>
      <c r="M452" s="84">
        <v>25.0</v>
      </c>
      <c r="N452" s="84">
        <v>6.0</v>
      </c>
      <c r="O452" s="85">
        <v>-1.5951629042339823</v>
      </c>
      <c r="P452" s="85">
        <v>-1.1372538223727644</v>
      </c>
      <c r="Q452" s="85">
        <v>-0.9132185504819736</v>
      </c>
      <c r="R452" s="85">
        <v>-0.8691540255407035</v>
      </c>
      <c r="S452" s="85">
        <v>-1.1786170434010028</v>
      </c>
      <c r="T452" s="85">
        <v>-0.7397402632010309</v>
      </c>
      <c r="U452" s="85">
        <v>-0.6461176533171282</v>
      </c>
      <c r="V452" s="85">
        <v>0.0</v>
      </c>
      <c r="W452" s="85">
        <v>-1.8164229451924216</v>
      </c>
      <c r="X452" s="85">
        <v>0.15507778370638717</v>
      </c>
      <c r="Y452" s="50" t="s">
        <v>69</v>
      </c>
      <c r="Z452" s="50" t="s">
        <v>69</v>
      </c>
      <c r="AA452" s="50" t="s">
        <v>69</v>
      </c>
      <c r="AB452" s="50" t="s">
        <v>69</v>
      </c>
      <c r="AC452" s="34" t="str">
        <f t="shared" ref="AC452:AP452" si="452">LET(
  skater, IFERROR(INDEX(AllProj, MATCH($E452, AllProjNames, 0), MATCH(AC$2, AllProjCats, 0) + 1), ""),
  goalie, IFERROR(INDEX(AllGProj, MATCH($E452, AllGProjNames, 0), MATCH(AC$2, AllGProjCats, 0) + 1), ""),
  val, IF(skater &lt;&gt; "", skater, goalie),
  IF(OR($E452="", AC$2="", val=""), "", val * AC$1)
)</f>
        <v/>
      </c>
      <c r="AD452" s="34" t="str">
        <f t="shared" si="452"/>
        <v/>
      </c>
      <c r="AE452" s="34" t="str">
        <f t="shared" si="452"/>
        <v/>
      </c>
      <c r="AF452" s="34" t="str">
        <f t="shared" si="452"/>
        <v/>
      </c>
      <c r="AG452" s="34" t="str">
        <f t="shared" si="452"/>
        <v/>
      </c>
      <c r="AH452" s="34" t="str">
        <f t="shared" si="452"/>
        <v/>
      </c>
      <c r="AI452" s="34" t="str">
        <f t="shared" si="452"/>
        <v/>
      </c>
      <c r="AJ452" s="34" t="str">
        <f t="shared" si="452"/>
        <v/>
      </c>
      <c r="AK452" s="34" t="str">
        <f t="shared" si="452"/>
        <v/>
      </c>
      <c r="AL452" s="34" t="str">
        <f t="shared" si="452"/>
        <v/>
      </c>
      <c r="AM452" s="34" t="str">
        <f t="shared" si="452"/>
        <v/>
      </c>
      <c r="AN452" s="34" t="str">
        <f t="shared" si="452"/>
        <v/>
      </c>
      <c r="AO452" s="34" t="str">
        <f t="shared" si="452"/>
        <v/>
      </c>
      <c r="AP452" s="34" t="str">
        <f t="shared" si="452"/>
        <v/>
      </c>
      <c r="AQ452" s="76" t="s">
        <v>491</v>
      </c>
      <c r="AR452" s="77"/>
      <c r="AS452" s="77"/>
      <c r="AT452" s="77"/>
      <c r="AU452" s="77"/>
      <c r="AV452" s="77"/>
      <c r="AW452" s="77"/>
      <c r="AX452" s="77"/>
      <c r="AY452" s="77"/>
      <c r="AZ452" s="77"/>
      <c r="BA452" s="77"/>
      <c r="BB452" s="77"/>
      <c r="BC452" s="77"/>
      <c r="BD452" s="77"/>
      <c r="BE452" s="77"/>
      <c r="BF452" s="77"/>
      <c r="BG452" s="77"/>
      <c r="BH452" s="77"/>
      <c r="BI452" s="77"/>
      <c r="BJ452" s="77"/>
      <c r="BK452" s="77"/>
      <c r="BL452" s="77"/>
      <c r="BM452" s="78"/>
    </row>
    <row r="453">
      <c r="A453" s="41">
        <v>2.642857142857143</v>
      </c>
      <c r="B453" s="41" t="b">
        <v>0</v>
      </c>
      <c r="C453" s="41" t="b">
        <f t="shared" si="3"/>
        <v>0</v>
      </c>
      <c r="D453" s="42" t="s">
        <v>1565</v>
      </c>
      <c r="E453" s="43" t="s">
        <v>1122</v>
      </c>
      <c r="F453" s="44" t="s">
        <v>1482</v>
      </c>
      <c r="G453" s="29" t="s">
        <v>837</v>
      </c>
      <c r="H453" s="32">
        <v>-8.762414329136837</v>
      </c>
      <c r="I453" s="32">
        <v>-3.2325555572079354</v>
      </c>
      <c r="J453" s="45" t="s">
        <v>2118</v>
      </c>
      <c r="K453" s="29">
        <v>24.7</v>
      </c>
      <c r="L453" s="41">
        <v>76.57142857142857</v>
      </c>
      <c r="M453" s="46">
        <v>27.0</v>
      </c>
      <c r="N453" s="46">
        <v>6.0</v>
      </c>
      <c r="O453" s="47">
        <v>-2.1431947177722197</v>
      </c>
      <c r="P453" s="47">
        <v>-1.6740059533746006</v>
      </c>
      <c r="Q453" s="47">
        <v>-1.0334043936310806</v>
      </c>
      <c r="R453" s="47">
        <v>-0.39414146797307975</v>
      </c>
      <c r="S453" s="47">
        <v>-1.7059417143217428</v>
      </c>
      <c r="T453" s="47">
        <v>-0.16952108464970286</v>
      </c>
      <c r="U453" s="47">
        <v>-1.8036753054313315</v>
      </c>
      <c r="V453" s="47">
        <v>0.0</v>
      </c>
      <c r="W453" s="47">
        <v>-0.185901581686444</v>
      </c>
      <c r="X453" s="47">
        <v>0.3473718897033665</v>
      </c>
      <c r="Y453" s="50" t="s">
        <v>69</v>
      </c>
      <c r="Z453" s="50" t="s">
        <v>69</v>
      </c>
      <c r="AA453" s="50" t="s">
        <v>69</v>
      </c>
      <c r="AB453" s="50" t="s">
        <v>69</v>
      </c>
      <c r="AC453" s="34" t="str">
        <f t="shared" ref="AC453:AP453" si="453">LET(
  skater, IFERROR(INDEX(AllProj, MATCH($E453, AllProjNames, 0), MATCH(AC$2, AllProjCats, 0) + 1), ""),
  goalie, IFERROR(INDEX(AllGProj, MATCH($E453, AllGProjNames, 0), MATCH(AC$2, AllGProjCats, 0) + 1), ""),
  val, IF(skater &lt;&gt; "", skater, goalie),
  IF(OR($E453="", AC$2="", val=""), "", val * AC$1)
)</f>
        <v/>
      </c>
      <c r="AD453" s="34" t="str">
        <f t="shared" si="453"/>
        <v/>
      </c>
      <c r="AE453" s="34" t="str">
        <f t="shared" si="453"/>
        <v/>
      </c>
      <c r="AF453" s="34" t="str">
        <f t="shared" si="453"/>
        <v/>
      </c>
      <c r="AG453" s="34" t="str">
        <f t="shared" si="453"/>
        <v/>
      </c>
      <c r="AH453" s="34" t="str">
        <f t="shared" si="453"/>
        <v/>
      </c>
      <c r="AI453" s="34" t="str">
        <f t="shared" si="453"/>
        <v/>
      </c>
      <c r="AJ453" s="34" t="str">
        <f t="shared" si="453"/>
        <v/>
      </c>
      <c r="AK453" s="34" t="str">
        <f t="shared" si="453"/>
        <v/>
      </c>
      <c r="AL453" s="34" t="str">
        <f t="shared" si="453"/>
        <v/>
      </c>
      <c r="AM453" s="34" t="str">
        <f t="shared" si="453"/>
        <v/>
      </c>
      <c r="AN453" s="34" t="str">
        <f t="shared" si="453"/>
        <v/>
      </c>
      <c r="AO453" s="34" t="str">
        <f t="shared" si="453"/>
        <v/>
      </c>
      <c r="AP453" s="34" t="str">
        <f t="shared" si="453"/>
        <v/>
      </c>
      <c r="AQ453" s="76" t="s">
        <v>492</v>
      </c>
      <c r="AR453" s="77"/>
      <c r="AS453" s="77"/>
      <c r="AT453" s="77"/>
      <c r="AU453" s="77"/>
      <c r="AV453" s="77"/>
      <c r="AW453" s="77"/>
      <c r="AX453" s="77"/>
      <c r="AY453" s="77"/>
      <c r="AZ453" s="77"/>
      <c r="BA453" s="77"/>
      <c r="BB453" s="77"/>
      <c r="BC453" s="77"/>
      <c r="BD453" s="77"/>
      <c r="BE453" s="77"/>
      <c r="BF453" s="77"/>
      <c r="BG453" s="77"/>
      <c r="BH453" s="77"/>
      <c r="BI453" s="77"/>
      <c r="BJ453" s="77"/>
      <c r="BK453" s="77"/>
      <c r="BL453" s="77"/>
      <c r="BM453" s="78"/>
    </row>
    <row r="454">
      <c r="A454" s="79">
        <v>2.5714285714285716</v>
      </c>
      <c r="B454" s="79" t="b">
        <v>0</v>
      </c>
      <c r="C454" s="79" t="b">
        <f t="shared" si="3"/>
        <v>0</v>
      </c>
      <c r="D454" s="80" t="s">
        <v>1565</v>
      </c>
      <c r="E454" s="81" t="s">
        <v>1023</v>
      </c>
      <c r="F454" s="82" t="s">
        <v>1498</v>
      </c>
      <c r="G454" s="35" t="s">
        <v>284</v>
      </c>
      <c r="H454" s="37">
        <v>-8.771144826230476</v>
      </c>
      <c r="I454" s="37">
        <v>-3.7330788060473905</v>
      </c>
      <c r="J454" s="83" t="s">
        <v>2119</v>
      </c>
      <c r="K454" s="35">
        <v>27.2</v>
      </c>
      <c r="L454" s="79">
        <v>76.7535</v>
      </c>
      <c r="M454" s="84">
        <v>28.0</v>
      </c>
      <c r="N454" s="84">
        <v>7.0</v>
      </c>
      <c r="O454" s="85">
        <v>-1.1694245210983167</v>
      </c>
      <c r="P454" s="85">
        <v>-1.583556648913543</v>
      </c>
      <c r="Q454" s="85">
        <v>-1.0261629798466423</v>
      </c>
      <c r="R454" s="85">
        <v>-1.3613459910258974</v>
      </c>
      <c r="S454" s="85">
        <v>-1.663755036247219</v>
      </c>
      <c r="T454" s="85">
        <v>0.28976398914192</v>
      </c>
      <c r="U454" s="85">
        <v>-1.5295345307136616</v>
      </c>
      <c r="V454" s="85">
        <v>0.0</v>
      </c>
      <c r="W454" s="85">
        <v>0.42459982986122374</v>
      </c>
      <c r="X454" s="85">
        <v>-1.15172893738834</v>
      </c>
      <c r="Y454" s="50" t="s">
        <v>69</v>
      </c>
      <c r="Z454" s="50" t="s">
        <v>69</v>
      </c>
      <c r="AA454" s="50" t="s">
        <v>69</v>
      </c>
      <c r="AB454" s="50" t="s">
        <v>69</v>
      </c>
      <c r="AC454" s="34" t="str">
        <f t="shared" ref="AC454:AP454" si="454">LET(
  skater, IFERROR(INDEX(AllProj, MATCH($E454, AllProjNames, 0), MATCH(AC$2, AllProjCats, 0) + 1), ""),
  goalie, IFERROR(INDEX(AllGProj, MATCH($E454, AllGProjNames, 0), MATCH(AC$2, AllGProjCats, 0) + 1), ""),
  val, IF(skater &lt;&gt; "", skater, goalie),
  IF(OR($E454="", AC$2="", val=""), "", val * AC$1)
)</f>
        <v/>
      </c>
      <c r="AD454" s="34" t="str">
        <f t="shared" si="454"/>
        <v/>
      </c>
      <c r="AE454" s="34" t="str">
        <f t="shared" si="454"/>
        <v/>
      </c>
      <c r="AF454" s="34" t="str">
        <f t="shared" si="454"/>
        <v/>
      </c>
      <c r="AG454" s="34" t="str">
        <f t="shared" si="454"/>
        <v/>
      </c>
      <c r="AH454" s="34" t="str">
        <f t="shared" si="454"/>
        <v/>
      </c>
      <c r="AI454" s="34" t="str">
        <f t="shared" si="454"/>
        <v/>
      </c>
      <c r="AJ454" s="34" t="str">
        <f t="shared" si="454"/>
        <v/>
      </c>
      <c r="AK454" s="34" t="str">
        <f t="shared" si="454"/>
        <v/>
      </c>
      <c r="AL454" s="34" t="str">
        <f t="shared" si="454"/>
        <v/>
      </c>
      <c r="AM454" s="34" t="str">
        <f t="shared" si="454"/>
        <v/>
      </c>
      <c r="AN454" s="34" t="str">
        <f t="shared" si="454"/>
        <v/>
      </c>
      <c r="AO454" s="34" t="str">
        <f t="shared" si="454"/>
        <v/>
      </c>
      <c r="AP454" s="34" t="str">
        <f t="shared" si="454"/>
        <v/>
      </c>
      <c r="AQ454" s="76" t="s">
        <v>493</v>
      </c>
      <c r="AR454" s="77"/>
      <c r="AS454" s="77"/>
      <c r="AT454" s="77"/>
      <c r="AU454" s="77"/>
      <c r="AV454" s="77"/>
      <c r="AW454" s="77"/>
      <c r="AX454" s="77"/>
      <c r="AY454" s="77"/>
      <c r="AZ454" s="77"/>
      <c r="BA454" s="77"/>
      <c r="BB454" s="77"/>
      <c r="BC454" s="77"/>
      <c r="BD454" s="77"/>
      <c r="BE454" s="77"/>
      <c r="BF454" s="77"/>
      <c r="BG454" s="77"/>
      <c r="BH454" s="77"/>
      <c r="BI454" s="77"/>
      <c r="BJ454" s="77"/>
      <c r="BK454" s="77"/>
      <c r="BL454" s="77"/>
      <c r="BM454" s="78"/>
    </row>
    <row r="455">
      <c r="A455" s="41">
        <v>2.5714285714285716</v>
      </c>
      <c r="B455" s="41" t="b">
        <v>0</v>
      </c>
      <c r="C455" s="41" t="b">
        <f t="shared" si="3"/>
        <v>0</v>
      </c>
      <c r="D455" s="42" t="s">
        <v>1565</v>
      </c>
      <c r="E455" s="43" t="s">
        <v>1029</v>
      </c>
      <c r="F455" s="44" t="s">
        <v>1454</v>
      </c>
      <c r="G455" s="29" t="s">
        <v>284</v>
      </c>
      <c r="H455" s="32">
        <v>-8.7737499231424</v>
      </c>
      <c r="I455" s="32">
        <v>-3.735683902959315</v>
      </c>
      <c r="J455" s="45" t="s">
        <v>2120</v>
      </c>
      <c r="K455" s="29">
        <v>20.3</v>
      </c>
      <c r="L455" s="41">
        <v>78.70588235294117</v>
      </c>
      <c r="M455" s="46">
        <v>25.0</v>
      </c>
      <c r="N455" s="46">
        <v>6.0</v>
      </c>
      <c r="O455" s="47">
        <v>-0.8536828008930316</v>
      </c>
      <c r="P455" s="47">
        <v>-0.8787085124198014</v>
      </c>
      <c r="Q455" s="47">
        <v>-0.15104122280653123</v>
      </c>
      <c r="R455" s="47">
        <v>-1.6815492380908679</v>
      </c>
      <c r="S455" s="47">
        <v>-1.2718879737448827</v>
      </c>
      <c r="T455" s="47">
        <v>-0.47834939849571134</v>
      </c>
      <c r="U455" s="47">
        <v>-0.6998625776716362</v>
      </c>
      <c r="V455" s="47">
        <v>0.0</v>
      </c>
      <c r="W455" s="47">
        <v>-1.1532474709829237</v>
      </c>
      <c r="X455" s="47">
        <v>-1.6054207280370136</v>
      </c>
      <c r="Y455" s="50" t="s">
        <v>69</v>
      </c>
      <c r="Z455" s="50" t="s">
        <v>69</v>
      </c>
      <c r="AA455" s="50" t="s">
        <v>69</v>
      </c>
      <c r="AB455" s="50" t="s">
        <v>69</v>
      </c>
      <c r="AC455" s="34" t="str">
        <f t="shared" ref="AC455:AP455" si="455">LET(
  skater, IFERROR(INDEX(AllProj, MATCH($E455, AllProjNames, 0), MATCH(AC$2, AllProjCats, 0) + 1), ""),
  goalie, IFERROR(INDEX(AllGProj, MATCH($E455, AllGProjNames, 0), MATCH(AC$2, AllGProjCats, 0) + 1), ""),
  val, IF(skater &lt;&gt; "", skater, goalie),
  IF(OR($E455="", AC$2="", val=""), "", val * AC$1)
)</f>
        <v/>
      </c>
      <c r="AD455" s="34" t="str">
        <f t="shared" si="455"/>
        <v/>
      </c>
      <c r="AE455" s="34" t="str">
        <f t="shared" si="455"/>
        <v/>
      </c>
      <c r="AF455" s="34" t="str">
        <f t="shared" si="455"/>
        <v/>
      </c>
      <c r="AG455" s="34" t="str">
        <f t="shared" si="455"/>
        <v/>
      </c>
      <c r="AH455" s="34" t="str">
        <f t="shared" si="455"/>
        <v/>
      </c>
      <c r="AI455" s="34" t="str">
        <f t="shared" si="455"/>
        <v/>
      </c>
      <c r="AJ455" s="34" t="str">
        <f t="shared" si="455"/>
        <v/>
      </c>
      <c r="AK455" s="34" t="str">
        <f t="shared" si="455"/>
        <v/>
      </c>
      <c r="AL455" s="34" t="str">
        <f t="shared" si="455"/>
        <v/>
      </c>
      <c r="AM455" s="34" t="str">
        <f t="shared" si="455"/>
        <v/>
      </c>
      <c r="AN455" s="34" t="str">
        <f t="shared" si="455"/>
        <v/>
      </c>
      <c r="AO455" s="34" t="str">
        <f t="shared" si="455"/>
        <v/>
      </c>
      <c r="AP455" s="34" t="str">
        <f t="shared" si="455"/>
        <v/>
      </c>
      <c r="AQ455" s="76" t="s">
        <v>494</v>
      </c>
      <c r="AR455" s="77"/>
      <c r="AS455" s="77"/>
      <c r="AT455" s="77"/>
      <c r="AU455" s="77"/>
      <c r="AV455" s="77"/>
      <c r="AW455" s="77"/>
      <c r="AX455" s="77"/>
      <c r="AY455" s="77"/>
      <c r="AZ455" s="77"/>
      <c r="BA455" s="77"/>
      <c r="BB455" s="77"/>
      <c r="BC455" s="77"/>
      <c r="BD455" s="77"/>
      <c r="BE455" s="77"/>
      <c r="BF455" s="77"/>
      <c r="BG455" s="77"/>
      <c r="BH455" s="77"/>
      <c r="BI455" s="77"/>
      <c r="BJ455" s="77"/>
      <c r="BK455" s="77"/>
      <c r="BL455" s="77"/>
      <c r="BM455" s="78"/>
    </row>
    <row r="456">
      <c r="A456" s="79">
        <v>2.642857142857143</v>
      </c>
      <c r="B456" s="79" t="b">
        <v>0</v>
      </c>
      <c r="C456" s="79" t="b">
        <f t="shared" si="3"/>
        <v>0</v>
      </c>
      <c r="D456" s="80" t="s">
        <v>1565</v>
      </c>
      <c r="E456" s="81" t="s">
        <v>1133</v>
      </c>
      <c r="F456" s="82" t="s">
        <v>1436</v>
      </c>
      <c r="G456" s="35" t="s">
        <v>837</v>
      </c>
      <c r="H456" s="37">
        <v>-8.794354388772907</v>
      </c>
      <c r="I456" s="37">
        <v>-3.2644956168440062</v>
      </c>
      <c r="J456" s="83" t="s">
        <v>2121</v>
      </c>
      <c r="K456" s="35">
        <v>28.0</v>
      </c>
      <c r="L456" s="79">
        <v>80.71428571428571</v>
      </c>
      <c r="M456" s="84">
        <v>26.0</v>
      </c>
      <c r="N456" s="84">
        <v>5.0</v>
      </c>
      <c r="O456" s="85">
        <v>-2.046181685959632</v>
      </c>
      <c r="P456" s="85">
        <v>-1.4466501191471806</v>
      </c>
      <c r="Q456" s="85">
        <v>-2.8928008606332942</v>
      </c>
      <c r="R456" s="85">
        <v>-0.4119046047879668</v>
      </c>
      <c r="S456" s="85">
        <v>-1.7106089588440747</v>
      </c>
      <c r="T456" s="85">
        <v>-0.16952108464970286</v>
      </c>
      <c r="U456" s="85">
        <v>-1.8385072406210676</v>
      </c>
      <c r="V456" s="85">
        <v>0.0</v>
      </c>
      <c r="W456" s="85">
        <v>0.07639281342500846</v>
      </c>
      <c r="X456" s="85">
        <v>1.6454273524450043</v>
      </c>
      <c r="Y456" s="50" t="s">
        <v>69</v>
      </c>
      <c r="Z456" s="50" t="s">
        <v>69</v>
      </c>
      <c r="AA456" s="50" t="s">
        <v>69</v>
      </c>
      <c r="AB456" s="50" t="s">
        <v>69</v>
      </c>
      <c r="AC456" s="34" t="str">
        <f t="shared" ref="AC456:AP456" si="456">LET(
  skater, IFERROR(INDEX(AllProj, MATCH($E456, AllProjNames, 0), MATCH(AC$2, AllProjCats, 0) + 1), ""),
  goalie, IFERROR(INDEX(AllGProj, MATCH($E456, AllGProjNames, 0), MATCH(AC$2, AllGProjCats, 0) + 1), ""),
  val, IF(skater &lt;&gt; "", skater, goalie),
  IF(OR($E456="", AC$2="", val=""), "", val * AC$1)
)</f>
        <v/>
      </c>
      <c r="AD456" s="34" t="str">
        <f t="shared" si="456"/>
        <v/>
      </c>
      <c r="AE456" s="34" t="str">
        <f t="shared" si="456"/>
        <v/>
      </c>
      <c r="AF456" s="34" t="str">
        <f t="shared" si="456"/>
        <v/>
      </c>
      <c r="AG456" s="34" t="str">
        <f t="shared" si="456"/>
        <v/>
      </c>
      <c r="AH456" s="34" t="str">
        <f t="shared" si="456"/>
        <v/>
      </c>
      <c r="AI456" s="34" t="str">
        <f t="shared" si="456"/>
        <v/>
      </c>
      <c r="AJ456" s="34" t="str">
        <f t="shared" si="456"/>
        <v/>
      </c>
      <c r="AK456" s="34" t="str">
        <f t="shared" si="456"/>
        <v/>
      </c>
      <c r="AL456" s="34" t="str">
        <f t="shared" si="456"/>
        <v/>
      </c>
      <c r="AM456" s="34" t="str">
        <f t="shared" si="456"/>
        <v/>
      </c>
      <c r="AN456" s="34" t="str">
        <f t="shared" si="456"/>
        <v/>
      </c>
      <c r="AO456" s="34" t="str">
        <f t="shared" si="456"/>
        <v/>
      </c>
      <c r="AP456" s="34" t="str">
        <f t="shared" si="456"/>
        <v/>
      </c>
      <c r="AQ456" s="76" t="s">
        <v>495</v>
      </c>
      <c r="AR456" s="77"/>
      <c r="AS456" s="77"/>
      <c r="AT456" s="77"/>
      <c r="AU456" s="77"/>
      <c r="AV456" s="77"/>
      <c r="AW456" s="77"/>
      <c r="AX456" s="77"/>
      <c r="AY456" s="77"/>
      <c r="AZ456" s="77"/>
      <c r="BA456" s="77"/>
      <c r="BB456" s="77"/>
      <c r="BC456" s="77"/>
      <c r="BD456" s="77"/>
      <c r="BE456" s="77"/>
      <c r="BF456" s="77"/>
      <c r="BG456" s="77"/>
      <c r="BH456" s="77"/>
      <c r="BI456" s="77"/>
      <c r="BJ456" s="77"/>
      <c r="BK456" s="77"/>
      <c r="BL456" s="77"/>
      <c r="BM456" s="78"/>
    </row>
    <row r="457">
      <c r="A457" s="41">
        <v>2.5714285714285716</v>
      </c>
      <c r="B457" s="41" t="b">
        <v>0</v>
      </c>
      <c r="C457" s="41" t="b">
        <f t="shared" si="3"/>
        <v>0</v>
      </c>
      <c r="D457" s="42" t="s">
        <v>1565</v>
      </c>
      <c r="E457" s="43" t="s">
        <v>967</v>
      </c>
      <c r="F457" s="44" t="s">
        <v>1473</v>
      </c>
      <c r="G457" s="29" t="s">
        <v>832</v>
      </c>
      <c r="H457" s="32">
        <v>-8.79456702211909</v>
      </c>
      <c r="I457" s="32">
        <v>-3.3524294133912322</v>
      </c>
      <c r="J457" s="45" t="s">
        <v>2122</v>
      </c>
      <c r="K457" s="29">
        <v>20.0</v>
      </c>
      <c r="L457" s="41">
        <v>77.0</v>
      </c>
      <c r="M457" s="46">
        <v>25.0</v>
      </c>
      <c r="N457" s="46">
        <v>6.0</v>
      </c>
      <c r="O457" s="47">
        <v>-1.6509434082046461</v>
      </c>
      <c r="P457" s="47">
        <v>-0.6462647843669778</v>
      </c>
      <c r="Q457" s="94" t="s">
        <v>69</v>
      </c>
      <c r="R457" s="47">
        <v>-1.6819688870523963</v>
      </c>
      <c r="S457" s="94" t="s">
        <v>69</v>
      </c>
      <c r="T457" s="94" t="s">
        <v>69</v>
      </c>
      <c r="U457" s="47">
        <v>-1.17407164671874</v>
      </c>
      <c r="V457" s="94" t="s">
        <v>69</v>
      </c>
      <c r="W457" s="47">
        <v>-1.9236019492998169</v>
      </c>
      <c r="X457" s="47">
        <v>-1.717716346476512</v>
      </c>
      <c r="Y457" s="50" t="s">
        <v>69</v>
      </c>
      <c r="Z457" s="50" t="s">
        <v>69</v>
      </c>
      <c r="AA457" s="50" t="s">
        <v>69</v>
      </c>
      <c r="AB457" s="50" t="s">
        <v>69</v>
      </c>
      <c r="AC457" s="34" t="str">
        <f t="shared" ref="AC457:AP457" si="457">LET(
  skater, IFERROR(INDEX(AllProj, MATCH($E457, AllProjNames, 0), MATCH(AC$2, AllProjCats, 0) + 1), ""),
  goalie, IFERROR(INDEX(AllGProj, MATCH($E457, AllGProjNames, 0), MATCH(AC$2, AllGProjCats, 0) + 1), ""),
  val, IF(skater &lt;&gt; "", skater, goalie),
  IF(OR($E457="", AC$2="", val=""), "", val * AC$1)
)</f>
        <v/>
      </c>
      <c r="AD457" s="34" t="str">
        <f t="shared" si="457"/>
        <v/>
      </c>
      <c r="AE457" s="34" t="str">
        <f t="shared" si="457"/>
        <v/>
      </c>
      <c r="AF457" s="34" t="str">
        <f t="shared" si="457"/>
        <v/>
      </c>
      <c r="AG457" s="34" t="str">
        <f t="shared" si="457"/>
        <v/>
      </c>
      <c r="AH457" s="34" t="str">
        <f t="shared" si="457"/>
        <v/>
      </c>
      <c r="AI457" s="34" t="str">
        <f t="shared" si="457"/>
        <v/>
      </c>
      <c r="AJ457" s="34" t="str">
        <f t="shared" si="457"/>
        <v/>
      </c>
      <c r="AK457" s="34" t="str">
        <f t="shared" si="457"/>
        <v/>
      </c>
      <c r="AL457" s="34" t="str">
        <f t="shared" si="457"/>
        <v/>
      </c>
      <c r="AM457" s="34" t="str">
        <f t="shared" si="457"/>
        <v/>
      </c>
      <c r="AN457" s="34" t="str">
        <f t="shared" si="457"/>
        <v/>
      </c>
      <c r="AO457" s="34" t="str">
        <f t="shared" si="457"/>
        <v/>
      </c>
      <c r="AP457" s="34" t="str">
        <f t="shared" si="457"/>
        <v/>
      </c>
      <c r="AQ457" s="76" t="s">
        <v>496</v>
      </c>
      <c r="AR457" s="77"/>
      <c r="AS457" s="77"/>
      <c r="AT457" s="77"/>
      <c r="AU457" s="77"/>
      <c r="AV457" s="77"/>
      <c r="AW457" s="77"/>
      <c r="AX457" s="77"/>
      <c r="AY457" s="77"/>
      <c r="AZ457" s="77"/>
      <c r="BA457" s="77"/>
      <c r="BB457" s="77"/>
      <c r="BC457" s="77"/>
      <c r="BD457" s="77"/>
      <c r="BE457" s="77"/>
      <c r="BF457" s="77"/>
      <c r="BG457" s="77"/>
      <c r="BH457" s="77"/>
      <c r="BI457" s="77"/>
      <c r="BJ457" s="77"/>
      <c r="BK457" s="77"/>
      <c r="BL457" s="77"/>
      <c r="BM457" s="78"/>
    </row>
    <row r="458">
      <c r="A458" s="79">
        <v>2.5714285714285716</v>
      </c>
      <c r="B458" s="79" t="b">
        <v>0</v>
      </c>
      <c r="C458" s="79" t="b">
        <f t="shared" si="3"/>
        <v>0</v>
      </c>
      <c r="D458" s="80" t="s">
        <v>1565</v>
      </c>
      <c r="E458" s="81" t="s">
        <v>1060</v>
      </c>
      <c r="F458" s="82" t="s">
        <v>1401</v>
      </c>
      <c r="G458" s="35" t="s">
        <v>284</v>
      </c>
      <c r="H458" s="37">
        <v>-8.802921623860156</v>
      </c>
      <c r="I458" s="37">
        <v>-3.764855603677071</v>
      </c>
      <c r="J458" s="83" t="s">
        <v>2123</v>
      </c>
      <c r="K458" s="35">
        <v>32.1</v>
      </c>
      <c r="L458" s="79">
        <v>73.58500000000001</v>
      </c>
      <c r="M458" s="84">
        <v>25.0</v>
      </c>
      <c r="N458" s="84">
        <v>7.0</v>
      </c>
      <c r="O458" s="85">
        <v>-1.373311107036772</v>
      </c>
      <c r="P458" s="85">
        <v>-1.2651649299720735</v>
      </c>
      <c r="Q458" s="85">
        <v>-2.05612660695611</v>
      </c>
      <c r="R458" s="85">
        <v>-0.5577918175484332</v>
      </c>
      <c r="S458" s="85">
        <v>-1.6723370392640433</v>
      </c>
      <c r="T458" s="85">
        <v>1.0619527138959017</v>
      </c>
      <c r="U458" s="85">
        <v>-1.702356206042842</v>
      </c>
      <c r="V458" s="85">
        <v>0.8548760194053556</v>
      </c>
      <c r="W458" s="85">
        <v>-0.6286132293345876</v>
      </c>
      <c r="X458" s="85">
        <v>-1.4640494210065513</v>
      </c>
      <c r="Y458" s="50" t="s">
        <v>69</v>
      </c>
      <c r="Z458" s="50" t="s">
        <v>69</v>
      </c>
      <c r="AA458" s="50" t="s">
        <v>69</v>
      </c>
      <c r="AB458" s="50" t="s">
        <v>69</v>
      </c>
      <c r="AC458" s="34" t="str">
        <f t="shared" ref="AC458:AP458" si="458">LET(
  skater, IFERROR(INDEX(AllProj, MATCH($E458, AllProjNames, 0), MATCH(AC$2, AllProjCats, 0) + 1), ""),
  goalie, IFERROR(INDEX(AllGProj, MATCH($E458, AllGProjNames, 0), MATCH(AC$2, AllGProjCats, 0) + 1), ""),
  val, IF(skater &lt;&gt; "", skater, goalie),
  IF(OR($E458="", AC$2="", val=""), "", val * AC$1)
)</f>
        <v/>
      </c>
      <c r="AD458" s="34" t="str">
        <f t="shared" si="458"/>
        <v/>
      </c>
      <c r="AE458" s="34" t="str">
        <f t="shared" si="458"/>
        <v/>
      </c>
      <c r="AF458" s="34" t="str">
        <f t="shared" si="458"/>
        <v/>
      </c>
      <c r="AG458" s="34" t="str">
        <f t="shared" si="458"/>
        <v/>
      </c>
      <c r="AH458" s="34" t="str">
        <f t="shared" si="458"/>
        <v/>
      </c>
      <c r="AI458" s="34" t="str">
        <f t="shared" si="458"/>
        <v/>
      </c>
      <c r="AJ458" s="34" t="str">
        <f t="shared" si="458"/>
        <v/>
      </c>
      <c r="AK458" s="34" t="str">
        <f t="shared" si="458"/>
        <v/>
      </c>
      <c r="AL458" s="34" t="str">
        <f t="shared" si="458"/>
        <v/>
      </c>
      <c r="AM458" s="34" t="str">
        <f t="shared" si="458"/>
        <v/>
      </c>
      <c r="AN458" s="34" t="str">
        <f t="shared" si="458"/>
        <v/>
      </c>
      <c r="AO458" s="34" t="str">
        <f t="shared" si="458"/>
        <v/>
      </c>
      <c r="AP458" s="34" t="str">
        <f t="shared" si="458"/>
        <v/>
      </c>
      <c r="AQ458" s="76" t="s">
        <v>497</v>
      </c>
      <c r="AR458" s="77"/>
      <c r="AS458" s="77"/>
      <c r="AT458" s="77"/>
      <c r="AU458" s="77"/>
      <c r="AV458" s="77"/>
      <c r="AW458" s="77"/>
      <c r="AX458" s="77"/>
      <c r="AY458" s="77"/>
      <c r="AZ458" s="77"/>
      <c r="BA458" s="77"/>
      <c r="BB458" s="77"/>
      <c r="BC458" s="77"/>
      <c r="BD458" s="77"/>
      <c r="BE458" s="77"/>
      <c r="BF458" s="77"/>
      <c r="BG458" s="77"/>
      <c r="BH458" s="77"/>
      <c r="BI458" s="77"/>
      <c r="BJ458" s="77"/>
      <c r="BK458" s="77"/>
      <c r="BL458" s="77"/>
      <c r="BM458" s="78"/>
    </row>
    <row r="459">
      <c r="A459" s="41">
        <v>2.5714285714285716</v>
      </c>
      <c r="B459" s="41" t="b">
        <v>0</v>
      </c>
      <c r="C459" s="41" t="b">
        <f t="shared" si="3"/>
        <v>0</v>
      </c>
      <c r="D459" s="42" t="s">
        <v>1565</v>
      </c>
      <c r="E459" s="43" t="s">
        <v>1055</v>
      </c>
      <c r="F459" s="44" t="s">
        <v>1461</v>
      </c>
      <c r="G459" s="29" t="s">
        <v>832</v>
      </c>
      <c r="H459" s="32">
        <v>-8.811386613742918</v>
      </c>
      <c r="I459" s="32">
        <v>-3.369249005015061</v>
      </c>
      <c r="J459" s="45" t="s">
        <v>2124</v>
      </c>
      <c r="K459" s="29">
        <v>30.5</v>
      </c>
      <c r="L459" s="41">
        <v>79.93058823529411</v>
      </c>
      <c r="M459" s="46">
        <v>23.0</v>
      </c>
      <c r="N459" s="46">
        <v>6.0</v>
      </c>
      <c r="O459" s="47">
        <v>-0.7181731525614378</v>
      </c>
      <c r="P459" s="47">
        <v>-0.7488665495799566</v>
      </c>
      <c r="Q459" s="47">
        <v>-1.9589096733888907</v>
      </c>
      <c r="R459" s="47">
        <v>-0.6704546614902831</v>
      </c>
      <c r="S459" s="47">
        <v>-0.7192527534638683</v>
      </c>
      <c r="T459" s="47">
        <v>-0.402480184590546</v>
      </c>
      <c r="U459" s="47">
        <v>-0.34329249934126166</v>
      </c>
      <c r="V459" s="47">
        <v>0.0</v>
      </c>
      <c r="W459" s="47">
        <v>-1.6736683003061887</v>
      </c>
      <c r="X459" s="47">
        <v>-1.5762888390204841</v>
      </c>
      <c r="Y459" s="50" t="s">
        <v>69</v>
      </c>
      <c r="Z459" s="50" t="s">
        <v>69</v>
      </c>
      <c r="AA459" s="50" t="s">
        <v>69</v>
      </c>
      <c r="AB459" s="50" t="s">
        <v>69</v>
      </c>
      <c r="AC459" s="34" t="str">
        <f t="shared" ref="AC459:AP459" si="459">LET(
  skater, IFERROR(INDEX(AllProj, MATCH($E459, AllProjNames, 0), MATCH(AC$2, AllProjCats, 0) + 1), ""),
  goalie, IFERROR(INDEX(AllGProj, MATCH($E459, AllGProjNames, 0), MATCH(AC$2, AllGProjCats, 0) + 1), ""),
  val, IF(skater &lt;&gt; "", skater, goalie),
  IF(OR($E459="", AC$2="", val=""), "", val * AC$1)
)</f>
        <v/>
      </c>
      <c r="AD459" s="34" t="str">
        <f t="shared" si="459"/>
        <v/>
      </c>
      <c r="AE459" s="34" t="str">
        <f t="shared" si="459"/>
        <v/>
      </c>
      <c r="AF459" s="34" t="str">
        <f t="shared" si="459"/>
        <v/>
      </c>
      <c r="AG459" s="34" t="str">
        <f t="shared" si="459"/>
        <v/>
      </c>
      <c r="AH459" s="34" t="str">
        <f t="shared" si="459"/>
        <v/>
      </c>
      <c r="AI459" s="34" t="str">
        <f t="shared" si="459"/>
        <v/>
      </c>
      <c r="AJ459" s="34" t="str">
        <f t="shared" si="459"/>
        <v/>
      </c>
      <c r="AK459" s="34" t="str">
        <f t="shared" si="459"/>
        <v/>
      </c>
      <c r="AL459" s="34" t="str">
        <f t="shared" si="459"/>
        <v/>
      </c>
      <c r="AM459" s="34" t="str">
        <f t="shared" si="459"/>
        <v/>
      </c>
      <c r="AN459" s="34" t="str">
        <f t="shared" si="459"/>
        <v/>
      </c>
      <c r="AO459" s="34" t="str">
        <f t="shared" si="459"/>
        <v/>
      </c>
      <c r="AP459" s="34" t="str">
        <f t="shared" si="459"/>
        <v/>
      </c>
      <c r="AQ459" s="76" t="s">
        <v>498</v>
      </c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 s="77"/>
      <c r="BH459" s="77"/>
      <c r="BI459" s="77"/>
      <c r="BJ459" s="77"/>
      <c r="BK459" s="77"/>
      <c r="BL459" s="77"/>
      <c r="BM459" s="78"/>
    </row>
    <row r="460">
      <c r="A460" s="79">
        <v>2.5</v>
      </c>
      <c r="B460" s="79" t="b">
        <v>0</v>
      </c>
      <c r="C460" s="79" t="b">
        <f t="shared" si="3"/>
        <v>0</v>
      </c>
      <c r="D460" s="80" t="s">
        <v>1565</v>
      </c>
      <c r="E460" s="81" t="s">
        <v>913</v>
      </c>
      <c r="F460" s="82" t="s">
        <v>1411</v>
      </c>
      <c r="G460" s="35" t="s">
        <v>832</v>
      </c>
      <c r="H460" s="37">
        <v>-8.815741068820788</v>
      </c>
      <c r="I460" s="37">
        <v>-3.373603460092931</v>
      </c>
      <c r="J460" s="83" t="s">
        <v>2125</v>
      </c>
      <c r="K460" s="35">
        <v>24.5</v>
      </c>
      <c r="L460" s="79">
        <v>80.49875</v>
      </c>
      <c r="M460" s="84">
        <v>33.0</v>
      </c>
      <c r="N460" s="84">
        <v>8.0</v>
      </c>
      <c r="O460" s="85">
        <v>-0.8788922471361056</v>
      </c>
      <c r="P460" s="85">
        <v>-1.2165472897075986</v>
      </c>
      <c r="Q460" s="85">
        <v>0.20706374693493845</v>
      </c>
      <c r="R460" s="85">
        <v>-0.983804570019312</v>
      </c>
      <c r="S460" s="85">
        <v>-1.4022854034837373</v>
      </c>
      <c r="T460" s="85">
        <v>-0.7312465822591019</v>
      </c>
      <c r="U460" s="85">
        <v>-1.4115340593833425</v>
      </c>
      <c r="V460" s="85">
        <v>0.050771778207221945</v>
      </c>
      <c r="W460" s="85">
        <v>-0.8575900885792248</v>
      </c>
      <c r="X460" s="85">
        <v>-1.5916763533945273</v>
      </c>
      <c r="Y460" s="50" t="s">
        <v>69</v>
      </c>
      <c r="Z460" s="50" t="s">
        <v>69</v>
      </c>
      <c r="AA460" s="50" t="s">
        <v>69</v>
      </c>
      <c r="AB460" s="50" t="s">
        <v>69</v>
      </c>
      <c r="AC460" s="34" t="str">
        <f t="shared" ref="AC460:AP460" si="460">LET(
  skater, IFERROR(INDEX(AllProj, MATCH($E460, AllProjNames, 0), MATCH(AC$2, AllProjCats, 0) + 1), ""),
  goalie, IFERROR(INDEX(AllGProj, MATCH($E460, AllGProjNames, 0), MATCH(AC$2, AllGProjCats, 0) + 1), ""),
  val, IF(skater &lt;&gt; "", skater, goalie),
  IF(OR($E460="", AC$2="", val=""), "", val * AC$1)
)</f>
        <v/>
      </c>
      <c r="AD460" s="34" t="str">
        <f t="shared" si="460"/>
        <v/>
      </c>
      <c r="AE460" s="34" t="str">
        <f t="shared" si="460"/>
        <v/>
      </c>
      <c r="AF460" s="34" t="str">
        <f t="shared" si="460"/>
        <v/>
      </c>
      <c r="AG460" s="34" t="str">
        <f t="shared" si="460"/>
        <v/>
      </c>
      <c r="AH460" s="34" t="str">
        <f t="shared" si="460"/>
        <v/>
      </c>
      <c r="AI460" s="34" t="str">
        <f t="shared" si="460"/>
        <v/>
      </c>
      <c r="AJ460" s="34" t="str">
        <f t="shared" si="460"/>
        <v/>
      </c>
      <c r="AK460" s="34" t="str">
        <f t="shared" si="460"/>
        <v/>
      </c>
      <c r="AL460" s="34" t="str">
        <f t="shared" si="460"/>
        <v/>
      </c>
      <c r="AM460" s="34" t="str">
        <f t="shared" si="460"/>
        <v/>
      </c>
      <c r="AN460" s="34" t="str">
        <f t="shared" si="460"/>
        <v/>
      </c>
      <c r="AO460" s="34" t="str">
        <f t="shared" si="460"/>
        <v/>
      </c>
      <c r="AP460" s="34" t="str">
        <f t="shared" si="460"/>
        <v/>
      </c>
      <c r="AQ460" s="76" t="s">
        <v>499</v>
      </c>
      <c r="AR460" s="77"/>
      <c r="AS460" s="77"/>
      <c r="AT460" s="77"/>
      <c r="AU460" s="77"/>
      <c r="AV460" s="77"/>
      <c r="AW460" s="77"/>
      <c r="AX460" s="77"/>
      <c r="AY460" s="77"/>
      <c r="AZ460" s="77"/>
      <c r="BA460" s="77"/>
      <c r="BB460" s="77"/>
      <c r="BC460" s="77"/>
      <c r="BD460" s="77"/>
      <c r="BE460" s="77"/>
      <c r="BF460" s="77"/>
      <c r="BG460" s="77"/>
      <c r="BH460" s="77"/>
      <c r="BI460" s="77"/>
      <c r="BJ460" s="77"/>
      <c r="BK460" s="77"/>
      <c r="BL460" s="77"/>
      <c r="BM460" s="78"/>
    </row>
    <row r="461">
      <c r="A461" s="41">
        <v>2.642857142857143</v>
      </c>
      <c r="B461" s="41" t="b">
        <v>0</v>
      </c>
      <c r="C461" s="41" t="b">
        <f t="shared" si="3"/>
        <v>0</v>
      </c>
      <c r="D461" s="42" t="s">
        <v>1565</v>
      </c>
      <c r="E461" s="43" t="s">
        <v>1240</v>
      </c>
      <c r="F461" s="44" t="s">
        <v>1505</v>
      </c>
      <c r="G461" s="29" t="s">
        <v>837</v>
      </c>
      <c r="H461" s="32">
        <v>-8.82223784216345</v>
      </c>
      <c r="I461" s="32">
        <v>-3.2923790702345483</v>
      </c>
      <c r="J461" s="45" t="s">
        <v>2126</v>
      </c>
      <c r="K461" s="29">
        <v>22.7</v>
      </c>
      <c r="L461" s="41">
        <v>72.0</v>
      </c>
      <c r="M461" s="46">
        <v>30.0</v>
      </c>
      <c r="N461" s="46">
        <v>5.0</v>
      </c>
      <c r="O461" s="47">
        <v>-2.1288224167629473</v>
      </c>
      <c r="P461" s="47">
        <v>-1.6856057408351832</v>
      </c>
      <c r="Q461" s="47">
        <v>-0.8804908757093837</v>
      </c>
      <c r="R461" s="47">
        <v>1.787171732895059</v>
      </c>
      <c r="S461" s="47">
        <v>-1.72461069241107</v>
      </c>
      <c r="T461" s="47">
        <v>-0.7871777123417198</v>
      </c>
      <c r="U461" s="47">
        <v>-2.1079618335982726</v>
      </c>
      <c r="V461" s="47">
        <v>0.0</v>
      </c>
      <c r="W461" s="47">
        <v>-0.7801623206108286</v>
      </c>
      <c r="X461" s="47">
        <v>-0.5145779827891044</v>
      </c>
      <c r="Y461" s="50" t="s">
        <v>69</v>
      </c>
      <c r="Z461" s="50" t="s">
        <v>69</v>
      </c>
      <c r="AA461" s="50" t="s">
        <v>69</v>
      </c>
      <c r="AB461" s="50" t="s">
        <v>69</v>
      </c>
      <c r="AC461" s="34" t="str">
        <f t="shared" ref="AC461:AP461" si="461">LET(
  skater, IFERROR(INDEX(AllProj, MATCH($E461, AllProjNames, 0), MATCH(AC$2, AllProjCats, 0) + 1), ""),
  goalie, IFERROR(INDEX(AllGProj, MATCH($E461, AllGProjNames, 0), MATCH(AC$2, AllGProjCats, 0) + 1), ""),
  val, IF(skater &lt;&gt; "", skater, goalie),
  IF(OR($E461="", AC$2="", val=""), "", val * AC$1)
)</f>
        <v/>
      </c>
      <c r="AD461" s="34" t="str">
        <f t="shared" si="461"/>
        <v/>
      </c>
      <c r="AE461" s="34" t="str">
        <f t="shared" si="461"/>
        <v/>
      </c>
      <c r="AF461" s="34" t="str">
        <f t="shared" si="461"/>
        <v/>
      </c>
      <c r="AG461" s="34" t="str">
        <f t="shared" si="461"/>
        <v/>
      </c>
      <c r="AH461" s="34" t="str">
        <f t="shared" si="461"/>
        <v/>
      </c>
      <c r="AI461" s="34" t="str">
        <f t="shared" si="461"/>
        <v/>
      </c>
      <c r="AJ461" s="34" t="str">
        <f t="shared" si="461"/>
        <v/>
      </c>
      <c r="AK461" s="34" t="str">
        <f t="shared" si="461"/>
        <v/>
      </c>
      <c r="AL461" s="34" t="str">
        <f t="shared" si="461"/>
        <v/>
      </c>
      <c r="AM461" s="34" t="str">
        <f t="shared" si="461"/>
        <v/>
      </c>
      <c r="AN461" s="34" t="str">
        <f t="shared" si="461"/>
        <v/>
      </c>
      <c r="AO461" s="34" t="str">
        <f t="shared" si="461"/>
        <v/>
      </c>
      <c r="AP461" s="34" t="str">
        <f t="shared" si="461"/>
        <v/>
      </c>
      <c r="AQ461" s="76" t="s">
        <v>500</v>
      </c>
      <c r="AR461" s="77"/>
      <c r="AS461" s="77"/>
      <c r="AT461" s="77"/>
      <c r="AU461" s="77"/>
      <c r="AV461" s="77"/>
      <c r="AW461" s="77"/>
      <c r="AX461" s="77"/>
      <c r="AY461" s="77"/>
      <c r="AZ461" s="77"/>
      <c r="BA461" s="77"/>
      <c r="BB461" s="77"/>
      <c r="BC461" s="77"/>
      <c r="BD461" s="77"/>
      <c r="BE461" s="77"/>
      <c r="BF461" s="77"/>
      <c r="BG461" s="77"/>
      <c r="BH461" s="77"/>
      <c r="BI461" s="77"/>
      <c r="BJ461" s="77"/>
      <c r="BK461" s="77"/>
      <c r="BL461" s="77"/>
      <c r="BM461" s="78"/>
    </row>
    <row r="462">
      <c r="A462" s="79">
        <v>2.5714285714285716</v>
      </c>
      <c r="B462" s="79" t="b">
        <v>0</v>
      </c>
      <c r="C462" s="79" t="b">
        <f t="shared" si="3"/>
        <v>0</v>
      </c>
      <c r="D462" s="80" t="s">
        <v>1565</v>
      </c>
      <c r="E462" s="81" t="s">
        <v>999</v>
      </c>
      <c r="F462" s="82" t="s">
        <v>1401</v>
      </c>
      <c r="G462" s="35" t="s">
        <v>837</v>
      </c>
      <c r="H462" s="37">
        <v>-8.832719169268278</v>
      </c>
      <c r="I462" s="37">
        <v>-3.3028603973393773</v>
      </c>
      <c r="J462" s="83" t="s">
        <v>2127</v>
      </c>
      <c r="K462" s="35">
        <v>36.7</v>
      </c>
      <c r="L462" s="79">
        <v>77.0909090909091</v>
      </c>
      <c r="M462" s="84">
        <v>25.0</v>
      </c>
      <c r="N462" s="84">
        <v>7.0</v>
      </c>
      <c r="O462" s="85">
        <v>-2.3254616260261716</v>
      </c>
      <c r="P462" s="85">
        <v>-1.439057530991163</v>
      </c>
      <c r="Q462" s="85">
        <v>1.0151151555812807</v>
      </c>
      <c r="R462" s="85">
        <v>-1.3959823843327135</v>
      </c>
      <c r="S462" s="85">
        <v>-1.7116461242934817</v>
      </c>
      <c r="T462" s="85">
        <v>-0.16952108464970286</v>
      </c>
      <c r="U462" s="85">
        <v>-2.5358031507401275</v>
      </c>
      <c r="V462" s="85">
        <v>0.0</v>
      </c>
      <c r="W462" s="85">
        <v>-2.176209335500903</v>
      </c>
      <c r="X462" s="85">
        <v>1.9058469116847037</v>
      </c>
      <c r="Y462" s="50" t="s">
        <v>69</v>
      </c>
      <c r="Z462" s="50" t="s">
        <v>69</v>
      </c>
      <c r="AA462" s="50" t="s">
        <v>69</v>
      </c>
      <c r="AB462" s="50" t="s">
        <v>69</v>
      </c>
      <c r="AC462" s="34" t="str">
        <f t="shared" ref="AC462:AP462" si="462">LET(
  skater, IFERROR(INDEX(AllProj, MATCH($E462, AllProjNames, 0), MATCH(AC$2, AllProjCats, 0) + 1), ""),
  goalie, IFERROR(INDEX(AllGProj, MATCH($E462, AllGProjNames, 0), MATCH(AC$2, AllGProjCats, 0) + 1), ""),
  val, IF(skater &lt;&gt; "", skater, goalie),
  IF(OR($E462="", AC$2="", val=""), "", val * AC$1)
)</f>
        <v/>
      </c>
      <c r="AD462" s="34" t="str">
        <f t="shared" si="462"/>
        <v/>
      </c>
      <c r="AE462" s="34" t="str">
        <f t="shared" si="462"/>
        <v/>
      </c>
      <c r="AF462" s="34" t="str">
        <f t="shared" si="462"/>
        <v/>
      </c>
      <c r="AG462" s="34" t="str">
        <f t="shared" si="462"/>
        <v/>
      </c>
      <c r="AH462" s="34" t="str">
        <f t="shared" si="462"/>
        <v/>
      </c>
      <c r="AI462" s="34" t="str">
        <f t="shared" si="462"/>
        <v/>
      </c>
      <c r="AJ462" s="34" t="str">
        <f t="shared" si="462"/>
        <v/>
      </c>
      <c r="AK462" s="34" t="str">
        <f t="shared" si="462"/>
        <v/>
      </c>
      <c r="AL462" s="34" t="str">
        <f t="shared" si="462"/>
        <v/>
      </c>
      <c r="AM462" s="34" t="str">
        <f t="shared" si="462"/>
        <v/>
      </c>
      <c r="AN462" s="34" t="str">
        <f t="shared" si="462"/>
        <v/>
      </c>
      <c r="AO462" s="34" t="str">
        <f t="shared" si="462"/>
        <v/>
      </c>
      <c r="AP462" s="34" t="str">
        <f t="shared" si="462"/>
        <v/>
      </c>
      <c r="AQ462" s="76" t="s">
        <v>501</v>
      </c>
      <c r="AR462" s="77"/>
      <c r="AS462" s="77"/>
      <c r="AT462" s="77"/>
      <c r="AU462" s="77"/>
      <c r="AV462" s="77"/>
      <c r="AW462" s="77"/>
      <c r="AX462" s="77"/>
      <c r="AY462" s="77"/>
      <c r="AZ462" s="77"/>
      <c r="BA462" s="77"/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8"/>
    </row>
    <row r="463">
      <c r="A463" s="41">
        <v>2.5714285714285716</v>
      </c>
      <c r="B463" s="41" t="b">
        <v>0</v>
      </c>
      <c r="C463" s="41" t="b">
        <f t="shared" si="3"/>
        <v>0</v>
      </c>
      <c r="D463" s="42" t="s">
        <v>1565</v>
      </c>
      <c r="E463" s="43" t="s">
        <v>1063</v>
      </c>
      <c r="F463" s="44" t="s">
        <v>1043</v>
      </c>
      <c r="G463" s="29" t="s">
        <v>284</v>
      </c>
      <c r="H463" s="32">
        <v>-8.858026667196786</v>
      </c>
      <c r="I463" s="32">
        <v>-3.8199606470137004</v>
      </c>
      <c r="J463" s="45" t="s">
        <v>2128</v>
      </c>
      <c r="K463" s="29">
        <v>23.2</v>
      </c>
      <c r="L463" s="41">
        <v>78.0</v>
      </c>
      <c r="M463" s="46">
        <v>28.0</v>
      </c>
      <c r="N463" s="46">
        <v>6.0</v>
      </c>
      <c r="O463" s="47">
        <v>-2.1539739435291736</v>
      </c>
      <c r="P463" s="47">
        <v>-2.2702350288485484</v>
      </c>
      <c r="Q463" s="94" t="s">
        <v>69</v>
      </c>
      <c r="R463" s="47">
        <v>-0.5628912677145075</v>
      </c>
      <c r="S463" s="94" t="s">
        <v>69</v>
      </c>
      <c r="T463" s="94" t="s">
        <v>69</v>
      </c>
      <c r="U463" s="47">
        <v>-2.3701871570077966</v>
      </c>
      <c r="V463" s="94" t="s">
        <v>69</v>
      </c>
      <c r="W463" s="47">
        <v>0.1870482613626526</v>
      </c>
      <c r="X463" s="47">
        <v>-1.6877875314594122</v>
      </c>
      <c r="Y463" s="50" t="s">
        <v>69</v>
      </c>
      <c r="Z463" s="50" t="s">
        <v>69</v>
      </c>
      <c r="AA463" s="50" t="s">
        <v>69</v>
      </c>
      <c r="AB463" s="50" t="s">
        <v>69</v>
      </c>
      <c r="AC463" s="34" t="str">
        <f t="shared" ref="AC463:AP463" si="463">LET(
  skater, IFERROR(INDEX(AllProj, MATCH($E463, AllProjNames, 0), MATCH(AC$2, AllProjCats, 0) + 1), ""),
  goalie, IFERROR(INDEX(AllGProj, MATCH($E463, AllGProjNames, 0), MATCH(AC$2, AllGProjCats, 0) + 1), ""),
  val, IF(skater &lt;&gt; "", skater, goalie),
  IF(OR($E463="", AC$2="", val=""), "", val * AC$1)
)</f>
        <v/>
      </c>
      <c r="AD463" s="34" t="str">
        <f t="shared" si="463"/>
        <v/>
      </c>
      <c r="AE463" s="34" t="str">
        <f t="shared" si="463"/>
        <v/>
      </c>
      <c r="AF463" s="34" t="str">
        <f t="shared" si="463"/>
        <v/>
      </c>
      <c r="AG463" s="34" t="str">
        <f t="shared" si="463"/>
        <v/>
      </c>
      <c r="AH463" s="34" t="str">
        <f t="shared" si="463"/>
        <v/>
      </c>
      <c r="AI463" s="34" t="str">
        <f t="shared" si="463"/>
        <v/>
      </c>
      <c r="AJ463" s="34" t="str">
        <f t="shared" si="463"/>
        <v/>
      </c>
      <c r="AK463" s="34" t="str">
        <f t="shared" si="463"/>
        <v/>
      </c>
      <c r="AL463" s="34" t="str">
        <f t="shared" si="463"/>
        <v/>
      </c>
      <c r="AM463" s="34" t="str">
        <f t="shared" si="463"/>
        <v/>
      </c>
      <c r="AN463" s="34" t="str">
        <f t="shared" si="463"/>
        <v/>
      </c>
      <c r="AO463" s="34" t="str">
        <f t="shared" si="463"/>
        <v/>
      </c>
      <c r="AP463" s="34" t="str">
        <f t="shared" si="463"/>
        <v/>
      </c>
      <c r="AQ463" s="76" t="s">
        <v>503</v>
      </c>
      <c r="AR463" s="77"/>
      <c r="AS463" s="77"/>
      <c r="AT463" s="77"/>
      <c r="AU463" s="77"/>
      <c r="AV463" s="77"/>
      <c r="AW463" s="77"/>
      <c r="AX463" s="77"/>
      <c r="AY463" s="77"/>
      <c r="AZ463" s="77"/>
      <c r="BA463" s="77"/>
      <c r="BB463" s="77"/>
      <c r="BC463" s="77"/>
      <c r="BD463" s="77"/>
      <c r="BE463" s="77"/>
      <c r="BF463" s="77"/>
      <c r="BG463" s="77"/>
      <c r="BH463" s="77"/>
      <c r="BI463" s="77"/>
      <c r="BJ463" s="77"/>
      <c r="BK463" s="77"/>
      <c r="BL463" s="77"/>
      <c r="BM463" s="78"/>
    </row>
    <row r="464">
      <c r="A464" s="79">
        <v>2.5714285714285716</v>
      </c>
      <c r="B464" s="79" t="b">
        <v>0</v>
      </c>
      <c r="C464" s="79" t="b">
        <f t="shared" si="3"/>
        <v>0</v>
      </c>
      <c r="D464" s="80" t="s">
        <v>1565</v>
      </c>
      <c r="E464" s="81" t="s">
        <v>1020</v>
      </c>
      <c r="F464" s="82" t="s">
        <v>1517</v>
      </c>
      <c r="G464" s="35" t="s">
        <v>284</v>
      </c>
      <c r="H464" s="37">
        <v>-8.874275446380745</v>
      </c>
      <c r="I464" s="37">
        <v>-3.8362094261976596</v>
      </c>
      <c r="J464" s="83" t="s">
        <v>2129</v>
      </c>
      <c r="K464" s="35">
        <v>26.6</v>
      </c>
      <c r="L464" s="79">
        <v>81.13041666666668</v>
      </c>
      <c r="M464" s="84">
        <v>18.0</v>
      </c>
      <c r="N464" s="84">
        <v>6.0</v>
      </c>
      <c r="O464" s="85">
        <v>-1.3329061808619445</v>
      </c>
      <c r="P464" s="85">
        <v>-1.3439847952988255</v>
      </c>
      <c r="Q464" s="85">
        <v>-0.6834983989483422</v>
      </c>
      <c r="R464" s="85">
        <v>-0.9597230063817423</v>
      </c>
      <c r="S464" s="85">
        <v>-1.4822581701351347</v>
      </c>
      <c r="T464" s="85">
        <v>-0.3886606090909563</v>
      </c>
      <c r="U464" s="85">
        <v>-1.4279246838911193</v>
      </c>
      <c r="V464" s="85">
        <v>1.348012262714656</v>
      </c>
      <c r="W464" s="85">
        <v>-1.6352442681889883</v>
      </c>
      <c r="X464" s="85">
        <v>-0.9680875962983467</v>
      </c>
      <c r="Y464" s="50" t="s">
        <v>69</v>
      </c>
      <c r="Z464" s="50" t="s">
        <v>69</v>
      </c>
      <c r="AA464" s="50" t="s">
        <v>69</v>
      </c>
      <c r="AB464" s="50" t="s">
        <v>69</v>
      </c>
      <c r="AC464" s="34" t="str">
        <f t="shared" ref="AC464:AP464" si="464">LET(
  skater, IFERROR(INDEX(AllProj, MATCH($E464, AllProjNames, 0), MATCH(AC$2, AllProjCats, 0) + 1), ""),
  goalie, IFERROR(INDEX(AllGProj, MATCH($E464, AllGProjNames, 0), MATCH(AC$2, AllGProjCats, 0) + 1), ""),
  val, IF(skater &lt;&gt; "", skater, goalie),
  IF(OR($E464="", AC$2="", val=""), "", val * AC$1)
)</f>
        <v/>
      </c>
      <c r="AD464" s="34" t="str">
        <f t="shared" si="464"/>
        <v/>
      </c>
      <c r="AE464" s="34" t="str">
        <f t="shared" si="464"/>
        <v/>
      </c>
      <c r="AF464" s="34" t="str">
        <f t="shared" si="464"/>
        <v/>
      </c>
      <c r="AG464" s="34" t="str">
        <f t="shared" si="464"/>
        <v/>
      </c>
      <c r="AH464" s="34" t="str">
        <f t="shared" si="464"/>
        <v/>
      </c>
      <c r="AI464" s="34" t="str">
        <f t="shared" si="464"/>
        <v/>
      </c>
      <c r="AJ464" s="34" t="str">
        <f t="shared" si="464"/>
        <v/>
      </c>
      <c r="AK464" s="34" t="str">
        <f t="shared" si="464"/>
        <v/>
      </c>
      <c r="AL464" s="34" t="str">
        <f t="shared" si="464"/>
        <v/>
      </c>
      <c r="AM464" s="34" t="str">
        <f t="shared" si="464"/>
        <v/>
      </c>
      <c r="AN464" s="34" t="str">
        <f t="shared" si="464"/>
        <v/>
      </c>
      <c r="AO464" s="34" t="str">
        <f t="shared" si="464"/>
        <v/>
      </c>
      <c r="AP464" s="34" t="str">
        <f t="shared" si="464"/>
        <v/>
      </c>
      <c r="AQ464" s="76" t="s">
        <v>504</v>
      </c>
      <c r="AR464" s="77"/>
      <c r="AS464" s="77"/>
      <c r="AT464" s="77"/>
      <c r="AU464" s="77"/>
      <c r="AV464" s="77"/>
      <c r="AW464" s="77"/>
      <c r="AX464" s="77"/>
      <c r="AY464" s="77"/>
      <c r="AZ464" s="77"/>
      <c r="BA464" s="77"/>
      <c r="BB464" s="77"/>
      <c r="BC464" s="77"/>
      <c r="BD464" s="77"/>
      <c r="BE464" s="77"/>
      <c r="BF464" s="77"/>
      <c r="BG464" s="77"/>
      <c r="BH464" s="77"/>
      <c r="BI464" s="77"/>
      <c r="BJ464" s="77"/>
      <c r="BK464" s="77"/>
      <c r="BL464" s="77"/>
      <c r="BM464" s="78"/>
    </row>
    <row r="465">
      <c r="A465" s="41">
        <v>2.5714285714285716</v>
      </c>
      <c r="B465" s="41" t="b">
        <v>0</v>
      </c>
      <c r="C465" s="41" t="b">
        <f t="shared" si="3"/>
        <v>0</v>
      </c>
      <c r="D465" s="42" t="s">
        <v>1565</v>
      </c>
      <c r="E465" s="43" t="s">
        <v>974</v>
      </c>
      <c r="F465" s="44" t="s">
        <v>1436</v>
      </c>
      <c r="G465" s="29" t="s">
        <v>831</v>
      </c>
      <c r="H465" s="32">
        <v>-8.886608607366377</v>
      </c>
      <c r="I465" s="32">
        <v>-3.4444709986385194</v>
      </c>
      <c r="J465" s="45" t="s">
        <v>2130</v>
      </c>
      <c r="K465" s="29">
        <v>32.7</v>
      </c>
      <c r="L465" s="41">
        <v>82.20770833333334</v>
      </c>
      <c r="M465" s="46">
        <v>26.0</v>
      </c>
      <c r="N465" s="46">
        <v>5.0</v>
      </c>
      <c r="O465" s="47">
        <v>-1.0255829159364531</v>
      </c>
      <c r="P465" s="47">
        <v>-1.3363142053831696</v>
      </c>
      <c r="Q465" s="47">
        <v>-0.7720319234596014</v>
      </c>
      <c r="R465" s="47">
        <v>-1.907371245812056</v>
      </c>
      <c r="S465" s="47">
        <v>-0.9811183087477108</v>
      </c>
      <c r="T465" s="47">
        <v>-0.32323230461496827</v>
      </c>
      <c r="U465" s="47">
        <v>-1.076844789623336</v>
      </c>
      <c r="V465" s="47">
        <v>0.0</v>
      </c>
      <c r="W465" s="47">
        <v>-0.6756230640588742</v>
      </c>
      <c r="X465" s="47">
        <v>-0.7884898497302085</v>
      </c>
      <c r="Y465" s="50" t="s">
        <v>69</v>
      </c>
      <c r="Z465" s="50" t="s">
        <v>69</v>
      </c>
      <c r="AA465" s="50" t="s">
        <v>69</v>
      </c>
      <c r="AB465" s="50" t="s">
        <v>69</v>
      </c>
      <c r="AC465" s="34" t="str">
        <f t="shared" ref="AC465:AP465" si="465">LET(
  skater, IFERROR(INDEX(AllProj, MATCH($E465, AllProjNames, 0), MATCH(AC$2, AllProjCats, 0) + 1), ""),
  goalie, IFERROR(INDEX(AllGProj, MATCH($E465, AllGProjNames, 0), MATCH(AC$2, AllGProjCats, 0) + 1), ""),
  val, IF(skater &lt;&gt; "", skater, goalie),
  IF(OR($E465="", AC$2="", val=""), "", val * AC$1)
)</f>
        <v/>
      </c>
      <c r="AD465" s="34" t="str">
        <f t="shared" si="465"/>
        <v/>
      </c>
      <c r="AE465" s="34" t="str">
        <f t="shared" si="465"/>
        <v/>
      </c>
      <c r="AF465" s="34" t="str">
        <f t="shared" si="465"/>
        <v/>
      </c>
      <c r="AG465" s="34" t="str">
        <f t="shared" si="465"/>
        <v/>
      </c>
      <c r="AH465" s="34" t="str">
        <f t="shared" si="465"/>
        <v/>
      </c>
      <c r="AI465" s="34" t="str">
        <f t="shared" si="465"/>
        <v/>
      </c>
      <c r="AJ465" s="34" t="str">
        <f t="shared" si="465"/>
        <v/>
      </c>
      <c r="AK465" s="34" t="str">
        <f t="shared" si="465"/>
        <v/>
      </c>
      <c r="AL465" s="34" t="str">
        <f t="shared" si="465"/>
        <v/>
      </c>
      <c r="AM465" s="34" t="str">
        <f t="shared" si="465"/>
        <v/>
      </c>
      <c r="AN465" s="34" t="str">
        <f t="shared" si="465"/>
        <v/>
      </c>
      <c r="AO465" s="34" t="str">
        <f t="shared" si="465"/>
        <v/>
      </c>
      <c r="AP465" s="34" t="str">
        <f t="shared" si="465"/>
        <v/>
      </c>
      <c r="AQ465" s="76" t="s">
        <v>505</v>
      </c>
      <c r="AR465" s="77"/>
      <c r="AS465" s="77"/>
      <c r="AT465" s="77"/>
      <c r="AU465" s="77"/>
      <c r="AV465" s="77"/>
      <c r="AW465" s="77"/>
      <c r="AX465" s="77"/>
      <c r="AY465" s="77"/>
      <c r="AZ465" s="77"/>
      <c r="BA465" s="77"/>
      <c r="BB465" s="77"/>
      <c r="BC465" s="77"/>
      <c r="BD465" s="77"/>
      <c r="BE465" s="77"/>
      <c r="BF465" s="77"/>
      <c r="BG465" s="77"/>
      <c r="BH465" s="77"/>
      <c r="BI465" s="77"/>
      <c r="BJ465" s="77"/>
      <c r="BK465" s="77"/>
      <c r="BL465" s="77"/>
      <c r="BM465" s="78"/>
    </row>
    <row r="466">
      <c r="A466" s="79">
        <v>2.642857142857143</v>
      </c>
      <c r="B466" s="79" t="b">
        <v>0</v>
      </c>
      <c r="C466" s="79" t="b">
        <f t="shared" si="3"/>
        <v>0</v>
      </c>
      <c r="D466" s="80" t="s">
        <v>1565</v>
      </c>
      <c r="E466" s="81" t="s">
        <v>1159</v>
      </c>
      <c r="F466" s="82" t="s">
        <v>1444</v>
      </c>
      <c r="G466" s="35" t="s">
        <v>284</v>
      </c>
      <c r="H466" s="37">
        <v>-8.891936786725559</v>
      </c>
      <c r="I466" s="37">
        <v>-3.8538707665424736</v>
      </c>
      <c r="J466" s="83" t="s">
        <v>2131</v>
      </c>
      <c r="K466" s="35">
        <v>23.1</v>
      </c>
      <c r="L466" s="79">
        <v>80.4275</v>
      </c>
      <c r="M466" s="84">
        <v>33.0</v>
      </c>
      <c r="N466" s="84">
        <v>6.0</v>
      </c>
      <c r="O466" s="85">
        <v>-1.287134716785954</v>
      </c>
      <c r="P466" s="85">
        <v>-1.2384485294487666</v>
      </c>
      <c r="Q466" s="85">
        <v>-1.3639323773370324</v>
      </c>
      <c r="R466" s="85">
        <v>-0.7963184257944061</v>
      </c>
      <c r="S466" s="85">
        <v>-1.1809789841990002</v>
      </c>
      <c r="T466" s="85">
        <v>-0.37905025650724433</v>
      </c>
      <c r="U466" s="85">
        <v>-1.765329140281841</v>
      </c>
      <c r="V466" s="85">
        <v>0.5904961756146304</v>
      </c>
      <c r="W466" s="85">
        <v>-0.21401308885218506</v>
      </c>
      <c r="X466" s="85">
        <v>-1.2572274431337602</v>
      </c>
      <c r="Y466" s="50" t="s">
        <v>69</v>
      </c>
      <c r="Z466" s="50" t="s">
        <v>69</v>
      </c>
      <c r="AA466" s="50" t="s">
        <v>69</v>
      </c>
      <c r="AB466" s="50" t="s">
        <v>69</v>
      </c>
      <c r="AC466" s="34" t="str">
        <f t="shared" ref="AC466:AP466" si="466">LET(
  skater, IFERROR(INDEX(AllProj, MATCH($E466, AllProjNames, 0), MATCH(AC$2, AllProjCats, 0) + 1), ""),
  goalie, IFERROR(INDEX(AllGProj, MATCH($E466, AllGProjNames, 0), MATCH(AC$2, AllGProjCats, 0) + 1), ""),
  val, IF(skater &lt;&gt; "", skater, goalie),
  IF(OR($E466="", AC$2="", val=""), "", val * AC$1)
)</f>
        <v/>
      </c>
      <c r="AD466" s="34" t="str">
        <f t="shared" si="466"/>
        <v/>
      </c>
      <c r="AE466" s="34" t="str">
        <f t="shared" si="466"/>
        <v/>
      </c>
      <c r="AF466" s="34" t="str">
        <f t="shared" si="466"/>
        <v/>
      </c>
      <c r="AG466" s="34" t="str">
        <f t="shared" si="466"/>
        <v/>
      </c>
      <c r="AH466" s="34" t="str">
        <f t="shared" si="466"/>
        <v/>
      </c>
      <c r="AI466" s="34" t="str">
        <f t="shared" si="466"/>
        <v/>
      </c>
      <c r="AJ466" s="34" t="str">
        <f t="shared" si="466"/>
        <v/>
      </c>
      <c r="AK466" s="34" t="str">
        <f t="shared" si="466"/>
        <v/>
      </c>
      <c r="AL466" s="34" t="str">
        <f t="shared" si="466"/>
        <v/>
      </c>
      <c r="AM466" s="34" t="str">
        <f t="shared" si="466"/>
        <v/>
      </c>
      <c r="AN466" s="34" t="str">
        <f t="shared" si="466"/>
        <v/>
      </c>
      <c r="AO466" s="34" t="str">
        <f t="shared" si="466"/>
        <v/>
      </c>
      <c r="AP466" s="34" t="str">
        <f t="shared" si="466"/>
        <v/>
      </c>
      <c r="AQ466" s="76" t="s">
        <v>506</v>
      </c>
      <c r="AR466" s="77"/>
      <c r="AS466" s="77"/>
      <c r="AT466" s="77"/>
      <c r="AU466" s="77"/>
      <c r="AV466" s="77"/>
      <c r="AW466" s="77"/>
      <c r="AX466" s="77"/>
      <c r="AY466" s="77"/>
      <c r="AZ466" s="77"/>
      <c r="BA466" s="77"/>
      <c r="BB466" s="77"/>
      <c r="BC466" s="77"/>
      <c r="BD466" s="77"/>
      <c r="BE466" s="77"/>
      <c r="BF466" s="77"/>
      <c r="BG466" s="77"/>
      <c r="BH466" s="77"/>
      <c r="BI466" s="77"/>
      <c r="BJ466" s="77"/>
      <c r="BK466" s="77"/>
      <c r="BL466" s="77"/>
      <c r="BM466" s="78"/>
    </row>
    <row r="467">
      <c r="A467" s="41">
        <v>2.5</v>
      </c>
      <c r="B467" s="41" t="b">
        <v>0</v>
      </c>
      <c r="C467" s="41" t="b">
        <f t="shared" si="3"/>
        <v>0</v>
      </c>
      <c r="D467" s="42" t="s">
        <v>1565</v>
      </c>
      <c r="E467" s="43" t="s">
        <v>897</v>
      </c>
      <c r="F467" s="44" t="s">
        <v>1454</v>
      </c>
      <c r="G467" s="29" t="s">
        <v>837</v>
      </c>
      <c r="H467" s="32">
        <v>-8.907226043282092</v>
      </c>
      <c r="I467" s="32">
        <v>-3.377367271353191</v>
      </c>
      <c r="J467" s="45" t="s">
        <v>2132</v>
      </c>
      <c r="K467" s="29">
        <v>21.4</v>
      </c>
      <c r="L467" s="41">
        <v>81.0</v>
      </c>
      <c r="M467" s="46">
        <v>25.0</v>
      </c>
      <c r="N467" s="46">
        <v>6.0</v>
      </c>
      <c r="O467" s="47">
        <v>-2.4054892111914374</v>
      </c>
      <c r="P467" s="47">
        <v>-2.18903651662447</v>
      </c>
      <c r="Q467" s="94" t="s">
        <v>69</v>
      </c>
      <c r="R467" s="47">
        <v>-1.5576269293481866</v>
      </c>
      <c r="S467" s="94" t="s">
        <v>69</v>
      </c>
      <c r="T467" s="94" t="s">
        <v>69</v>
      </c>
      <c r="U467" s="47">
        <v>-1.1510694253670275</v>
      </c>
      <c r="V467" s="94" t="s">
        <v>69</v>
      </c>
      <c r="W467" s="47">
        <v>-1.0834402149584454</v>
      </c>
      <c r="X467" s="47">
        <v>-0.5205637457925244</v>
      </c>
      <c r="Y467" s="50" t="s">
        <v>69</v>
      </c>
      <c r="Z467" s="50" t="s">
        <v>69</v>
      </c>
      <c r="AA467" s="50" t="s">
        <v>69</v>
      </c>
      <c r="AB467" s="50" t="s">
        <v>69</v>
      </c>
      <c r="AC467" s="34" t="str">
        <f t="shared" ref="AC467:AP467" si="467">LET(
  skater, IFERROR(INDEX(AllProj, MATCH($E467, AllProjNames, 0), MATCH(AC$2, AllProjCats, 0) + 1), ""),
  goalie, IFERROR(INDEX(AllGProj, MATCH($E467, AllGProjNames, 0), MATCH(AC$2, AllGProjCats, 0) + 1), ""),
  val, IF(skater &lt;&gt; "", skater, goalie),
  IF(OR($E467="", AC$2="", val=""), "", val * AC$1)
)</f>
        <v/>
      </c>
      <c r="AD467" s="34" t="str">
        <f t="shared" si="467"/>
        <v/>
      </c>
      <c r="AE467" s="34" t="str">
        <f t="shared" si="467"/>
        <v/>
      </c>
      <c r="AF467" s="34" t="str">
        <f t="shared" si="467"/>
        <v/>
      </c>
      <c r="AG467" s="34" t="str">
        <f t="shared" si="467"/>
        <v/>
      </c>
      <c r="AH467" s="34" t="str">
        <f t="shared" si="467"/>
        <v/>
      </c>
      <c r="AI467" s="34" t="str">
        <f t="shared" si="467"/>
        <v/>
      </c>
      <c r="AJ467" s="34" t="str">
        <f t="shared" si="467"/>
        <v/>
      </c>
      <c r="AK467" s="34" t="str">
        <f t="shared" si="467"/>
        <v/>
      </c>
      <c r="AL467" s="34" t="str">
        <f t="shared" si="467"/>
        <v/>
      </c>
      <c r="AM467" s="34" t="str">
        <f t="shared" si="467"/>
        <v/>
      </c>
      <c r="AN467" s="34" t="str">
        <f t="shared" si="467"/>
        <v/>
      </c>
      <c r="AO467" s="34" t="str">
        <f t="shared" si="467"/>
        <v/>
      </c>
      <c r="AP467" s="34" t="str">
        <f t="shared" si="467"/>
        <v/>
      </c>
      <c r="AQ467" s="76" t="s">
        <v>507</v>
      </c>
      <c r="AR467" s="77"/>
      <c r="AS467" s="77"/>
      <c r="AT467" s="77"/>
      <c r="AU467" s="77"/>
      <c r="AV467" s="77"/>
      <c r="AW467" s="77"/>
      <c r="AX467" s="77"/>
      <c r="AY467" s="77"/>
      <c r="AZ467" s="77"/>
      <c r="BA467" s="77"/>
      <c r="BB467" s="77"/>
      <c r="BC467" s="77"/>
      <c r="BD467" s="77"/>
      <c r="BE467" s="77"/>
      <c r="BF467" s="77"/>
      <c r="BG467" s="77"/>
      <c r="BH467" s="77"/>
      <c r="BI467" s="77"/>
      <c r="BJ467" s="77"/>
      <c r="BK467" s="77"/>
      <c r="BL467" s="77"/>
      <c r="BM467" s="78"/>
    </row>
    <row r="468">
      <c r="A468" s="79">
        <v>2.5714285714285716</v>
      </c>
      <c r="B468" s="79" t="b">
        <v>0</v>
      </c>
      <c r="C468" s="79" t="b">
        <f t="shared" si="3"/>
        <v>0</v>
      </c>
      <c r="D468" s="80" t="s">
        <v>1565</v>
      </c>
      <c r="E468" s="81" t="s">
        <v>950</v>
      </c>
      <c r="F468" s="82" t="s">
        <v>1426</v>
      </c>
      <c r="G468" s="35" t="s">
        <v>284</v>
      </c>
      <c r="H468" s="37">
        <v>-8.913005147362142</v>
      </c>
      <c r="I468" s="37">
        <v>-3.874939127179057</v>
      </c>
      <c r="J468" s="83" t="s">
        <v>2133</v>
      </c>
      <c r="K468" s="35">
        <v>32.5</v>
      </c>
      <c r="L468" s="79">
        <v>81.0</v>
      </c>
      <c r="M468" s="84">
        <v>23.0</v>
      </c>
      <c r="N468" s="84">
        <v>6.0</v>
      </c>
      <c r="O468" s="85">
        <v>-1.90245867586691</v>
      </c>
      <c r="P468" s="85">
        <v>-2.1078380044003917</v>
      </c>
      <c r="Q468" s="96" t="s">
        <v>69</v>
      </c>
      <c r="R468" s="85">
        <v>-1.6197979082002913</v>
      </c>
      <c r="S468" s="96" t="s">
        <v>69</v>
      </c>
      <c r="T468" s="96" t="s">
        <v>69</v>
      </c>
      <c r="U468" s="85">
        <v>-1.8641382872701189</v>
      </c>
      <c r="V468" s="96" t="s">
        <v>69</v>
      </c>
      <c r="W468" s="85">
        <v>0.26901525983498153</v>
      </c>
      <c r="X468" s="85">
        <v>-1.6877875314594122</v>
      </c>
      <c r="Y468" s="50" t="s">
        <v>69</v>
      </c>
      <c r="Z468" s="50" t="s">
        <v>69</v>
      </c>
      <c r="AA468" s="50" t="s">
        <v>69</v>
      </c>
      <c r="AB468" s="50" t="s">
        <v>69</v>
      </c>
      <c r="AC468" s="34" t="str">
        <f t="shared" ref="AC468:AP468" si="468">LET(
  skater, IFERROR(INDEX(AllProj, MATCH($E468, AllProjNames, 0), MATCH(AC$2, AllProjCats, 0) + 1), ""),
  goalie, IFERROR(INDEX(AllGProj, MATCH($E468, AllGProjNames, 0), MATCH(AC$2, AllGProjCats, 0) + 1), ""),
  val, IF(skater &lt;&gt; "", skater, goalie),
  IF(OR($E468="", AC$2="", val=""), "", val * AC$1)
)</f>
        <v/>
      </c>
      <c r="AD468" s="34" t="str">
        <f t="shared" si="468"/>
        <v/>
      </c>
      <c r="AE468" s="34" t="str">
        <f t="shared" si="468"/>
        <v/>
      </c>
      <c r="AF468" s="34" t="str">
        <f t="shared" si="468"/>
        <v/>
      </c>
      <c r="AG468" s="34" t="str">
        <f t="shared" si="468"/>
        <v/>
      </c>
      <c r="AH468" s="34" t="str">
        <f t="shared" si="468"/>
        <v/>
      </c>
      <c r="AI468" s="34" t="str">
        <f t="shared" si="468"/>
        <v/>
      </c>
      <c r="AJ468" s="34" t="str">
        <f t="shared" si="468"/>
        <v/>
      </c>
      <c r="AK468" s="34" t="str">
        <f t="shared" si="468"/>
        <v/>
      </c>
      <c r="AL468" s="34" t="str">
        <f t="shared" si="468"/>
        <v/>
      </c>
      <c r="AM468" s="34" t="str">
        <f t="shared" si="468"/>
        <v/>
      </c>
      <c r="AN468" s="34" t="str">
        <f t="shared" si="468"/>
        <v/>
      </c>
      <c r="AO468" s="34" t="str">
        <f t="shared" si="468"/>
        <v/>
      </c>
      <c r="AP468" s="34" t="str">
        <f t="shared" si="468"/>
        <v/>
      </c>
      <c r="AQ468" s="76" t="s">
        <v>508</v>
      </c>
      <c r="AR468" s="77"/>
      <c r="AS468" s="77"/>
      <c r="AT468" s="77"/>
      <c r="AU468" s="77"/>
      <c r="AV468" s="77"/>
      <c r="AW468" s="77"/>
      <c r="AX468" s="77"/>
      <c r="AY468" s="77"/>
      <c r="AZ468" s="77"/>
      <c r="BA468" s="77"/>
      <c r="BB468" s="77"/>
      <c r="BC468" s="77"/>
      <c r="BD468" s="77"/>
      <c r="BE468" s="77"/>
      <c r="BF468" s="77"/>
      <c r="BG468" s="77"/>
      <c r="BH468" s="77"/>
      <c r="BI468" s="77"/>
      <c r="BJ468" s="77"/>
      <c r="BK468" s="77"/>
      <c r="BL468" s="77"/>
      <c r="BM468" s="78"/>
    </row>
    <row r="469">
      <c r="A469" s="41">
        <v>2.5714285714285716</v>
      </c>
      <c r="B469" s="41" t="b">
        <v>0</v>
      </c>
      <c r="C469" s="41" t="b">
        <f t="shared" si="3"/>
        <v>0</v>
      </c>
      <c r="D469" s="42" t="s">
        <v>1565</v>
      </c>
      <c r="E469" s="43" t="s">
        <v>1007</v>
      </c>
      <c r="F469" s="44" t="s">
        <v>1416</v>
      </c>
      <c r="G469" s="29" t="s">
        <v>284</v>
      </c>
      <c r="H469" s="32">
        <v>-8.938215832546287</v>
      </c>
      <c r="I469" s="32">
        <v>-3.9001498123632024</v>
      </c>
      <c r="J469" s="45" t="s">
        <v>2134</v>
      </c>
      <c r="K469" s="29">
        <v>25.6</v>
      </c>
      <c r="L469" s="41">
        <v>79.26357142857144</v>
      </c>
      <c r="M469" s="46">
        <v>29.0</v>
      </c>
      <c r="N469" s="46">
        <v>7.0</v>
      </c>
      <c r="O469" s="47">
        <v>-0.33905986626856177</v>
      </c>
      <c r="P469" s="47">
        <v>-1.0565228376819762</v>
      </c>
      <c r="Q469" s="47">
        <v>-0.8590987407089052</v>
      </c>
      <c r="R469" s="47">
        <v>-1.4912670157360253</v>
      </c>
      <c r="S469" s="47">
        <v>-1.19100303037955</v>
      </c>
      <c r="T469" s="47">
        <v>-0.3847699670004312</v>
      </c>
      <c r="U469" s="47">
        <v>-1.138438575353495</v>
      </c>
      <c r="V469" s="47">
        <v>0.08677939308809189</v>
      </c>
      <c r="W469" s="47">
        <v>-0.8806536954221201</v>
      </c>
      <c r="X469" s="47">
        <v>-1.6841814970833147</v>
      </c>
      <c r="Y469" s="50" t="s">
        <v>69</v>
      </c>
      <c r="Z469" s="50" t="s">
        <v>69</v>
      </c>
      <c r="AA469" s="50" t="s">
        <v>69</v>
      </c>
      <c r="AB469" s="50" t="s">
        <v>69</v>
      </c>
      <c r="AC469" s="34" t="str">
        <f t="shared" ref="AC469:AP469" si="469">LET(
  skater, IFERROR(INDEX(AllProj, MATCH($E469, AllProjNames, 0), MATCH(AC$2, AllProjCats, 0) + 1), ""),
  goalie, IFERROR(INDEX(AllGProj, MATCH($E469, AllGProjNames, 0), MATCH(AC$2, AllGProjCats, 0) + 1), ""),
  val, IF(skater &lt;&gt; "", skater, goalie),
  IF(OR($E469="", AC$2="", val=""), "", val * AC$1)
)</f>
        <v/>
      </c>
      <c r="AD469" s="34" t="str">
        <f t="shared" si="469"/>
        <v/>
      </c>
      <c r="AE469" s="34" t="str">
        <f t="shared" si="469"/>
        <v/>
      </c>
      <c r="AF469" s="34" t="str">
        <f t="shared" si="469"/>
        <v/>
      </c>
      <c r="AG469" s="34" t="str">
        <f t="shared" si="469"/>
        <v/>
      </c>
      <c r="AH469" s="34" t="str">
        <f t="shared" si="469"/>
        <v/>
      </c>
      <c r="AI469" s="34" t="str">
        <f t="shared" si="469"/>
        <v/>
      </c>
      <c r="AJ469" s="34" t="str">
        <f t="shared" si="469"/>
        <v/>
      </c>
      <c r="AK469" s="34" t="str">
        <f t="shared" si="469"/>
        <v/>
      </c>
      <c r="AL469" s="34" t="str">
        <f t="shared" si="469"/>
        <v/>
      </c>
      <c r="AM469" s="34" t="str">
        <f t="shared" si="469"/>
        <v/>
      </c>
      <c r="AN469" s="34" t="str">
        <f t="shared" si="469"/>
        <v/>
      </c>
      <c r="AO469" s="34" t="str">
        <f t="shared" si="469"/>
        <v/>
      </c>
      <c r="AP469" s="34" t="str">
        <f t="shared" si="469"/>
        <v/>
      </c>
      <c r="AQ469" s="76" t="s">
        <v>509</v>
      </c>
      <c r="AR469" s="77"/>
      <c r="AS469" s="77"/>
      <c r="AT469" s="77"/>
      <c r="AU469" s="77"/>
      <c r="AV469" s="77"/>
      <c r="AW469" s="77"/>
      <c r="AX469" s="77"/>
      <c r="AY469" s="77"/>
      <c r="AZ469" s="77"/>
      <c r="BA469" s="77"/>
      <c r="BB469" s="77"/>
      <c r="BC469" s="77"/>
      <c r="BD469" s="77"/>
      <c r="BE469" s="77"/>
      <c r="BF469" s="77"/>
      <c r="BG469" s="77"/>
      <c r="BH469" s="77"/>
      <c r="BI469" s="77"/>
      <c r="BJ469" s="77"/>
      <c r="BK469" s="77"/>
      <c r="BL469" s="77"/>
      <c r="BM469" s="78"/>
    </row>
    <row r="470">
      <c r="A470" s="79">
        <v>2.642857142857143</v>
      </c>
      <c r="B470" s="79" t="b">
        <v>0</v>
      </c>
      <c r="C470" s="79" t="b">
        <f t="shared" si="3"/>
        <v>0</v>
      </c>
      <c r="D470" s="80" t="s">
        <v>1565</v>
      </c>
      <c r="E470" s="81" t="s">
        <v>1200</v>
      </c>
      <c r="F470" s="82" t="s">
        <v>1512</v>
      </c>
      <c r="G470" s="35" t="s">
        <v>837</v>
      </c>
      <c r="H470" s="37">
        <v>-8.941163888269426</v>
      </c>
      <c r="I470" s="37">
        <v>-3.4113051163405244</v>
      </c>
      <c r="J470" s="83" t="s">
        <v>2135</v>
      </c>
      <c r="K470" s="35">
        <v>26.5</v>
      </c>
      <c r="L470" s="79">
        <v>68.4</v>
      </c>
      <c r="M470" s="84">
        <v>21.0</v>
      </c>
      <c r="N470" s="84">
        <v>7.0</v>
      </c>
      <c r="O470" s="85">
        <v>-2.1539739435291736</v>
      </c>
      <c r="P470" s="85">
        <v>-1.9129615750626032</v>
      </c>
      <c r="Q470" s="85">
        <v>-0.4486003861708531</v>
      </c>
      <c r="R470" s="85">
        <v>1.8244743202063225</v>
      </c>
      <c r="S470" s="85">
        <v>-1.72461069241107</v>
      </c>
      <c r="T470" s="85">
        <v>-0.7871777123417198</v>
      </c>
      <c r="U470" s="85">
        <v>-2.3977898226298517</v>
      </c>
      <c r="V470" s="85">
        <v>0.0</v>
      </c>
      <c r="W470" s="85">
        <v>-0.4727860763395952</v>
      </c>
      <c r="X470" s="85">
        <v>-0.8677379999908809</v>
      </c>
      <c r="Y470" s="50" t="s">
        <v>69</v>
      </c>
      <c r="Z470" s="50" t="s">
        <v>69</v>
      </c>
      <c r="AA470" s="50" t="s">
        <v>69</v>
      </c>
      <c r="AB470" s="50" t="s">
        <v>69</v>
      </c>
      <c r="AC470" s="34" t="str">
        <f t="shared" ref="AC470:AP470" si="470">LET(
  skater, IFERROR(INDEX(AllProj, MATCH($E470, AllProjNames, 0), MATCH(AC$2, AllProjCats, 0) + 1), ""),
  goalie, IFERROR(INDEX(AllGProj, MATCH($E470, AllGProjNames, 0), MATCH(AC$2, AllGProjCats, 0) + 1), ""),
  val, IF(skater &lt;&gt; "", skater, goalie),
  IF(OR($E470="", AC$2="", val=""), "", val * AC$1)
)</f>
        <v/>
      </c>
      <c r="AD470" s="34" t="str">
        <f t="shared" si="470"/>
        <v/>
      </c>
      <c r="AE470" s="34" t="str">
        <f t="shared" si="470"/>
        <v/>
      </c>
      <c r="AF470" s="34" t="str">
        <f t="shared" si="470"/>
        <v/>
      </c>
      <c r="AG470" s="34" t="str">
        <f t="shared" si="470"/>
        <v/>
      </c>
      <c r="AH470" s="34" t="str">
        <f t="shared" si="470"/>
        <v/>
      </c>
      <c r="AI470" s="34" t="str">
        <f t="shared" si="470"/>
        <v/>
      </c>
      <c r="AJ470" s="34" t="str">
        <f t="shared" si="470"/>
        <v/>
      </c>
      <c r="AK470" s="34" t="str">
        <f t="shared" si="470"/>
        <v/>
      </c>
      <c r="AL470" s="34" t="str">
        <f t="shared" si="470"/>
        <v/>
      </c>
      <c r="AM470" s="34" t="str">
        <f t="shared" si="470"/>
        <v/>
      </c>
      <c r="AN470" s="34" t="str">
        <f t="shared" si="470"/>
        <v/>
      </c>
      <c r="AO470" s="34" t="str">
        <f t="shared" si="470"/>
        <v/>
      </c>
      <c r="AP470" s="34" t="str">
        <f t="shared" si="470"/>
        <v/>
      </c>
      <c r="AQ470" s="76" t="s">
        <v>510</v>
      </c>
      <c r="AR470" s="77"/>
      <c r="AS470" s="77"/>
      <c r="AT470" s="77"/>
      <c r="AU470" s="77"/>
      <c r="AV470" s="77"/>
      <c r="AW470" s="77"/>
      <c r="AX470" s="77"/>
      <c r="AY470" s="77"/>
      <c r="AZ470" s="77"/>
      <c r="BA470" s="77"/>
      <c r="BB470" s="77"/>
      <c r="BC470" s="77"/>
      <c r="BD470" s="77"/>
      <c r="BE470" s="77"/>
      <c r="BF470" s="77"/>
      <c r="BG470" s="77"/>
      <c r="BH470" s="77"/>
      <c r="BI470" s="77"/>
      <c r="BJ470" s="77"/>
      <c r="BK470" s="77"/>
      <c r="BL470" s="77"/>
      <c r="BM470" s="78"/>
    </row>
    <row r="471">
      <c r="A471" s="41">
        <v>2.5714285714285716</v>
      </c>
      <c r="B471" s="41" t="b">
        <v>0</v>
      </c>
      <c r="C471" s="41" t="b">
        <f t="shared" si="3"/>
        <v>0</v>
      </c>
      <c r="D471" s="42" t="s">
        <v>1565</v>
      </c>
      <c r="E471" s="43" t="s">
        <v>988</v>
      </c>
      <c r="F471" s="44" t="s">
        <v>1436</v>
      </c>
      <c r="G471" s="29" t="s">
        <v>837</v>
      </c>
      <c r="H471" s="32">
        <v>-8.944586138330239</v>
      </c>
      <c r="I471" s="32">
        <v>-3.414727366401338</v>
      </c>
      <c r="J471" s="45" t="s">
        <v>2136</v>
      </c>
      <c r="K471" s="29">
        <v>27.6</v>
      </c>
      <c r="L471" s="41">
        <v>74.57142857142857</v>
      </c>
      <c r="M471" s="46">
        <v>26.0</v>
      </c>
      <c r="N471" s="46">
        <v>5.0</v>
      </c>
      <c r="O471" s="47">
        <v>-2.1899046960523543</v>
      </c>
      <c r="P471" s="47">
        <v>-1.2912129671753731</v>
      </c>
      <c r="Q471" s="47">
        <v>-0.7528363424471874</v>
      </c>
      <c r="R471" s="47">
        <v>-1.060259098531347</v>
      </c>
      <c r="S471" s="47">
        <v>-1.7106089588440747</v>
      </c>
      <c r="T471" s="47">
        <v>-0.16952108464970286</v>
      </c>
      <c r="U471" s="47">
        <v>-1.5894260436982364</v>
      </c>
      <c r="V471" s="47">
        <v>0.0</v>
      </c>
      <c r="W471" s="47">
        <v>-1.3217299890887158</v>
      </c>
      <c r="X471" s="47">
        <v>1.1409130421567524</v>
      </c>
      <c r="Y471" s="50" t="s">
        <v>69</v>
      </c>
      <c r="Z471" s="50" t="s">
        <v>69</v>
      </c>
      <c r="AA471" s="50" t="s">
        <v>69</v>
      </c>
      <c r="AB471" s="50" t="s">
        <v>69</v>
      </c>
      <c r="AC471" s="34" t="str">
        <f t="shared" ref="AC471:AP471" si="471">LET(
  skater, IFERROR(INDEX(AllProj, MATCH($E471, AllProjNames, 0), MATCH(AC$2, AllProjCats, 0) + 1), ""),
  goalie, IFERROR(INDEX(AllGProj, MATCH($E471, AllGProjNames, 0), MATCH(AC$2, AllGProjCats, 0) + 1), ""),
  val, IF(skater &lt;&gt; "", skater, goalie),
  IF(OR($E471="", AC$2="", val=""), "", val * AC$1)
)</f>
        <v/>
      </c>
      <c r="AD471" s="34" t="str">
        <f t="shared" si="471"/>
        <v/>
      </c>
      <c r="AE471" s="34" t="str">
        <f t="shared" si="471"/>
        <v/>
      </c>
      <c r="AF471" s="34" t="str">
        <f t="shared" si="471"/>
        <v/>
      </c>
      <c r="AG471" s="34" t="str">
        <f t="shared" si="471"/>
        <v/>
      </c>
      <c r="AH471" s="34" t="str">
        <f t="shared" si="471"/>
        <v/>
      </c>
      <c r="AI471" s="34" t="str">
        <f t="shared" si="471"/>
        <v/>
      </c>
      <c r="AJ471" s="34" t="str">
        <f t="shared" si="471"/>
        <v/>
      </c>
      <c r="AK471" s="34" t="str">
        <f t="shared" si="471"/>
        <v/>
      </c>
      <c r="AL471" s="34" t="str">
        <f t="shared" si="471"/>
        <v/>
      </c>
      <c r="AM471" s="34" t="str">
        <f t="shared" si="471"/>
        <v/>
      </c>
      <c r="AN471" s="34" t="str">
        <f t="shared" si="471"/>
        <v/>
      </c>
      <c r="AO471" s="34" t="str">
        <f t="shared" si="471"/>
        <v/>
      </c>
      <c r="AP471" s="34" t="str">
        <f t="shared" si="471"/>
        <v/>
      </c>
      <c r="AQ471" s="76" t="s">
        <v>511</v>
      </c>
      <c r="AR471" s="77"/>
      <c r="AS471" s="77"/>
      <c r="AT471" s="77"/>
      <c r="AU471" s="77"/>
      <c r="AV471" s="77"/>
      <c r="AW471" s="77"/>
      <c r="AX471" s="77"/>
      <c r="AY471" s="77"/>
      <c r="AZ471" s="77"/>
      <c r="BA471" s="77"/>
      <c r="BB471" s="77"/>
      <c r="BC471" s="77"/>
      <c r="BD471" s="77"/>
      <c r="BE471" s="77"/>
      <c r="BF471" s="77"/>
      <c r="BG471" s="77"/>
      <c r="BH471" s="77"/>
      <c r="BI471" s="77"/>
      <c r="BJ471" s="77"/>
      <c r="BK471" s="77"/>
      <c r="BL471" s="77"/>
      <c r="BM471" s="78"/>
    </row>
    <row r="472">
      <c r="A472" s="79">
        <v>3.0714285714285716</v>
      </c>
      <c r="B472" s="79" t="b">
        <v>0</v>
      </c>
      <c r="C472" s="79" t="b">
        <f t="shared" si="3"/>
        <v>0</v>
      </c>
      <c r="D472" s="80" t="s">
        <v>1565</v>
      </c>
      <c r="E472" s="81" t="s">
        <v>1396</v>
      </c>
      <c r="F472" s="82" t="s">
        <v>854</v>
      </c>
      <c r="G472" s="35" t="s">
        <v>6</v>
      </c>
      <c r="H472" s="37">
        <v>-8.95254576466533</v>
      </c>
      <c r="I472" s="37">
        <v>-4.614322786195217</v>
      </c>
      <c r="J472" s="83" t="s">
        <v>2137</v>
      </c>
      <c r="K472" s="35">
        <v>31.0</v>
      </c>
      <c r="L472" s="79">
        <v>10.0</v>
      </c>
      <c r="M472" s="84">
        <v>16.0</v>
      </c>
      <c r="N472" s="84">
        <v>6.0</v>
      </c>
      <c r="O472" s="96" t="s">
        <v>69</v>
      </c>
      <c r="P472" s="96" t="s">
        <v>69</v>
      </c>
      <c r="Q472" s="96" t="s">
        <v>69</v>
      </c>
      <c r="R472" s="96" t="s">
        <v>69</v>
      </c>
      <c r="S472" s="96" t="s">
        <v>69</v>
      </c>
      <c r="T472" s="96" t="s">
        <v>69</v>
      </c>
      <c r="U472" s="96" t="s">
        <v>69</v>
      </c>
      <c r="V472" s="96" t="s">
        <v>69</v>
      </c>
      <c r="W472" s="96" t="s">
        <v>69</v>
      </c>
      <c r="X472" s="96" t="s">
        <v>69</v>
      </c>
      <c r="Y472" s="95">
        <v>-4.113665013326633</v>
      </c>
      <c r="Z472" s="95">
        <v>-2.664070044129037</v>
      </c>
      <c r="AA472" s="95">
        <v>-2.1748107072096605</v>
      </c>
      <c r="AB472" s="95">
        <v>0.0</v>
      </c>
      <c r="AC472" s="34" t="str">
        <f t="shared" ref="AC472:AP472" si="472">LET(
  skater, IFERROR(INDEX(AllProj, MATCH($E472, AllProjNames, 0), MATCH(AC$2, AllProjCats, 0) + 1), ""),
  goalie, IFERROR(INDEX(AllGProj, MATCH($E472, AllGProjNames, 0), MATCH(AC$2, AllGProjCats, 0) + 1), ""),
  val, IF(skater &lt;&gt; "", skater, goalie),
  IF(OR($E472="", AC$2="", val=""), "", val * AC$1)
)</f>
        <v/>
      </c>
      <c r="AD472" s="34" t="str">
        <f t="shared" si="472"/>
        <v/>
      </c>
      <c r="AE472" s="34" t="str">
        <f t="shared" si="472"/>
        <v/>
      </c>
      <c r="AF472" s="34" t="str">
        <f t="shared" si="472"/>
        <v/>
      </c>
      <c r="AG472" s="34" t="str">
        <f t="shared" si="472"/>
        <v/>
      </c>
      <c r="AH472" s="34" t="str">
        <f t="shared" si="472"/>
        <v/>
      </c>
      <c r="AI472" s="34" t="str">
        <f t="shared" si="472"/>
        <v/>
      </c>
      <c r="AJ472" s="34" t="str">
        <f t="shared" si="472"/>
        <v/>
      </c>
      <c r="AK472" s="34" t="str">
        <f t="shared" si="472"/>
        <v/>
      </c>
      <c r="AL472" s="34" t="str">
        <f t="shared" si="472"/>
        <v/>
      </c>
      <c r="AM472" s="34" t="str">
        <f t="shared" si="472"/>
        <v/>
      </c>
      <c r="AN472" s="34" t="str">
        <f t="shared" si="472"/>
        <v/>
      </c>
      <c r="AO472" s="34" t="str">
        <f t="shared" si="472"/>
        <v/>
      </c>
      <c r="AP472" s="34" t="str">
        <f t="shared" si="472"/>
        <v/>
      </c>
      <c r="AQ472" s="76" t="s">
        <v>512</v>
      </c>
      <c r="AR472" s="77"/>
      <c r="AS472" s="77"/>
      <c r="AT472" s="77"/>
      <c r="AU472" s="77"/>
      <c r="AV472" s="77"/>
      <c r="AW472" s="77"/>
      <c r="AX472" s="77"/>
      <c r="AY472" s="77"/>
      <c r="AZ472" s="77"/>
      <c r="BA472" s="77"/>
      <c r="BB472" s="77"/>
      <c r="BC472" s="77"/>
      <c r="BD472" s="77"/>
      <c r="BE472" s="77"/>
      <c r="BF472" s="77"/>
      <c r="BG472" s="77"/>
      <c r="BH472" s="77"/>
      <c r="BI472" s="77"/>
      <c r="BJ472" s="77"/>
      <c r="BK472" s="77"/>
      <c r="BL472" s="77"/>
      <c r="BM472" s="78"/>
    </row>
    <row r="473">
      <c r="A473" s="41">
        <v>2.5</v>
      </c>
      <c r="B473" s="41" t="b">
        <v>0</v>
      </c>
      <c r="C473" s="41" t="b">
        <f t="shared" si="3"/>
        <v>0</v>
      </c>
      <c r="D473" s="42" t="s">
        <v>1565</v>
      </c>
      <c r="E473" s="43" t="s">
        <v>909</v>
      </c>
      <c r="F473" s="44" t="s">
        <v>1299</v>
      </c>
      <c r="G473" s="29" t="s">
        <v>832</v>
      </c>
      <c r="H473" s="32">
        <v>-8.9578209677758</v>
      </c>
      <c r="I473" s="32">
        <v>-3.5156833590479435</v>
      </c>
      <c r="J473" s="45" t="s">
        <v>2138</v>
      </c>
      <c r="K473" s="29">
        <v>24.0</v>
      </c>
      <c r="L473" s="41">
        <v>81.00926470588236</v>
      </c>
      <c r="M473" s="46">
        <v>31.0</v>
      </c>
      <c r="N473" s="46">
        <v>7.0</v>
      </c>
      <c r="O473" s="47">
        <v>-0.44263772698770215</v>
      </c>
      <c r="P473" s="47">
        <v>-0.9843195602598122</v>
      </c>
      <c r="Q473" s="47">
        <v>-1.4489149481235257</v>
      </c>
      <c r="R473" s="47">
        <v>-1.891883092495751</v>
      </c>
      <c r="S473" s="47">
        <v>-1.4528352289192201</v>
      </c>
      <c r="T473" s="47">
        <v>0.8081135844784995</v>
      </c>
      <c r="U473" s="47">
        <v>-1.1949808311765975</v>
      </c>
      <c r="V473" s="47">
        <v>0.0</v>
      </c>
      <c r="W473" s="47">
        <v>-1.0551255748431507</v>
      </c>
      <c r="X473" s="47">
        <v>-1.2952375894485413</v>
      </c>
      <c r="Y473" s="50" t="s">
        <v>69</v>
      </c>
      <c r="Z473" s="50" t="s">
        <v>69</v>
      </c>
      <c r="AA473" s="50" t="s">
        <v>69</v>
      </c>
      <c r="AB473" s="50" t="s">
        <v>69</v>
      </c>
      <c r="AC473" s="34" t="str">
        <f t="shared" ref="AC473:AP473" si="473">LET(
  skater, IFERROR(INDEX(AllProj, MATCH($E473, AllProjNames, 0), MATCH(AC$2, AllProjCats, 0) + 1), ""),
  goalie, IFERROR(INDEX(AllGProj, MATCH($E473, AllGProjNames, 0), MATCH(AC$2, AllGProjCats, 0) + 1), ""),
  val, IF(skater &lt;&gt; "", skater, goalie),
  IF(OR($E473="", AC$2="", val=""), "", val * AC$1)
)</f>
        <v/>
      </c>
      <c r="AD473" s="34" t="str">
        <f t="shared" si="473"/>
        <v/>
      </c>
      <c r="AE473" s="34" t="str">
        <f t="shared" si="473"/>
        <v/>
      </c>
      <c r="AF473" s="34" t="str">
        <f t="shared" si="473"/>
        <v/>
      </c>
      <c r="AG473" s="34" t="str">
        <f t="shared" si="473"/>
        <v/>
      </c>
      <c r="AH473" s="34" t="str">
        <f t="shared" si="473"/>
        <v/>
      </c>
      <c r="AI473" s="34" t="str">
        <f t="shared" si="473"/>
        <v/>
      </c>
      <c r="AJ473" s="34" t="str">
        <f t="shared" si="473"/>
        <v/>
      </c>
      <c r="AK473" s="34" t="str">
        <f t="shared" si="473"/>
        <v/>
      </c>
      <c r="AL473" s="34" t="str">
        <f t="shared" si="473"/>
        <v/>
      </c>
      <c r="AM473" s="34" t="str">
        <f t="shared" si="473"/>
        <v/>
      </c>
      <c r="AN473" s="34" t="str">
        <f t="shared" si="473"/>
        <v/>
      </c>
      <c r="AO473" s="34" t="str">
        <f t="shared" si="473"/>
        <v/>
      </c>
      <c r="AP473" s="34" t="str">
        <f t="shared" si="473"/>
        <v/>
      </c>
      <c r="AQ473" s="76" t="s">
        <v>513</v>
      </c>
      <c r="AR473" s="77"/>
      <c r="AS473" s="77"/>
      <c r="AT473" s="77"/>
      <c r="AU473" s="77"/>
      <c r="AV473" s="77"/>
      <c r="AW473" s="77"/>
      <c r="AX473" s="77"/>
      <c r="AY473" s="77"/>
      <c r="AZ473" s="77"/>
      <c r="BA473" s="77"/>
      <c r="BB473" s="77"/>
      <c r="BC473" s="77"/>
      <c r="BD473" s="77"/>
      <c r="BE473" s="77"/>
      <c r="BF473" s="77"/>
      <c r="BG473" s="77"/>
      <c r="BH473" s="77"/>
      <c r="BI473" s="77"/>
      <c r="BJ473" s="77"/>
      <c r="BK473" s="77"/>
      <c r="BL473" s="77"/>
      <c r="BM473" s="78"/>
    </row>
    <row r="474">
      <c r="A474" s="79">
        <v>2.5714285714285716</v>
      </c>
      <c r="B474" s="79" t="b">
        <v>0</v>
      </c>
      <c r="C474" s="79" t="b">
        <f t="shared" si="3"/>
        <v>0</v>
      </c>
      <c r="D474" s="80" t="s">
        <v>1565</v>
      </c>
      <c r="E474" s="81" t="s">
        <v>987</v>
      </c>
      <c r="F474" s="82" t="s">
        <v>1505</v>
      </c>
      <c r="G474" s="35" t="s">
        <v>837</v>
      </c>
      <c r="H474" s="37">
        <v>-8.976817966185012</v>
      </c>
      <c r="I474" s="37">
        <v>-3.4469591942561104</v>
      </c>
      <c r="J474" s="83" t="s">
        <v>2139</v>
      </c>
      <c r="K474" s="35">
        <v>35.2</v>
      </c>
      <c r="L474" s="79">
        <v>81.77777777777777</v>
      </c>
      <c r="M474" s="84">
        <v>30.0</v>
      </c>
      <c r="N474" s="84">
        <v>5.0</v>
      </c>
      <c r="O474" s="85">
        <v>-2.0952870477413117</v>
      </c>
      <c r="P474" s="85">
        <v>-1.3048749390733927</v>
      </c>
      <c r="Q474" s="85">
        <v>0.966426222274555</v>
      </c>
      <c r="R474" s="85">
        <v>-1.2992719727849948</v>
      </c>
      <c r="S474" s="85">
        <v>-1.404571068022602</v>
      </c>
      <c r="T474" s="85">
        <v>-0.7871777123417198</v>
      </c>
      <c r="U474" s="85">
        <v>-1.9592141355238646</v>
      </c>
      <c r="V474" s="85">
        <v>0.0</v>
      </c>
      <c r="W474" s="85">
        <v>-1.1030212201490577</v>
      </c>
      <c r="X474" s="85">
        <v>0.010173907177376752</v>
      </c>
      <c r="Y474" s="50" t="s">
        <v>69</v>
      </c>
      <c r="Z474" s="50" t="s">
        <v>69</v>
      </c>
      <c r="AA474" s="50" t="s">
        <v>69</v>
      </c>
      <c r="AB474" s="50" t="s">
        <v>69</v>
      </c>
      <c r="AC474" s="34" t="str">
        <f t="shared" ref="AC474:AP474" si="474">LET(
  skater, IFERROR(INDEX(AllProj, MATCH($E474, AllProjNames, 0), MATCH(AC$2, AllProjCats, 0) + 1), ""),
  goalie, IFERROR(INDEX(AllGProj, MATCH($E474, AllGProjNames, 0), MATCH(AC$2, AllGProjCats, 0) + 1), ""),
  val, IF(skater &lt;&gt; "", skater, goalie),
  IF(OR($E474="", AC$2="", val=""), "", val * AC$1)
)</f>
        <v/>
      </c>
      <c r="AD474" s="34" t="str">
        <f t="shared" si="474"/>
        <v/>
      </c>
      <c r="AE474" s="34" t="str">
        <f t="shared" si="474"/>
        <v/>
      </c>
      <c r="AF474" s="34" t="str">
        <f t="shared" si="474"/>
        <v/>
      </c>
      <c r="AG474" s="34" t="str">
        <f t="shared" si="474"/>
        <v/>
      </c>
      <c r="AH474" s="34" t="str">
        <f t="shared" si="474"/>
        <v/>
      </c>
      <c r="AI474" s="34" t="str">
        <f t="shared" si="474"/>
        <v/>
      </c>
      <c r="AJ474" s="34" t="str">
        <f t="shared" si="474"/>
        <v/>
      </c>
      <c r="AK474" s="34" t="str">
        <f t="shared" si="474"/>
        <v/>
      </c>
      <c r="AL474" s="34" t="str">
        <f t="shared" si="474"/>
        <v/>
      </c>
      <c r="AM474" s="34" t="str">
        <f t="shared" si="474"/>
        <v/>
      </c>
      <c r="AN474" s="34" t="str">
        <f t="shared" si="474"/>
        <v/>
      </c>
      <c r="AO474" s="34" t="str">
        <f t="shared" si="474"/>
        <v/>
      </c>
      <c r="AP474" s="34" t="str">
        <f t="shared" si="474"/>
        <v/>
      </c>
      <c r="AQ474" s="76" t="s">
        <v>514</v>
      </c>
      <c r="AR474" s="77"/>
      <c r="AS474" s="77"/>
      <c r="AT474" s="77"/>
      <c r="AU474" s="77"/>
      <c r="AV474" s="77"/>
      <c r="AW474" s="77"/>
      <c r="AX474" s="77"/>
      <c r="AY474" s="77"/>
      <c r="AZ474" s="77"/>
      <c r="BA474" s="77"/>
      <c r="BB474" s="77"/>
      <c r="BC474" s="77"/>
      <c r="BD474" s="77"/>
      <c r="BE474" s="77"/>
      <c r="BF474" s="77"/>
      <c r="BG474" s="77"/>
      <c r="BH474" s="77"/>
      <c r="BI474" s="77"/>
      <c r="BJ474" s="77"/>
      <c r="BK474" s="77"/>
      <c r="BL474" s="77"/>
      <c r="BM474" s="78"/>
    </row>
    <row r="475">
      <c r="A475" s="41">
        <v>2.5714285714285716</v>
      </c>
      <c r="B475" s="41" t="b">
        <v>0</v>
      </c>
      <c r="C475" s="41" t="b">
        <f t="shared" si="3"/>
        <v>0</v>
      </c>
      <c r="D475" s="42" t="s">
        <v>1565</v>
      </c>
      <c r="E475" s="43" t="s">
        <v>1094</v>
      </c>
      <c r="F475" s="44" t="s">
        <v>1416</v>
      </c>
      <c r="G475" s="29" t="s">
        <v>837</v>
      </c>
      <c r="H475" s="32">
        <v>-9.01606099311931</v>
      </c>
      <c r="I475" s="32">
        <v>-3.4862022211904096</v>
      </c>
      <c r="J475" s="45" t="s">
        <v>2140</v>
      </c>
      <c r="K475" s="29">
        <v>25.6</v>
      </c>
      <c r="L475" s="41">
        <v>65.6</v>
      </c>
      <c r="M475" s="46">
        <v>29.0</v>
      </c>
      <c r="N475" s="46">
        <v>7.0</v>
      </c>
      <c r="O475" s="47">
        <v>-2.415549821897928</v>
      </c>
      <c r="P475" s="47">
        <v>-2.1955323976023964</v>
      </c>
      <c r="Q475" s="47">
        <v>-1.6443420342500408</v>
      </c>
      <c r="R475" s="47">
        <v>2.582960262202002</v>
      </c>
      <c r="S475" s="47">
        <v>-1.72461069241107</v>
      </c>
      <c r="T475" s="47">
        <v>-0.7871777123417198</v>
      </c>
      <c r="U475" s="47">
        <v>-2.6213714141684985</v>
      </c>
      <c r="V475" s="47">
        <v>0.0</v>
      </c>
      <c r="W475" s="47">
        <v>0.9518003571094812</v>
      </c>
      <c r="X475" s="47">
        <v>-1.1622375397591416</v>
      </c>
      <c r="Y475" s="50" t="s">
        <v>69</v>
      </c>
      <c r="Z475" s="50" t="s">
        <v>69</v>
      </c>
      <c r="AA475" s="50" t="s">
        <v>69</v>
      </c>
      <c r="AB475" s="50" t="s">
        <v>69</v>
      </c>
      <c r="AC475" s="34" t="str">
        <f t="shared" ref="AC475:AP475" si="475">LET(
  skater, IFERROR(INDEX(AllProj, MATCH($E475, AllProjNames, 0), MATCH(AC$2, AllProjCats, 0) + 1), ""),
  goalie, IFERROR(INDEX(AllGProj, MATCH($E475, AllGProjNames, 0), MATCH(AC$2, AllGProjCats, 0) + 1), ""),
  val, IF(skater &lt;&gt; "", skater, goalie),
  IF(OR($E475="", AC$2="", val=""), "", val * AC$1)
)</f>
        <v/>
      </c>
      <c r="AD475" s="34" t="str">
        <f t="shared" si="475"/>
        <v/>
      </c>
      <c r="AE475" s="34" t="str">
        <f t="shared" si="475"/>
        <v/>
      </c>
      <c r="AF475" s="34" t="str">
        <f t="shared" si="475"/>
        <v/>
      </c>
      <c r="AG475" s="34" t="str">
        <f t="shared" si="475"/>
        <v/>
      </c>
      <c r="AH475" s="34" t="str">
        <f t="shared" si="475"/>
        <v/>
      </c>
      <c r="AI475" s="34" t="str">
        <f t="shared" si="475"/>
        <v/>
      </c>
      <c r="AJ475" s="34" t="str">
        <f t="shared" si="475"/>
        <v/>
      </c>
      <c r="AK475" s="34" t="str">
        <f t="shared" si="475"/>
        <v/>
      </c>
      <c r="AL475" s="34" t="str">
        <f t="shared" si="475"/>
        <v/>
      </c>
      <c r="AM475" s="34" t="str">
        <f t="shared" si="475"/>
        <v/>
      </c>
      <c r="AN475" s="34" t="str">
        <f t="shared" si="475"/>
        <v/>
      </c>
      <c r="AO475" s="34" t="str">
        <f t="shared" si="475"/>
        <v/>
      </c>
      <c r="AP475" s="34" t="str">
        <f t="shared" si="475"/>
        <v/>
      </c>
      <c r="AQ475" s="76" t="s">
        <v>515</v>
      </c>
      <c r="AR475" s="77"/>
      <c r="AS475" s="77"/>
      <c r="AT475" s="77"/>
      <c r="AU475" s="77"/>
      <c r="AV475" s="77"/>
      <c r="AW475" s="77"/>
      <c r="AX475" s="77"/>
      <c r="AY475" s="77"/>
      <c r="AZ475" s="77"/>
      <c r="BA475" s="77"/>
      <c r="BB475" s="77"/>
      <c r="BC475" s="77"/>
      <c r="BD475" s="77"/>
      <c r="BE475" s="77"/>
      <c r="BF475" s="77"/>
      <c r="BG475" s="77"/>
      <c r="BH475" s="77"/>
      <c r="BI475" s="77"/>
      <c r="BJ475" s="77"/>
      <c r="BK475" s="77"/>
      <c r="BL475" s="77"/>
      <c r="BM475" s="78"/>
    </row>
    <row r="476">
      <c r="A476" s="79">
        <v>2.5</v>
      </c>
      <c r="B476" s="79" t="b">
        <v>0</v>
      </c>
      <c r="C476" s="79" t="b">
        <f t="shared" si="3"/>
        <v>0</v>
      </c>
      <c r="D476" s="80" t="s">
        <v>1565</v>
      </c>
      <c r="E476" s="81" t="s">
        <v>880</v>
      </c>
      <c r="F476" s="82" t="s">
        <v>854</v>
      </c>
      <c r="G476" s="35" t="s">
        <v>836</v>
      </c>
      <c r="H476" s="37">
        <v>-9.017473275251326</v>
      </c>
      <c r="I476" s="37">
        <v>-3.5753356665234692</v>
      </c>
      <c r="J476" s="83" t="s">
        <v>2141</v>
      </c>
      <c r="K476" s="35">
        <v>25.5</v>
      </c>
      <c r="L476" s="79">
        <v>78.0</v>
      </c>
      <c r="M476" s="84">
        <v>16.0</v>
      </c>
      <c r="N476" s="84">
        <v>6.0</v>
      </c>
      <c r="O476" s="85">
        <v>-1.2736705067112504</v>
      </c>
      <c r="P476" s="85">
        <v>-1.2146543699355277</v>
      </c>
      <c r="Q476" s="96" t="s">
        <v>69</v>
      </c>
      <c r="R476" s="85">
        <v>-2.054994760165026</v>
      </c>
      <c r="S476" s="96" t="s">
        <v>69</v>
      </c>
      <c r="T476" s="96" t="s">
        <v>69</v>
      </c>
      <c r="U476" s="85">
        <v>-1.4270960815875788</v>
      </c>
      <c r="V476" s="96" t="s">
        <v>69</v>
      </c>
      <c r="W476" s="85">
        <v>-1.3293412103754323</v>
      </c>
      <c r="X476" s="85">
        <v>-1.717716346476512</v>
      </c>
      <c r="Y476" s="50" t="s">
        <v>69</v>
      </c>
      <c r="Z476" s="50" t="s">
        <v>69</v>
      </c>
      <c r="AA476" s="50" t="s">
        <v>69</v>
      </c>
      <c r="AB476" s="50" t="s">
        <v>69</v>
      </c>
      <c r="AC476" s="34" t="str">
        <f t="shared" ref="AC476:AP476" si="476">LET(
  skater, IFERROR(INDEX(AllProj, MATCH($E476, AllProjNames, 0), MATCH(AC$2, AllProjCats, 0) + 1), ""),
  goalie, IFERROR(INDEX(AllGProj, MATCH($E476, AllGProjNames, 0), MATCH(AC$2, AllGProjCats, 0) + 1), ""),
  val, IF(skater &lt;&gt; "", skater, goalie),
  IF(OR($E476="", AC$2="", val=""), "", val * AC$1)
)</f>
        <v/>
      </c>
      <c r="AD476" s="34" t="str">
        <f t="shared" si="476"/>
        <v/>
      </c>
      <c r="AE476" s="34" t="str">
        <f t="shared" si="476"/>
        <v/>
      </c>
      <c r="AF476" s="34" t="str">
        <f t="shared" si="476"/>
        <v/>
      </c>
      <c r="AG476" s="34" t="str">
        <f t="shared" si="476"/>
        <v/>
      </c>
      <c r="AH476" s="34" t="str">
        <f t="shared" si="476"/>
        <v/>
      </c>
      <c r="AI476" s="34" t="str">
        <f t="shared" si="476"/>
        <v/>
      </c>
      <c r="AJ476" s="34" t="str">
        <f t="shared" si="476"/>
        <v/>
      </c>
      <c r="AK476" s="34" t="str">
        <f t="shared" si="476"/>
        <v/>
      </c>
      <c r="AL476" s="34" t="str">
        <f t="shared" si="476"/>
        <v/>
      </c>
      <c r="AM476" s="34" t="str">
        <f t="shared" si="476"/>
        <v/>
      </c>
      <c r="AN476" s="34" t="str">
        <f t="shared" si="476"/>
        <v/>
      </c>
      <c r="AO476" s="34" t="str">
        <f t="shared" si="476"/>
        <v/>
      </c>
      <c r="AP476" s="34" t="str">
        <f t="shared" si="476"/>
        <v/>
      </c>
      <c r="AQ476" s="76" t="s">
        <v>516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8"/>
    </row>
    <row r="477">
      <c r="A477" s="41">
        <v>2.642857142857143</v>
      </c>
      <c r="B477" s="41" t="b">
        <v>0</v>
      </c>
      <c r="C477" s="41" t="b">
        <f t="shared" si="3"/>
        <v>0</v>
      </c>
      <c r="D477" s="42" t="s">
        <v>1565</v>
      </c>
      <c r="E477" s="43" t="s">
        <v>1190</v>
      </c>
      <c r="F477" s="44" t="s">
        <v>849</v>
      </c>
      <c r="G477" s="29" t="s">
        <v>284</v>
      </c>
      <c r="H477" s="32">
        <v>-9.01758628140302</v>
      </c>
      <c r="I477" s="32">
        <v>-3.9795202612199345</v>
      </c>
      <c r="J477" s="45" t="s">
        <v>2142</v>
      </c>
      <c r="K477" s="29">
        <v>31.2</v>
      </c>
      <c r="L477" s="41">
        <v>76.77777777777777</v>
      </c>
      <c r="M477" s="46">
        <v>29.0</v>
      </c>
      <c r="N477" s="46">
        <v>6.0</v>
      </c>
      <c r="O477" s="47">
        <v>-1.4357581236491537</v>
      </c>
      <c r="P477" s="47">
        <v>-1.6242557538214348</v>
      </c>
      <c r="Q477" s="47">
        <v>-1.4095676242311144</v>
      </c>
      <c r="R477" s="47">
        <v>-0.67894376157177</v>
      </c>
      <c r="S477" s="47">
        <v>-1.72461069241107</v>
      </c>
      <c r="T477" s="47">
        <v>-0.16952108464970286</v>
      </c>
      <c r="U477" s="47">
        <v>-1.9116762113969914</v>
      </c>
      <c r="V477" s="47">
        <v>1.1525408497096779</v>
      </c>
      <c r="W477" s="47">
        <v>-0.4085785942029374</v>
      </c>
      <c r="X477" s="47">
        <v>-0.8072152851785238</v>
      </c>
      <c r="Y477" s="50" t="s">
        <v>69</v>
      </c>
      <c r="Z477" s="50" t="s">
        <v>69</v>
      </c>
      <c r="AA477" s="50" t="s">
        <v>69</v>
      </c>
      <c r="AB477" s="50" t="s">
        <v>69</v>
      </c>
      <c r="AC477" s="34" t="str">
        <f t="shared" ref="AC477:AP477" si="477">LET(
  skater, IFERROR(INDEX(AllProj, MATCH($E477, AllProjNames, 0), MATCH(AC$2, AllProjCats, 0) + 1), ""),
  goalie, IFERROR(INDEX(AllGProj, MATCH($E477, AllGProjNames, 0), MATCH(AC$2, AllGProjCats, 0) + 1), ""),
  val, IF(skater &lt;&gt; "", skater, goalie),
  IF(OR($E477="", AC$2="", val=""), "", val * AC$1)
)</f>
        <v/>
      </c>
      <c r="AD477" s="34" t="str">
        <f t="shared" si="477"/>
        <v/>
      </c>
      <c r="AE477" s="34" t="str">
        <f t="shared" si="477"/>
        <v/>
      </c>
      <c r="AF477" s="34" t="str">
        <f t="shared" si="477"/>
        <v/>
      </c>
      <c r="AG477" s="34" t="str">
        <f t="shared" si="477"/>
        <v/>
      </c>
      <c r="AH477" s="34" t="str">
        <f t="shared" si="477"/>
        <v/>
      </c>
      <c r="AI477" s="34" t="str">
        <f t="shared" si="477"/>
        <v/>
      </c>
      <c r="AJ477" s="34" t="str">
        <f t="shared" si="477"/>
        <v/>
      </c>
      <c r="AK477" s="34" t="str">
        <f t="shared" si="477"/>
        <v/>
      </c>
      <c r="AL477" s="34" t="str">
        <f t="shared" si="477"/>
        <v/>
      </c>
      <c r="AM477" s="34" t="str">
        <f t="shared" si="477"/>
        <v/>
      </c>
      <c r="AN477" s="34" t="str">
        <f t="shared" si="477"/>
        <v/>
      </c>
      <c r="AO477" s="34" t="str">
        <f t="shared" si="477"/>
        <v/>
      </c>
      <c r="AP477" s="34" t="str">
        <f t="shared" si="477"/>
        <v/>
      </c>
      <c r="AQ477" s="76" t="s">
        <v>517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8"/>
    </row>
    <row r="478">
      <c r="A478" s="79">
        <v>2.642857142857143</v>
      </c>
      <c r="B478" s="79" t="b">
        <v>0</v>
      </c>
      <c r="C478" s="79" t="b">
        <f t="shared" si="3"/>
        <v>0</v>
      </c>
      <c r="D478" s="80" t="s">
        <v>1565</v>
      </c>
      <c r="E478" s="81" t="s">
        <v>1186</v>
      </c>
      <c r="F478" s="82" t="s">
        <v>854</v>
      </c>
      <c r="G478" s="35" t="s">
        <v>836</v>
      </c>
      <c r="H478" s="37">
        <v>-9.048091641255784</v>
      </c>
      <c r="I478" s="37">
        <v>-3.6059540325279267</v>
      </c>
      <c r="J478" s="83" t="s">
        <v>2143</v>
      </c>
      <c r="K478" s="35">
        <v>32.7</v>
      </c>
      <c r="L478" s="79">
        <v>79.28571428571429</v>
      </c>
      <c r="M478" s="84">
        <v>16.0</v>
      </c>
      <c r="N478" s="84">
        <v>6.0</v>
      </c>
      <c r="O478" s="85">
        <v>-1.6293849566907377</v>
      </c>
      <c r="P478" s="85">
        <v>-1.9315212349995354</v>
      </c>
      <c r="Q478" s="85">
        <v>-0.8271100809365304</v>
      </c>
      <c r="R478" s="85">
        <v>-0.900390867197363</v>
      </c>
      <c r="S478" s="85">
        <v>-1.7199434478887383</v>
      </c>
      <c r="T478" s="85">
        <v>-0.16952108464970286</v>
      </c>
      <c r="U478" s="85">
        <v>-1.781987496728288</v>
      </c>
      <c r="V478" s="85">
        <v>0.0</v>
      </c>
      <c r="W478" s="85">
        <v>1.1027367300106699</v>
      </c>
      <c r="X478" s="85">
        <v>-1.1909692021755574</v>
      </c>
      <c r="Y478" s="50" t="s">
        <v>69</v>
      </c>
      <c r="Z478" s="50" t="s">
        <v>69</v>
      </c>
      <c r="AA478" s="50" t="s">
        <v>69</v>
      </c>
      <c r="AB478" s="50" t="s">
        <v>69</v>
      </c>
      <c r="AC478" s="34" t="str">
        <f t="shared" ref="AC478:AP478" si="478">LET(
  skater, IFERROR(INDEX(AllProj, MATCH($E478, AllProjNames, 0), MATCH(AC$2, AllProjCats, 0) + 1), ""),
  goalie, IFERROR(INDEX(AllGProj, MATCH($E478, AllGProjNames, 0), MATCH(AC$2, AllGProjCats, 0) + 1), ""),
  val, IF(skater &lt;&gt; "", skater, goalie),
  IF(OR($E478="", AC$2="", val=""), "", val * AC$1)
)</f>
        <v/>
      </c>
      <c r="AD478" s="34" t="str">
        <f t="shared" si="478"/>
        <v/>
      </c>
      <c r="AE478" s="34" t="str">
        <f t="shared" si="478"/>
        <v/>
      </c>
      <c r="AF478" s="34" t="str">
        <f t="shared" si="478"/>
        <v/>
      </c>
      <c r="AG478" s="34" t="str">
        <f t="shared" si="478"/>
        <v/>
      </c>
      <c r="AH478" s="34" t="str">
        <f t="shared" si="478"/>
        <v/>
      </c>
      <c r="AI478" s="34" t="str">
        <f t="shared" si="478"/>
        <v/>
      </c>
      <c r="AJ478" s="34" t="str">
        <f t="shared" si="478"/>
        <v/>
      </c>
      <c r="AK478" s="34" t="str">
        <f t="shared" si="478"/>
        <v/>
      </c>
      <c r="AL478" s="34" t="str">
        <f t="shared" si="478"/>
        <v/>
      </c>
      <c r="AM478" s="34" t="str">
        <f t="shared" si="478"/>
        <v/>
      </c>
      <c r="AN478" s="34" t="str">
        <f t="shared" si="478"/>
        <v/>
      </c>
      <c r="AO478" s="34" t="str">
        <f t="shared" si="478"/>
        <v/>
      </c>
      <c r="AP478" s="34" t="str">
        <f t="shared" si="478"/>
        <v/>
      </c>
      <c r="AQ478" s="76" t="s">
        <v>518</v>
      </c>
      <c r="AR478" s="77"/>
      <c r="AS478" s="77"/>
      <c r="AT478" s="77"/>
      <c r="AU478" s="77"/>
      <c r="AV478" s="77"/>
      <c r="AW478" s="77"/>
      <c r="AX478" s="77"/>
      <c r="AY478" s="77"/>
      <c r="AZ478" s="77"/>
      <c r="BA478" s="77"/>
      <c r="BB478" s="77"/>
      <c r="BC478" s="77"/>
      <c r="BD478" s="77"/>
      <c r="BE478" s="77"/>
      <c r="BF478" s="77"/>
      <c r="BG478" s="77"/>
      <c r="BH478" s="77"/>
      <c r="BI478" s="77"/>
      <c r="BJ478" s="77"/>
      <c r="BK478" s="77"/>
      <c r="BL478" s="77"/>
      <c r="BM478" s="78"/>
    </row>
    <row r="479">
      <c r="A479" s="41">
        <v>2.5714285714285716</v>
      </c>
      <c r="B479" s="41" t="b">
        <v>0</v>
      </c>
      <c r="C479" s="41" t="b">
        <f t="shared" si="3"/>
        <v>0</v>
      </c>
      <c r="D479" s="42" t="s">
        <v>1565</v>
      </c>
      <c r="E479" s="43" t="s">
        <v>933</v>
      </c>
      <c r="F479" s="44" t="s">
        <v>1299</v>
      </c>
      <c r="G479" s="29" t="s">
        <v>832</v>
      </c>
      <c r="H479" s="32">
        <v>-9.059334145947048</v>
      </c>
      <c r="I479" s="32">
        <v>-3.6171965372191908</v>
      </c>
      <c r="J479" s="45" t="s">
        <v>2144</v>
      </c>
      <c r="K479" s="29">
        <v>27.4</v>
      </c>
      <c r="L479" s="41">
        <v>79.0</v>
      </c>
      <c r="M479" s="46">
        <v>31.0</v>
      </c>
      <c r="N479" s="46">
        <v>7.0</v>
      </c>
      <c r="O479" s="47">
        <v>-1.90245867586691</v>
      </c>
      <c r="P479" s="47">
        <v>-1.7830439555040773</v>
      </c>
      <c r="Q479" s="94" t="s">
        <v>69</v>
      </c>
      <c r="R479" s="47">
        <v>-1.5576269293481866</v>
      </c>
      <c r="S479" s="94" t="s">
        <v>69</v>
      </c>
      <c r="T479" s="94" t="s">
        <v>69</v>
      </c>
      <c r="U479" s="47">
        <v>-1.6341160737529925</v>
      </c>
      <c r="V479" s="94" t="s">
        <v>69</v>
      </c>
      <c r="W479" s="47">
        <v>-1.0629484653403634</v>
      </c>
      <c r="X479" s="47">
        <v>-1.1191400461345182</v>
      </c>
      <c r="Y479" s="50" t="s">
        <v>69</v>
      </c>
      <c r="Z479" s="50" t="s">
        <v>69</v>
      </c>
      <c r="AA479" s="50" t="s">
        <v>69</v>
      </c>
      <c r="AB479" s="50" t="s">
        <v>69</v>
      </c>
      <c r="AC479" s="34" t="str">
        <f t="shared" ref="AC479:AP479" si="479">LET(
  skater, IFERROR(INDEX(AllProj, MATCH($E479, AllProjNames, 0), MATCH(AC$2, AllProjCats, 0) + 1), ""),
  goalie, IFERROR(INDEX(AllGProj, MATCH($E479, AllGProjNames, 0), MATCH(AC$2, AllGProjCats, 0) + 1), ""),
  val, IF(skater &lt;&gt; "", skater, goalie),
  IF(OR($E479="", AC$2="", val=""), "", val * AC$1)
)</f>
        <v/>
      </c>
      <c r="AD479" s="34" t="str">
        <f t="shared" si="479"/>
        <v/>
      </c>
      <c r="AE479" s="34" t="str">
        <f t="shared" si="479"/>
        <v/>
      </c>
      <c r="AF479" s="34" t="str">
        <f t="shared" si="479"/>
        <v/>
      </c>
      <c r="AG479" s="34" t="str">
        <f t="shared" si="479"/>
        <v/>
      </c>
      <c r="AH479" s="34" t="str">
        <f t="shared" si="479"/>
        <v/>
      </c>
      <c r="AI479" s="34" t="str">
        <f t="shared" si="479"/>
        <v/>
      </c>
      <c r="AJ479" s="34" t="str">
        <f t="shared" si="479"/>
        <v/>
      </c>
      <c r="AK479" s="34" t="str">
        <f t="shared" si="479"/>
        <v/>
      </c>
      <c r="AL479" s="34" t="str">
        <f t="shared" si="479"/>
        <v/>
      </c>
      <c r="AM479" s="34" t="str">
        <f t="shared" si="479"/>
        <v/>
      </c>
      <c r="AN479" s="34" t="str">
        <f t="shared" si="479"/>
        <v/>
      </c>
      <c r="AO479" s="34" t="str">
        <f t="shared" si="479"/>
        <v/>
      </c>
      <c r="AP479" s="34" t="str">
        <f t="shared" si="479"/>
        <v/>
      </c>
      <c r="AQ479" s="76" t="s">
        <v>519</v>
      </c>
      <c r="AR479" s="77"/>
      <c r="AS479" s="77"/>
      <c r="AT479" s="77"/>
      <c r="AU479" s="77"/>
      <c r="AV479" s="77"/>
      <c r="AW479" s="77"/>
      <c r="AX479" s="77"/>
      <c r="AY479" s="77"/>
      <c r="AZ479" s="77"/>
      <c r="BA479" s="77"/>
      <c r="BB479" s="77"/>
      <c r="BC479" s="77"/>
      <c r="BD479" s="77"/>
      <c r="BE479" s="77"/>
      <c r="BF479" s="77"/>
      <c r="BG479" s="77"/>
      <c r="BH479" s="77"/>
      <c r="BI479" s="77"/>
      <c r="BJ479" s="77"/>
      <c r="BK479" s="77"/>
      <c r="BL479" s="77"/>
      <c r="BM479" s="78"/>
    </row>
    <row r="480">
      <c r="A480" s="79">
        <v>2.642857142857143</v>
      </c>
      <c r="B480" s="79" t="b">
        <v>0</v>
      </c>
      <c r="C480" s="79" t="b">
        <f t="shared" si="3"/>
        <v>0</v>
      </c>
      <c r="D480" s="80" t="s">
        <v>1565</v>
      </c>
      <c r="E480" s="81" t="s">
        <v>1123</v>
      </c>
      <c r="F480" s="82" t="s">
        <v>1454</v>
      </c>
      <c r="G480" s="35" t="s">
        <v>835</v>
      </c>
      <c r="H480" s="37">
        <v>-9.0964585315234</v>
      </c>
      <c r="I480" s="37">
        <v>-3.708578406610661</v>
      </c>
      <c r="J480" s="83" t="s">
        <v>2145</v>
      </c>
      <c r="K480" s="35">
        <v>28.6</v>
      </c>
      <c r="L480" s="79">
        <v>81.28571428571429</v>
      </c>
      <c r="M480" s="84">
        <v>25.0</v>
      </c>
      <c r="N480" s="84">
        <v>6.0</v>
      </c>
      <c r="O480" s="85">
        <v>-1.7946664182973682</v>
      </c>
      <c r="P480" s="85">
        <v>-2.035919322144779</v>
      </c>
      <c r="Q480" s="85">
        <v>-1.8103979730196298</v>
      </c>
      <c r="R480" s="85">
        <v>-1.0869038037536776</v>
      </c>
      <c r="S480" s="85">
        <v>-1.6312658019644335</v>
      </c>
      <c r="T480" s="85">
        <v>-0.16952108464970286</v>
      </c>
      <c r="U480" s="85">
        <v>-2.1671104027883907</v>
      </c>
      <c r="V480" s="85">
        <v>0.0</v>
      </c>
      <c r="W480" s="85">
        <v>2.1806027599217948</v>
      </c>
      <c r="X480" s="85">
        <v>-0.5812764848272123</v>
      </c>
      <c r="Y480" s="50" t="s">
        <v>69</v>
      </c>
      <c r="Z480" s="50" t="s">
        <v>69</v>
      </c>
      <c r="AA480" s="50" t="s">
        <v>69</v>
      </c>
      <c r="AB480" s="50" t="s">
        <v>69</v>
      </c>
      <c r="AC480" s="34" t="str">
        <f t="shared" ref="AC480:AP480" si="480">LET(
  skater, IFERROR(INDEX(AllProj, MATCH($E480, AllProjNames, 0), MATCH(AC$2, AllProjCats, 0) + 1), ""),
  goalie, IFERROR(INDEX(AllGProj, MATCH($E480, AllGProjNames, 0), MATCH(AC$2, AllGProjCats, 0) + 1), ""),
  val, IF(skater &lt;&gt; "", skater, goalie),
  IF(OR($E480="", AC$2="", val=""), "", val * AC$1)
)</f>
        <v/>
      </c>
      <c r="AD480" s="34" t="str">
        <f t="shared" si="480"/>
        <v/>
      </c>
      <c r="AE480" s="34" t="str">
        <f t="shared" si="480"/>
        <v/>
      </c>
      <c r="AF480" s="34" t="str">
        <f t="shared" si="480"/>
        <v/>
      </c>
      <c r="AG480" s="34" t="str">
        <f t="shared" si="480"/>
        <v/>
      </c>
      <c r="AH480" s="34" t="str">
        <f t="shared" si="480"/>
        <v/>
      </c>
      <c r="AI480" s="34" t="str">
        <f t="shared" si="480"/>
        <v/>
      </c>
      <c r="AJ480" s="34" t="str">
        <f t="shared" si="480"/>
        <v/>
      </c>
      <c r="AK480" s="34" t="str">
        <f t="shared" si="480"/>
        <v/>
      </c>
      <c r="AL480" s="34" t="str">
        <f t="shared" si="480"/>
        <v/>
      </c>
      <c r="AM480" s="34" t="str">
        <f t="shared" si="480"/>
        <v/>
      </c>
      <c r="AN480" s="34" t="str">
        <f t="shared" si="480"/>
        <v/>
      </c>
      <c r="AO480" s="34" t="str">
        <f t="shared" si="480"/>
        <v/>
      </c>
      <c r="AP480" s="34" t="str">
        <f t="shared" si="480"/>
        <v/>
      </c>
      <c r="AQ480" s="76" t="s">
        <v>520</v>
      </c>
      <c r="AR480" s="77"/>
      <c r="AS480" s="77"/>
      <c r="AT480" s="77"/>
      <c r="AU480" s="77"/>
      <c r="AV480" s="77"/>
      <c r="AW480" s="77"/>
      <c r="AX480" s="77"/>
      <c r="AY480" s="77"/>
      <c r="AZ480" s="77"/>
      <c r="BA480" s="77"/>
      <c r="BB480" s="77"/>
      <c r="BC480" s="77"/>
      <c r="BD480" s="77"/>
      <c r="BE480" s="77"/>
      <c r="BF480" s="77"/>
      <c r="BG480" s="77"/>
      <c r="BH480" s="77"/>
      <c r="BI480" s="77"/>
      <c r="BJ480" s="77"/>
      <c r="BK480" s="77"/>
      <c r="BL480" s="77"/>
      <c r="BM480" s="78"/>
    </row>
    <row r="481">
      <c r="A481" s="41">
        <v>2.5714285714285716</v>
      </c>
      <c r="B481" s="41" t="b">
        <v>0</v>
      </c>
      <c r="C481" s="41" t="b">
        <f t="shared" si="3"/>
        <v>0</v>
      </c>
      <c r="D481" s="42" t="s">
        <v>1565</v>
      </c>
      <c r="E481" s="43" t="s">
        <v>1064</v>
      </c>
      <c r="F481" s="44" t="s">
        <v>1416</v>
      </c>
      <c r="G481" s="29" t="s">
        <v>837</v>
      </c>
      <c r="H481" s="32">
        <v>-9.098794598349</v>
      </c>
      <c r="I481" s="32">
        <v>-3.568935826420099</v>
      </c>
      <c r="J481" s="45" t="s">
        <v>2146</v>
      </c>
      <c r="K481" s="29">
        <v>29.9</v>
      </c>
      <c r="L481" s="41">
        <v>77.28571428571429</v>
      </c>
      <c r="M481" s="46">
        <v>29.0</v>
      </c>
      <c r="N481" s="46">
        <v>7.0</v>
      </c>
      <c r="O481" s="47">
        <v>-2.0821124384828127</v>
      </c>
      <c r="P481" s="47">
        <v>-1.3584917344467524</v>
      </c>
      <c r="Q481" s="47">
        <v>-1.0260610194768935</v>
      </c>
      <c r="R481" s="47">
        <v>-0.5362465624921767</v>
      </c>
      <c r="S481" s="47">
        <v>-1.701274469799411</v>
      </c>
      <c r="T481" s="47">
        <v>-0.16952108464970286</v>
      </c>
      <c r="U481" s="47">
        <v>-2.345870523007415</v>
      </c>
      <c r="V481" s="47">
        <v>0.0</v>
      </c>
      <c r="W481" s="47">
        <v>-1.6888250465326462</v>
      </c>
      <c r="X481" s="47">
        <v>1.8096082805388085</v>
      </c>
      <c r="Y481" s="50" t="s">
        <v>69</v>
      </c>
      <c r="Z481" s="50" t="s">
        <v>69</v>
      </c>
      <c r="AA481" s="50" t="s">
        <v>69</v>
      </c>
      <c r="AB481" s="50" t="s">
        <v>69</v>
      </c>
      <c r="AC481" s="34" t="str">
        <f t="shared" ref="AC481:AP481" si="481">LET(
  skater, IFERROR(INDEX(AllProj, MATCH($E481, AllProjNames, 0), MATCH(AC$2, AllProjCats, 0) + 1), ""),
  goalie, IFERROR(INDEX(AllGProj, MATCH($E481, AllGProjNames, 0), MATCH(AC$2, AllGProjCats, 0) + 1), ""),
  val, IF(skater &lt;&gt; "", skater, goalie),
  IF(OR($E481="", AC$2="", val=""), "", val * AC$1)
)</f>
        <v/>
      </c>
      <c r="AD481" s="34" t="str">
        <f t="shared" si="481"/>
        <v/>
      </c>
      <c r="AE481" s="34" t="str">
        <f t="shared" si="481"/>
        <v/>
      </c>
      <c r="AF481" s="34" t="str">
        <f t="shared" si="481"/>
        <v/>
      </c>
      <c r="AG481" s="34" t="str">
        <f t="shared" si="481"/>
        <v/>
      </c>
      <c r="AH481" s="34" t="str">
        <f t="shared" si="481"/>
        <v/>
      </c>
      <c r="AI481" s="34" t="str">
        <f t="shared" si="481"/>
        <v/>
      </c>
      <c r="AJ481" s="34" t="str">
        <f t="shared" si="481"/>
        <v/>
      </c>
      <c r="AK481" s="34" t="str">
        <f t="shared" si="481"/>
        <v/>
      </c>
      <c r="AL481" s="34" t="str">
        <f t="shared" si="481"/>
        <v/>
      </c>
      <c r="AM481" s="34" t="str">
        <f t="shared" si="481"/>
        <v/>
      </c>
      <c r="AN481" s="34" t="str">
        <f t="shared" si="481"/>
        <v/>
      </c>
      <c r="AO481" s="34" t="str">
        <f t="shared" si="481"/>
        <v/>
      </c>
      <c r="AP481" s="34" t="str">
        <f t="shared" si="481"/>
        <v/>
      </c>
      <c r="AQ481" s="76" t="s">
        <v>521</v>
      </c>
      <c r="AR481" s="77"/>
      <c r="AS481" s="77"/>
      <c r="AT481" s="77"/>
      <c r="AU481" s="77"/>
      <c r="AV481" s="77"/>
      <c r="AW481" s="77"/>
      <c r="AX481" s="77"/>
      <c r="AY481" s="77"/>
      <c r="AZ481" s="77"/>
      <c r="BA481" s="77"/>
      <c r="BB481" s="77"/>
      <c r="BC481" s="77"/>
      <c r="BD481" s="77"/>
      <c r="BE481" s="77"/>
      <c r="BF481" s="77"/>
      <c r="BG481" s="77"/>
      <c r="BH481" s="77"/>
      <c r="BI481" s="77"/>
      <c r="BJ481" s="77"/>
      <c r="BK481" s="77"/>
      <c r="BL481" s="77"/>
      <c r="BM481" s="78"/>
    </row>
    <row r="482">
      <c r="A482" s="79">
        <v>2.5714285714285716</v>
      </c>
      <c r="B482" s="79" t="b">
        <v>0</v>
      </c>
      <c r="C482" s="79" t="b">
        <f t="shared" si="3"/>
        <v>0</v>
      </c>
      <c r="D482" s="80" t="s">
        <v>1565</v>
      </c>
      <c r="E482" s="81" t="s">
        <v>944</v>
      </c>
      <c r="F482" s="82" t="s">
        <v>1426</v>
      </c>
      <c r="G482" s="35" t="s">
        <v>837</v>
      </c>
      <c r="H482" s="37">
        <v>-9.123390083542605</v>
      </c>
      <c r="I482" s="37">
        <v>-3.5935313116137033</v>
      </c>
      <c r="J482" s="83" t="s">
        <v>2147</v>
      </c>
      <c r="K482" s="35">
        <v>26.2</v>
      </c>
      <c r="L482" s="79">
        <v>73.0</v>
      </c>
      <c r="M482" s="84">
        <v>23.0</v>
      </c>
      <c r="N482" s="84">
        <v>6.0</v>
      </c>
      <c r="O482" s="85">
        <v>-2.2797315773603057</v>
      </c>
      <c r="P482" s="85">
        <v>-1.6206469310559204</v>
      </c>
      <c r="Q482" s="96" t="s">
        <v>69</v>
      </c>
      <c r="R482" s="85">
        <v>-1.4332849716439766</v>
      </c>
      <c r="S482" s="96" t="s">
        <v>69</v>
      </c>
      <c r="T482" s="96" t="s">
        <v>69</v>
      </c>
      <c r="U482" s="85">
        <v>-2.5082004851180724</v>
      </c>
      <c r="V482" s="96" t="s">
        <v>69</v>
      </c>
      <c r="W482" s="85">
        <v>-1.7186844531189946</v>
      </c>
      <c r="X482" s="85">
        <v>0.4371583347546656</v>
      </c>
      <c r="Y482" s="50" t="s">
        <v>69</v>
      </c>
      <c r="Z482" s="50" t="s">
        <v>69</v>
      </c>
      <c r="AA482" s="50" t="s">
        <v>69</v>
      </c>
      <c r="AB482" s="50" t="s">
        <v>69</v>
      </c>
      <c r="AC482" s="34" t="str">
        <f t="shared" ref="AC482:AP482" si="482">LET(
  skater, IFERROR(INDEX(AllProj, MATCH($E482, AllProjNames, 0), MATCH(AC$2, AllProjCats, 0) + 1), ""),
  goalie, IFERROR(INDEX(AllGProj, MATCH($E482, AllGProjNames, 0), MATCH(AC$2, AllGProjCats, 0) + 1), ""),
  val, IF(skater &lt;&gt; "", skater, goalie),
  IF(OR($E482="", AC$2="", val=""), "", val * AC$1)
)</f>
        <v/>
      </c>
      <c r="AD482" s="34" t="str">
        <f t="shared" si="482"/>
        <v/>
      </c>
      <c r="AE482" s="34" t="str">
        <f t="shared" si="482"/>
        <v/>
      </c>
      <c r="AF482" s="34" t="str">
        <f t="shared" si="482"/>
        <v/>
      </c>
      <c r="AG482" s="34" t="str">
        <f t="shared" si="482"/>
        <v/>
      </c>
      <c r="AH482" s="34" t="str">
        <f t="shared" si="482"/>
        <v/>
      </c>
      <c r="AI482" s="34" t="str">
        <f t="shared" si="482"/>
        <v/>
      </c>
      <c r="AJ482" s="34" t="str">
        <f t="shared" si="482"/>
        <v/>
      </c>
      <c r="AK482" s="34" t="str">
        <f t="shared" si="482"/>
        <v/>
      </c>
      <c r="AL482" s="34" t="str">
        <f t="shared" si="482"/>
        <v/>
      </c>
      <c r="AM482" s="34" t="str">
        <f t="shared" si="482"/>
        <v/>
      </c>
      <c r="AN482" s="34" t="str">
        <f t="shared" si="482"/>
        <v/>
      </c>
      <c r="AO482" s="34" t="str">
        <f t="shared" si="482"/>
        <v/>
      </c>
      <c r="AP482" s="34" t="str">
        <f t="shared" si="482"/>
        <v/>
      </c>
      <c r="AQ482" s="76" t="s">
        <v>522</v>
      </c>
      <c r="AR482" s="77"/>
      <c r="AS482" s="77"/>
      <c r="AT482" s="77"/>
      <c r="AU482" s="77"/>
      <c r="AV482" s="77"/>
      <c r="AW482" s="77"/>
      <c r="AX482" s="77"/>
      <c r="AY482" s="77"/>
      <c r="AZ482" s="77"/>
      <c r="BA482" s="77"/>
      <c r="BB482" s="77"/>
      <c r="BC482" s="77"/>
      <c r="BD482" s="77"/>
      <c r="BE482" s="77"/>
      <c r="BF482" s="77"/>
      <c r="BG482" s="77"/>
      <c r="BH482" s="77"/>
      <c r="BI482" s="77"/>
      <c r="BJ482" s="77"/>
      <c r="BK482" s="77"/>
      <c r="BL482" s="77"/>
      <c r="BM482" s="78"/>
    </row>
    <row r="483">
      <c r="A483" s="41">
        <v>2.5714285714285716</v>
      </c>
      <c r="B483" s="41" t="b">
        <v>0</v>
      </c>
      <c r="C483" s="41" t="b">
        <f t="shared" si="3"/>
        <v>0</v>
      </c>
      <c r="D483" s="42" t="s">
        <v>1565</v>
      </c>
      <c r="E483" s="43" t="s">
        <v>961</v>
      </c>
      <c r="F483" s="44" t="s">
        <v>1482</v>
      </c>
      <c r="G483" s="29" t="s">
        <v>836</v>
      </c>
      <c r="H483" s="32">
        <v>-9.131048680343396</v>
      </c>
      <c r="I483" s="32">
        <v>-3.6889110716155384</v>
      </c>
      <c r="J483" s="45" t="s">
        <v>2148</v>
      </c>
      <c r="K483" s="29">
        <v>30.5</v>
      </c>
      <c r="L483" s="41">
        <v>79.9635</v>
      </c>
      <c r="M483" s="46">
        <v>27.0</v>
      </c>
      <c r="N483" s="46">
        <v>6.0</v>
      </c>
      <c r="O483" s="47">
        <v>-0.5814037623393354</v>
      </c>
      <c r="P483" s="47">
        <v>-1.6419225908648432</v>
      </c>
      <c r="Q483" s="47">
        <v>-0.13516632833982176</v>
      </c>
      <c r="R483" s="47">
        <v>-1.3364004009734465</v>
      </c>
      <c r="S483" s="47">
        <v>-1.4680402152435672</v>
      </c>
      <c r="T483" s="47">
        <v>-0.38525583360982</v>
      </c>
      <c r="U483" s="47">
        <v>-0.7364787752134824</v>
      </c>
      <c r="V483" s="47">
        <v>0.0</v>
      </c>
      <c r="W483" s="47">
        <v>-0.981253677063639</v>
      </c>
      <c r="X483" s="47">
        <v>-1.8651270966954407</v>
      </c>
      <c r="Y483" s="50" t="s">
        <v>69</v>
      </c>
      <c r="Z483" s="50" t="s">
        <v>69</v>
      </c>
      <c r="AA483" s="50" t="s">
        <v>69</v>
      </c>
      <c r="AB483" s="50" t="s">
        <v>69</v>
      </c>
      <c r="AC483" s="34" t="str">
        <f t="shared" ref="AC483:AP483" si="483">LET(
  skater, IFERROR(INDEX(AllProj, MATCH($E483, AllProjNames, 0), MATCH(AC$2, AllProjCats, 0) + 1), ""),
  goalie, IFERROR(INDEX(AllGProj, MATCH($E483, AllGProjNames, 0), MATCH(AC$2, AllGProjCats, 0) + 1), ""),
  val, IF(skater &lt;&gt; "", skater, goalie),
  IF(OR($E483="", AC$2="", val=""), "", val * AC$1)
)</f>
        <v/>
      </c>
      <c r="AD483" s="34" t="str">
        <f t="shared" si="483"/>
        <v/>
      </c>
      <c r="AE483" s="34" t="str">
        <f t="shared" si="483"/>
        <v/>
      </c>
      <c r="AF483" s="34" t="str">
        <f t="shared" si="483"/>
        <v/>
      </c>
      <c r="AG483" s="34" t="str">
        <f t="shared" si="483"/>
        <v/>
      </c>
      <c r="AH483" s="34" t="str">
        <f t="shared" si="483"/>
        <v/>
      </c>
      <c r="AI483" s="34" t="str">
        <f t="shared" si="483"/>
        <v/>
      </c>
      <c r="AJ483" s="34" t="str">
        <f t="shared" si="483"/>
        <v/>
      </c>
      <c r="AK483" s="34" t="str">
        <f t="shared" si="483"/>
        <v/>
      </c>
      <c r="AL483" s="34" t="str">
        <f t="shared" si="483"/>
        <v/>
      </c>
      <c r="AM483" s="34" t="str">
        <f t="shared" si="483"/>
        <v/>
      </c>
      <c r="AN483" s="34" t="str">
        <f t="shared" si="483"/>
        <v/>
      </c>
      <c r="AO483" s="34" t="str">
        <f t="shared" si="483"/>
        <v/>
      </c>
      <c r="AP483" s="34" t="str">
        <f t="shared" si="483"/>
        <v/>
      </c>
      <c r="AQ483" s="76" t="s">
        <v>523</v>
      </c>
      <c r="AR483" s="77"/>
      <c r="AS483" s="77"/>
      <c r="AT483" s="77"/>
      <c r="AU483" s="77"/>
      <c r="AV483" s="77"/>
      <c r="AW483" s="77"/>
      <c r="AX483" s="77"/>
      <c r="AY483" s="77"/>
      <c r="AZ483" s="77"/>
      <c r="BA483" s="77"/>
      <c r="BB483" s="77"/>
      <c r="BC483" s="77"/>
      <c r="BD483" s="77"/>
      <c r="BE483" s="77"/>
      <c r="BF483" s="77"/>
      <c r="BG483" s="77"/>
      <c r="BH483" s="77"/>
      <c r="BI483" s="77"/>
      <c r="BJ483" s="77"/>
      <c r="BK483" s="77"/>
      <c r="BL483" s="77"/>
      <c r="BM483" s="78"/>
    </row>
    <row r="484">
      <c r="A484" s="79">
        <v>2.5714285714285716</v>
      </c>
      <c r="B484" s="79" t="b">
        <v>0</v>
      </c>
      <c r="C484" s="79" t="b">
        <f t="shared" si="3"/>
        <v>0</v>
      </c>
      <c r="D484" s="80" t="s">
        <v>1565</v>
      </c>
      <c r="E484" s="81" t="s">
        <v>1046</v>
      </c>
      <c r="F484" s="82" t="s">
        <v>1563</v>
      </c>
      <c r="G484" s="35" t="s">
        <v>837</v>
      </c>
      <c r="H484" s="37">
        <v>-9.158529522227159</v>
      </c>
      <c r="I484" s="37">
        <v>-3.628670750298258</v>
      </c>
      <c r="J484" s="83" t="s">
        <v>2149</v>
      </c>
      <c r="K484" s="35">
        <v>24.4</v>
      </c>
      <c r="L484" s="79">
        <v>79.54357142857144</v>
      </c>
      <c r="M484" s="84">
        <v>29.0</v>
      </c>
      <c r="N484" s="84">
        <v>6.0</v>
      </c>
      <c r="O484" s="85">
        <v>-1.5367227564339452</v>
      </c>
      <c r="P484" s="85">
        <v>-0.4879248053539694</v>
      </c>
      <c r="Q484" s="85">
        <v>-1.747507423272087</v>
      </c>
      <c r="R484" s="85">
        <v>-1.1618873669049121</v>
      </c>
      <c r="S484" s="85">
        <v>-0.34941233916740716</v>
      </c>
      <c r="T484" s="85">
        <v>-0.7784014482471294</v>
      </c>
      <c r="U484" s="85">
        <v>-1.353559587491698</v>
      </c>
      <c r="V484" s="85">
        <v>0.0</v>
      </c>
      <c r="W484" s="85">
        <v>-2.163003184749699</v>
      </c>
      <c r="X484" s="85">
        <v>0.4198893893936882</v>
      </c>
      <c r="Y484" s="50" t="s">
        <v>69</v>
      </c>
      <c r="Z484" s="50" t="s">
        <v>69</v>
      </c>
      <c r="AA484" s="50" t="s">
        <v>69</v>
      </c>
      <c r="AB484" s="50" t="s">
        <v>69</v>
      </c>
      <c r="AC484" s="34" t="str">
        <f t="shared" ref="AC484:AP484" si="484">LET(
  skater, IFERROR(INDEX(AllProj, MATCH($E484, AllProjNames, 0), MATCH(AC$2, AllProjCats, 0) + 1), ""),
  goalie, IFERROR(INDEX(AllGProj, MATCH($E484, AllGProjNames, 0), MATCH(AC$2, AllGProjCats, 0) + 1), ""),
  val, IF(skater &lt;&gt; "", skater, goalie),
  IF(OR($E484="", AC$2="", val=""), "", val * AC$1)
)</f>
        <v/>
      </c>
      <c r="AD484" s="34" t="str">
        <f t="shared" si="484"/>
        <v/>
      </c>
      <c r="AE484" s="34" t="str">
        <f t="shared" si="484"/>
        <v/>
      </c>
      <c r="AF484" s="34" t="str">
        <f t="shared" si="484"/>
        <v/>
      </c>
      <c r="AG484" s="34" t="str">
        <f t="shared" si="484"/>
        <v/>
      </c>
      <c r="AH484" s="34" t="str">
        <f t="shared" si="484"/>
        <v/>
      </c>
      <c r="AI484" s="34" t="str">
        <f t="shared" si="484"/>
        <v/>
      </c>
      <c r="AJ484" s="34" t="str">
        <f t="shared" si="484"/>
        <v/>
      </c>
      <c r="AK484" s="34" t="str">
        <f t="shared" si="484"/>
        <v/>
      </c>
      <c r="AL484" s="34" t="str">
        <f t="shared" si="484"/>
        <v/>
      </c>
      <c r="AM484" s="34" t="str">
        <f t="shared" si="484"/>
        <v/>
      </c>
      <c r="AN484" s="34" t="str">
        <f t="shared" si="484"/>
        <v/>
      </c>
      <c r="AO484" s="34" t="str">
        <f t="shared" si="484"/>
        <v/>
      </c>
      <c r="AP484" s="34" t="str">
        <f t="shared" si="484"/>
        <v/>
      </c>
      <c r="AQ484" s="76" t="s">
        <v>524</v>
      </c>
      <c r="AR484" s="77"/>
      <c r="AS484" s="77"/>
      <c r="AT484" s="77"/>
      <c r="AU484" s="77"/>
      <c r="AV484" s="77"/>
      <c r="AW484" s="77"/>
      <c r="AX484" s="77"/>
      <c r="AY484" s="77"/>
      <c r="AZ484" s="77"/>
      <c r="BA484" s="77"/>
      <c r="BB484" s="77"/>
      <c r="BC484" s="77"/>
      <c r="BD484" s="77"/>
      <c r="BE484" s="77"/>
      <c r="BF484" s="77"/>
      <c r="BG484" s="77"/>
      <c r="BH484" s="77"/>
      <c r="BI484" s="77"/>
      <c r="BJ484" s="77"/>
      <c r="BK484" s="77"/>
      <c r="BL484" s="77"/>
      <c r="BM484" s="78"/>
    </row>
    <row r="485">
      <c r="A485" s="41">
        <v>2.5714285714285716</v>
      </c>
      <c r="B485" s="41" t="b">
        <v>0</v>
      </c>
      <c r="C485" s="41" t="b">
        <f t="shared" si="3"/>
        <v>0</v>
      </c>
      <c r="D485" s="42" t="s">
        <v>1565</v>
      </c>
      <c r="E485" s="43" t="s">
        <v>1010</v>
      </c>
      <c r="F485" s="44" t="s">
        <v>1517</v>
      </c>
      <c r="G485" s="29" t="s">
        <v>832</v>
      </c>
      <c r="H485" s="32">
        <v>-9.176470517526349</v>
      </c>
      <c r="I485" s="32">
        <v>-3.734332908798492</v>
      </c>
      <c r="J485" s="45" t="s">
        <v>2150</v>
      </c>
      <c r="K485" s="29">
        <v>35.7</v>
      </c>
      <c r="L485" s="41">
        <v>77.98764705882353</v>
      </c>
      <c r="M485" s="46">
        <v>18.0</v>
      </c>
      <c r="N485" s="46">
        <v>6.0</v>
      </c>
      <c r="O485" s="47">
        <v>-0.22098141676596086</v>
      </c>
      <c r="P485" s="47">
        <v>-0.7121676941438931</v>
      </c>
      <c r="Q485" s="47">
        <v>-3.3649010924934535</v>
      </c>
      <c r="R485" s="47">
        <v>-0.8259685191187044</v>
      </c>
      <c r="S485" s="47">
        <v>-0.2503610662301712</v>
      </c>
      <c r="T485" s="47">
        <v>-0.7866509170182339</v>
      </c>
      <c r="U485" s="47">
        <v>0.07457474389187017</v>
      </c>
      <c r="V485" s="47">
        <v>0.0</v>
      </c>
      <c r="W485" s="47">
        <v>-0.8963681838750814</v>
      </c>
      <c r="X485" s="47">
        <v>-2.1936463717727217</v>
      </c>
      <c r="Y485" s="50" t="s">
        <v>69</v>
      </c>
      <c r="Z485" s="50" t="s">
        <v>69</v>
      </c>
      <c r="AA485" s="50" t="s">
        <v>69</v>
      </c>
      <c r="AB485" s="50" t="s">
        <v>69</v>
      </c>
      <c r="AC485" s="34" t="str">
        <f t="shared" ref="AC485:AP485" si="485">LET(
  skater, IFERROR(INDEX(AllProj, MATCH($E485, AllProjNames, 0), MATCH(AC$2, AllProjCats, 0) + 1), ""),
  goalie, IFERROR(INDEX(AllGProj, MATCH($E485, AllGProjNames, 0), MATCH(AC$2, AllGProjCats, 0) + 1), ""),
  val, IF(skater &lt;&gt; "", skater, goalie),
  IF(OR($E485="", AC$2="", val=""), "", val * AC$1)
)</f>
        <v/>
      </c>
      <c r="AD485" s="34" t="str">
        <f t="shared" si="485"/>
        <v/>
      </c>
      <c r="AE485" s="34" t="str">
        <f t="shared" si="485"/>
        <v/>
      </c>
      <c r="AF485" s="34" t="str">
        <f t="shared" si="485"/>
        <v/>
      </c>
      <c r="AG485" s="34" t="str">
        <f t="shared" si="485"/>
        <v/>
      </c>
      <c r="AH485" s="34" t="str">
        <f t="shared" si="485"/>
        <v/>
      </c>
      <c r="AI485" s="34" t="str">
        <f t="shared" si="485"/>
        <v/>
      </c>
      <c r="AJ485" s="34" t="str">
        <f t="shared" si="485"/>
        <v/>
      </c>
      <c r="AK485" s="34" t="str">
        <f t="shared" si="485"/>
        <v/>
      </c>
      <c r="AL485" s="34" t="str">
        <f t="shared" si="485"/>
        <v/>
      </c>
      <c r="AM485" s="34" t="str">
        <f t="shared" si="485"/>
        <v/>
      </c>
      <c r="AN485" s="34" t="str">
        <f t="shared" si="485"/>
        <v/>
      </c>
      <c r="AO485" s="34" t="str">
        <f t="shared" si="485"/>
        <v/>
      </c>
      <c r="AP485" s="34" t="str">
        <f t="shared" si="485"/>
        <v/>
      </c>
      <c r="AQ485" s="76" t="s">
        <v>525</v>
      </c>
      <c r="AR485" s="77"/>
      <c r="AS485" s="77"/>
      <c r="AT485" s="77"/>
      <c r="AU485" s="77"/>
      <c r="AV485" s="77"/>
      <c r="AW485" s="77"/>
      <c r="AX485" s="77"/>
      <c r="AY485" s="77"/>
      <c r="AZ485" s="77"/>
      <c r="BA485" s="77"/>
      <c r="BB485" s="77"/>
      <c r="BC485" s="77"/>
      <c r="BD485" s="77"/>
      <c r="BE485" s="77"/>
      <c r="BF485" s="77"/>
      <c r="BG485" s="77"/>
      <c r="BH485" s="77"/>
      <c r="BI485" s="77"/>
      <c r="BJ485" s="77"/>
      <c r="BK485" s="77"/>
      <c r="BL485" s="77"/>
      <c r="BM485" s="78"/>
    </row>
    <row r="486">
      <c r="A486" s="79">
        <v>2.5</v>
      </c>
      <c r="B486" s="79" t="b">
        <v>0</v>
      </c>
      <c r="C486" s="79" t="b">
        <f t="shared" si="3"/>
        <v>0</v>
      </c>
      <c r="D486" s="80" t="s">
        <v>1565</v>
      </c>
      <c r="E486" s="81" t="s">
        <v>919</v>
      </c>
      <c r="F486" s="82" t="s">
        <v>1489</v>
      </c>
      <c r="G486" s="35" t="s">
        <v>837</v>
      </c>
      <c r="H486" s="37">
        <v>-9.197685417368357</v>
      </c>
      <c r="I486" s="37">
        <v>-3.6678266454394555</v>
      </c>
      <c r="J486" s="83" t="s">
        <v>2151</v>
      </c>
      <c r="K486" s="35">
        <v>24.0</v>
      </c>
      <c r="L486" s="79">
        <v>82.0</v>
      </c>
      <c r="M486" s="84">
        <v>28.0</v>
      </c>
      <c r="N486" s="84">
        <v>7.0</v>
      </c>
      <c r="O486" s="85">
        <v>-2.4054892111914374</v>
      </c>
      <c r="P486" s="85">
        <v>-2.3514335410726273</v>
      </c>
      <c r="Q486" s="96" t="s">
        <v>69</v>
      </c>
      <c r="R486" s="85">
        <v>-1.6197979082002913</v>
      </c>
      <c r="S486" s="96" t="s">
        <v>69</v>
      </c>
      <c r="T486" s="96" t="s">
        <v>69</v>
      </c>
      <c r="U486" s="85">
        <v>-1.105064982663602</v>
      </c>
      <c r="V486" s="96" t="s">
        <v>69</v>
      </c>
      <c r="W486" s="85">
        <v>-1.1654072134307745</v>
      </c>
      <c r="X486" s="85">
        <v>-0.550492560809624</v>
      </c>
      <c r="Y486" s="50" t="s">
        <v>69</v>
      </c>
      <c r="Z486" s="50" t="s">
        <v>69</v>
      </c>
      <c r="AA486" s="50" t="s">
        <v>69</v>
      </c>
      <c r="AB486" s="50" t="s">
        <v>69</v>
      </c>
      <c r="AC486" s="34" t="str">
        <f t="shared" ref="AC486:AP486" si="486">LET(
  skater, IFERROR(INDEX(AllProj, MATCH($E486, AllProjNames, 0), MATCH(AC$2, AllProjCats, 0) + 1), ""),
  goalie, IFERROR(INDEX(AllGProj, MATCH($E486, AllGProjNames, 0), MATCH(AC$2, AllGProjCats, 0) + 1), ""),
  val, IF(skater &lt;&gt; "", skater, goalie),
  IF(OR($E486="", AC$2="", val=""), "", val * AC$1)
)</f>
        <v/>
      </c>
      <c r="AD486" s="34" t="str">
        <f t="shared" si="486"/>
        <v/>
      </c>
      <c r="AE486" s="34" t="str">
        <f t="shared" si="486"/>
        <v/>
      </c>
      <c r="AF486" s="34" t="str">
        <f t="shared" si="486"/>
        <v/>
      </c>
      <c r="AG486" s="34" t="str">
        <f t="shared" si="486"/>
        <v/>
      </c>
      <c r="AH486" s="34" t="str">
        <f t="shared" si="486"/>
        <v/>
      </c>
      <c r="AI486" s="34" t="str">
        <f t="shared" si="486"/>
        <v/>
      </c>
      <c r="AJ486" s="34" t="str">
        <f t="shared" si="486"/>
        <v/>
      </c>
      <c r="AK486" s="34" t="str">
        <f t="shared" si="486"/>
        <v/>
      </c>
      <c r="AL486" s="34" t="str">
        <f t="shared" si="486"/>
        <v/>
      </c>
      <c r="AM486" s="34" t="str">
        <f t="shared" si="486"/>
        <v/>
      </c>
      <c r="AN486" s="34" t="str">
        <f t="shared" si="486"/>
        <v/>
      </c>
      <c r="AO486" s="34" t="str">
        <f t="shared" si="486"/>
        <v/>
      </c>
      <c r="AP486" s="34" t="str">
        <f t="shared" si="486"/>
        <v/>
      </c>
      <c r="AQ486" s="76" t="s">
        <v>526</v>
      </c>
      <c r="AR486" s="77"/>
      <c r="AS486" s="77"/>
      <c r="AT486" s="77"/>
      <c r="AU486" s="77"/>
      <c r="AV486" s="77"/>
      <c r="AW486" s="77"/>
      <c r="AX486" s="77"/>
      <c r="AY486" s="77"/>
      <c r="AZ486" s="77"/>
      <c r="BA486" s="77"/>
      <c r="BB486" s="77"/>
      <c r="BC486" s="77"/>
      <c r="BD486" s="77"/>
      <c r="BE486" s="77"/>
      <c r="BF486" s="77"/>
      <c r="BG486" s="77"/>
      <c r="BH486" s="77"/>
      <c r="BI486" s="77"/>
      <c r="BJ486" s="77"/>
      <c r="BK486" s="77"/>
      <c r="BL486" s="77"/>
      <c r="BM486" s="78"/>
    </row>
    <row r="487">
      <c r="A487" s="41">
        <v>2.5714285714285716</v>
      </c>
      <c r="B487" s="41" t="b">
        <v>0</v>
      </c>
      <c r="C487" s="41" t="b">
        <f t="shared" si="3"/>
        <v>0</v>
      </c>
      <c r="D487" s="42" t="s">
        <v>1565</v>
      </c>
      <c r="E487" s="43" t="s">
        <v>1083</v>
      </c>
      <c r="F487" s="44" t="s">
        <v>1426</v>
      </c>
      <c r="G487" s="29" t="s">
        <v>830</v>
      </c>
      <c r="H487" s="32">
        <v>-9.207828893569792</v>
      </c>
      <c r="I487" s="32">
        <v>-3.819948768657053</v>
      </c>
      <c r="J487" s="45" t="s">
        <v>2152</v>
      </c>
      <c r="K487" s="29">
        <v>30.0</v>
      </c>
      <c r="L487" s="41">
        <v>76.6</v>
      </c>
      <c r="M487" s="46">
        <v>23.0</v>
      </c>
      <c r="N487" s="46">
        <v>6.0</v>
      </c>
      <c r="O487" s="47">
        <v>-1.2233674531787977</v>
      </c>
      <c r="P487" s="47">
        <v>-1.6693660383903675</v>
      </c>
      <c r="Q487" s="47">
        <v>-1.2589309582036265</v>
      </c>
      <c r="R487" s="47">
        <v>0.45671278546001337</v>
      </c>
      <c r="S487" s="47">
        <v>-1.2578862401778874</v>
      </c>
      <c r="T487" s="47">
        <v>-0.7871777123417198</v>
      </c>
      <c r="U487" s="47">
        <v>-0.7370294410362002</v>
      </c>
      <c r="V487" s="47">
        <v>0.0</v>
      </c>
      <c r="W487" s="47">
        <v>-0.9113095181665547</v>
      </c>
      <c r="X487" s="47">
        <v>-1.8194743175346508</v>
      </c>
      <c r="Y487" s="50" t="s">
        <v>69</v>
      </c>
      <c r="Z487" s="50" t="s">
        <v>69</v>
      </c>
      <c r="AA487" s="50" t="s">
        <v>69</v>
      </c>
      <c r="AB487" s="50" t="s">
        <v>69</v>
      </c>
      <c r="AC487" s="34" t="str">
        <f t="shared" ref="AC487:AP487" si="487">LET(
  skater, IFERROR(INDEX(AllProj, MATCH($E487, AllProjNames, 0), MATCH(AC$2, AllProjCats, 0) + 1), ""),
  goalie, IFERROR(INDEX(AllGProj, MATCH($E487, AllGProjNames, 0), MATCH(AC$2, AllGProjCats, 0) + 1), ""),
  val, IF(skater &lt;&gt; "", skater, goalie),
  IF(OR($E487="", AC$2="", val=""), "", val * AC$1)
)</f>
        <v/>
      </c>
      <c r="AD487" s="34" t="str">
        <f t="shared" si="487"/>
        <v/>
      </c>
      <c r="AE487" s="34" t="str">
        <f t="shared" si="487"/>
        <v/>
      </c>
      <c r="AF487" s="34" t="str">
        <f t="shared" si="487"/>
        <v/>
      </c>
      <c r="AG487" s="34" t="str">
        <f t="shared" si="487"/>
        <v/>
      </c>
      <c r="AH487" s="34" t="str">
        <f t="shared" si="487"/>
        <v/>
      </c>
      <c r="AI487" s="34" t="str">
        <f t="shared" si="487"/>
        <v/>
      </c>
      <c r="AJ487" s="34" t="str">
        <f t="shared" si="487"/>
        <v/>
      </c>
      <c r="AK487" s="34" t="str">
        <f t="shared" si="487"/>
        <v/>
      </c>
      <c r="AL487" s="34" t="str">
        <f t="shared" si="487"/>
        <v/>
      </c>
      <c r="AM487" s="34" t="str">
        <f t="shared" si="487"/>
        <v/>
      </c>
      <c r="AN487" s="34" t="str">
        <f t="shared" si="487"/>
        <v/>
      </c>
      <c r="AO487" s="34" t="str">
        <f t="shared" si="487"/>
        <v/>
      </c>
      <c r="AP487" s="34" t="str">
        <f t="shared" si="487"/>
        <v/>
      </c>
      <c r="AQ487" s="76" t="s">
        <v>527</v>
      </c>
      <c r="AR487" s="77"/>
      <c r="AS487" s="77"/>
      <c r="AT487" s="77"/>
      <c r="AU487" s="77"/>
      <c r="AV487" s="77"/>
      <c r="AW487" s="77"/>
      <c r="AX487" s="77"/>
      <c r="AY487" s="77"/>
      <c r="AZ487" s="77"/>
      <c r="BA487" s="77"/>
      <c r="BB487" s="77"/>
      <c r="BC487" s="77"/>
      <c r="BD487" s="77"/>
      <c r="BE487" s="77"/>
      <c r="BF487" s="77"/>
      <c r="BG487" s="77"/>
      <c r="BH487" s="77"/>
      <c r="BI487" s="77"/>
      <c r="BJ487" s="77"/>
      <c r="BK487" s="77"/>
      <c r="BL487" s="77"/>
      <c r="BM487" s="78"/>
    </row>
    <row r="488">
      <c r="A488" s="79">
        <v>2.5</v>
      </c>
      <c r="B488" s="79" t="b">
        <v>0</v>
      </c>
      <c r="C488" s="79" t="b">
        <f t="shared" si="3"/>
        <v>0</v>
      </c>
      <c r="D488" s="80" t="s">
        <v>1565</v>
      </c>
      <c r="E488" s="81" t="s">
        <v>893</v>
      </c>
      <c r="F488" s="82" t="s">
        <v>1548</v>
      </c>
      <c r="G488" s="35" t="s">
        <v>284</v>
      </c>
      <c r="H488" s="37">
        <v>-9.221066155381168</v>
      </c>
      <c r="I488" s="37">
        <v>-4.183000135198083</v>
      </c>
      <c r="J488" s="83" t="s">
        <v>2153</v>
      </c>
      <c r="K488" s="35">
        <v>20.0</v>
      </c>
      <c r="L488" s="79">
        <v>77.0</v>
      </c>
      <c r="M488" s="84">
        <v>34.0</v>
      </c>
      <c r="N488" s="84">
        <v>7.0</v>
      </c>
      <c r="O488" s="85">
        <v>-1.6509434082046461</v>
      </c>
      <c r="P488" s="85">
        <v>-1.864242467728156</v>
      </c>
      <c r="Q488" s="96" t="s">
        <v>69</v>
      </c>
      <c r="R488" s="85">
        <v>-0.6250622465666125</v>
      </c>
      <c r="S488" s="96" t="s">
        <v>69</v>
      </c>
      <c r="T488" s="96" t="s">
        <v>69</v>
      </c>
      <c r="U488" s="85">
        <v>-1.4270960815875788</v>
      </c>
      <c r="V488" s="96" t="s">
        <v>69</v>
      </c>
      <c r="W488" s="85">
        <v>-1.6367174546466656</v>
      </c>
      <c r="X488" s="85">
        <v>-2.017004496647509</v>
      </c>
      <c r="Y488" s="50" t="s">
        <v>69</v>
      </c>
      <c r="Z488" s="50" t="s">
        <v>69</v>
      </c>
      <c r="AA488" s="50" t="s">
        <v>69</v>
      </c>
      <c r="AB488" s="50" t="s">
        <v>69</v>
      </c>
      <c r="AC488" s="34" t="str">
        <f t="shared" ref="AC488:AP488" si="488">LET(
  skater, IFERROR(INDEX(AllProj, MATCH($E488, AllProjNames, 0), MATCH(AC$2, AllProjCats, 0) + 1), ""),
  goalie, IFERROR(INDEX(AllGProj, MATCH($E488, AllGProjNames, 0), MATCH(AC$2, AllGProjCats, 0) + 1), ""),
  val, IF(skater &lt;&gt; "", skater, goalie),
  IF(OR($E488="", AC$2="", val=""), "", val * AC$1)
)</f>
        <v/>
      </c>
      <c r="AD488" s="34" t="str">
        <f t="shared" si="488"/>
        <v/>
      </c>
      <c r="AE488" s="34" t="str">
        <f t="shared" si="488"/>
        <v/>
      </c>
      <c r="AF488" s="34" t="str">
        <f t="shared" si="488"/>
        <v/>
      </c>
      <c r="AG488" s="34" t="str">
        <f t="shared" si="488"/>
        <v/>
      </c>
      <c r="AH488" s="34" t="str">
        <f t="shared" si="488"/>
        <v/>
      </c>
      <c r="AI488" s="34" t="str">
        <f t="shared" si="488"/>
        <v/>
      </c>
      <c r="AJ488" s="34" t="str">
        <f t="shared" si="488"/>
        <v/>
      </c>
      <c r="AK488" s="34" t="str">
        <f t="shared" si="488"/>
        <v/>
      </c>
      <c r="AL488" s="34" t="str">
        <f t="shared" si="488"/>
        <v/>
      </c>
      <c r="AM488" s="34" t="str">
        <f t="shared" si="488"/>
        <v/>
      </c>
      <c r="AN488" s="34" t="str">
        <f t="shared" si="488"/>
        <v/>
      </c>
      <c r="AO488" s="34" t="str">
        <f t="shared" si="488"/>
        <v/>
      </c>
      <c r="AP488" s="34" t="str">
        <f t="shared" si="488"/>
        <v/>
      </c>
      <c r="AQ488" s="76" t="s">
        <v>528</v>
      </c>
      <c r="AR488" s="77"/>
      <c r="AS488" s="77"/>
      <c r="AT488" s="77"/>
      <c r="AU488" s="77"/>
      <c r="AV488" s="77"/>
      <c r="AW488" s="77"/>
      <c r="AX488" s="77"/>
      <c r="AY488" s="77"/>
      <c r="AZ488" s="77"/>
      <c r="BA488" s="77"/>
      <c r="BB488" s="77"/>
      <c r="BC488" s="77"/>
      <c r="BD488" s="77"/>
      <c r="BE488" s="77"/>
      <c r="BF488" s="77"/>
      <c r="BG488" s="77"/>
      <c r="BH488" s="77"/>
      <c r="BI488" s="77"/>
      <c r="BJ488" s="77"/>
      <c r="BK488" s="77"/>
      <c r="BL488" s="77"/>
      <c r="BM488" s="78"/>
    </row>
    <row r="489">
      <c r="A489" s="41">
        <v>2.5</v>
      </c>
      <c r="B489" s="41" t="b">
        <v>0</v>
      </c>
      <c r="C489" s="41" t="b">
        <f t="shared" si="3"/>
        <v>0</v>
      </c>
      <c r="D489" s="42" t="s">
        <v>1565</v>
      </c>
      <c r="E489" s="43" t="s">
        <v>911</v>
      </c>
      <c r="F489" s="44" t="s">
        <v>1779</v>
      </c>
      <c r="G489" s="29" t="s">
        <v>832</v>
      </c>
      <c r="H489" s="32">
        <v>-9.224888261354545</v>
      </c>
      <c r="I489" s="32">
        <v>-3.782750652626688</v>
      </c>
      <c r="J489" s="45" t="s">
        <v>2154</v>
      </c>
      <c r="K489" s="29">
        <v>29.6</v>
      </c>
      <c r="L489" s="41">
        <v>79.9514705882353</v>
      </c>
      <c r="M489" s="46">
        <v>27.0</v>
      </c>
      <c r="N489" s="46">
        <v>6.0</v>
      </c>
      <c r="O489" s="47">
        <v>0.7282778062155594</v>
      </c>
      <c r="P489" s="47">
        <v>-0.32376130806876985</v>
      </c>
      <c r="Q489" s="47">
        <v>-5.236461312311108</v>
      </c>
      <c r="R489" s="47">
        <v>-2.0486969433741096</v>
      </c>
      <c r="S489" s="47">
        <v>0.724096337620498</v>
      </c>
      <c r="T489" s="47">
        <v>-0.08550812019338562</v>
      </c>
      <c r="U489" s="47">
        <v>0.14931945650131664</v>
      </c>
      <c r="V489" s="47">
        <v>0.0</v>
      </c>
      <c r="W489" s="47">
        <v>-1.3834994010824364</v>
      </c>
      <c r="X489" s="47">
        <v>-1.7486547766621114</v>
      </c>
      <c r="Y489" s="50" t="s">
        <v>69</v>
      </c>
      <c r="Z489" s="50" t="s">
        <v>69</v>
      </c>
      <c r="AA489" s="50" t="s">
        <v>69</v>
      </c>
      <c r="AB489" s="50" t="s">
        <v>69</v>
      </c>
      <c r="AC489" s="34" t="str">
        <f t="shared" ref="AC489:AP489" si="489">LET(
  skater, IFERROR(INDEX(AllProj, MATCH($E489, AllProjNames, 0), MATCH(AC$2, AllProjCats, 0) + 1), ""),
  goalie, IFERROR(INDEX(AllGProj, MATCH($E489, AllGProjNames, 0), MATCH(AC$2, AllGProjCats, 0) + 1), ""),
  val, IF(skater &lt;&gt; "", skater, goalie),
  IF(OR($E489="", AC$2="", val=""), "", val * AC$1)
)</f>
        <v/>
      </c>
      <c r="AD489" s="34" t="str">
        <f t="shared" si="489"/>
        <v/>
      </c>
      <c r="AE489" s="34" t="str">
        <f t="shared" si="489"/>
        <v/>
      </c>
      <c r="AF489" s="34" t="str">
        <f t="shared" si="489"/>
        <v/>
      </c>
      <c r="AG489" s="34" t="str">
        <f t="shared" si="489"/>
        <v/>
      </c>
      <c r="AH489" s="34" t="str">
        <f t="shared" si="489"/>
        <v/>
      </c>
      <c r="AI489" s="34" t="str">
        <f t="shared" si="489"/>
        <v/>
      </c>
      <c r="AJ489" s="34" t="str">
        <f t="shared" si="489"/>
        <v/>
      </c>
      <c r="AK489" s="34" t="str">
        <f t="shared" si="489"/>
        <v/>
      </c>
      <c r="AL489" s="34" t="str">
        <f t="shared" si="489"/>
        <v/>
      </c>
      <c r="AM489" s="34" t="str">
        <f t="shared" si="489"/>
        <v/>
      </c>
      <c r="AN489" s="34" t="str">
        <f t="shared" si="489"/>
        <v/>
      </c>
      <c r="AO489" s="34" t="str">
        <f t="shared" si="489"/>
        <v/>
      </c>
      <c r="AP489" s="34" t="str">
        <f t="shared" si="489"/>
        <v/>
      </c>
      <c r="AQ489" s="76" t="s">
        <v>529</v>
      </c>
      <c r="AR489" s="77"/>
      <c r="AS489" s="77"/>
      <c r="AT489" s="77"/>
      <c r="AU489" s="77"/>
      <c r="AV489" s="77"/>
      <c r="AW489" s="77"/>
      <c r="AX489" s="77"/>
      <c r="AY489" s="77"/>
      <c r="AZ489" s="77"/>
      <c r="BA489" s="77"/>
      <c r="BB489" s="77"/>
      <c r="BC489" s="77"/>
      <c r="BD489" s="77"/>
      <c r="BE489" s="77"/>
      <c r="BF489" s="77"/>
      <c r="BG489" s="77"/>
      <c r="BH489" s="77"/>
      <c r="BI489" s="77"/>
      <c r="BJ489" s="77"/>
      <c r="BK489" s="77"/>
      <c r="BL489" s="77"/>
      <c r="BM489" s="78"/>
    </row>
    <row r="490">
      <c r="A490" s="79">
        <v>2.5714285714285716</v>
      </c>
      <c r="B490" s="79" t="b">
        <v>0</v>
      </c>
      <c r="C490" s="79" t="b">
        <f t="shared" si="3"/>
        <v>0</v>
      </c>
      <c r="D490" s="80" t="s">
        <v>1565</v>
      </c>
      <c r="E490" s="81" t="s">
        <v>1036</v>
      </c>
      <c r="F490" s="82" t="s">
        <v>1426</v>
      </c>
      <c r="G490" s="35" t="s">
        <v>284</v>
      </c>
      <c r="H490" s="37">
        <v>-9.246065126374422</v>
      </c>
      <c r="I490" s="37">
        <v>-4.207999106191337</v>
      </c>
      <c r="J490" s="83" t="s">
        <v>2155</v>
      </c>
      <c r="K490" s="35">
        <v>19.9</v>
      </c>
      <c r="L490" s="79">
        <v>78.5</v>
      </c>
      <c r="M490" s="84">
        <v>23.0</v>
      </c>
      <c r="N490" s="84">
        <v>6.0</v>
      </c>
      <c r="O490" s="85">
        <v>-0.6987784663403618</v>
      </c>
      <c r="P490" s="85">
        <v>-0.9188597896906701</v>
      </c>
      <c r="Q490" s="85">
        <v>-0.6855542438564114</v>
      </c>
      <c r="R490" s="85">
        <v>-1.1419695278798276</v>
      </c>
      <c r="S490" s="85">
        <v>-0.7230978053273656</v>
      </c>
      <c r="T490" s="85">
        <v>-0.7871777123417198</v>
      </c>
      <c r="U490" s="85">
        <v>-0.7330862030901921</v>
      </c>
      <c r="V490" s="85">
        <v>0.0</v>
      </c>
      <c r="W490" s="85">
        <v>-1.664527686271206</v>
      </c>
      <c r="X490" s="85">
        <v>-1.8930136915766673</v>
      </c>
      <c r="Y490" s="50" t="s">
        <v>69</v>
      </c>
      <c r="Z490" s="50" t="s">
        <v>69</v>
      </c>
      <c r="AA490" s="50" t="s">
        <v>69</v>
      </c>
      <c r="AB490" s="50" t="s">
        <v>69</v>
      </c>
      <c r="AC490" s="34" t="str">
        <f t="shared" ref="AC490:AP490" si="490">LET(
  skater, IFERROR(INDEX(AllProj, MATCH($E490, AllProjNames, 0), MATCH(AC$2, AllProjCats, 0) + 1), ""),
  goalie, IFERROR(INDEX(AllGProj, MATCH($E490, AllGProjNames, 0), MATCH(AC$2, AllGProjCats, 0) + 1), ""),
  val, IF(skater &lt;&gt; "", skater, goalie),
  IF(OR($E490="", AC$2="", val=""), "", val * AC$1)
)</f>
        <v/>
      </c>
      <c r="AD490" s="34" t="str">
        <f t="shared" si="490"/>
        <v/>
      </c>
      <c r="AE490" s="34" t="str">
        <f t="shared" si="490"/>
        <v/>
      </c>
      <c r="AF490" s="34" t="str">
        <f t="shared" si="490"/>
        <v/>
      </c>
      <c r="AG490" s="34" t="str">
        <f t="shared" si="490"/>
        <v/>
      </c>
      <c r="AH490" s="34" t="str">
        <f t="shared" si="490"/>
        <v/>
      </c>
      <c r="AI490" s="34" t="str">
        <f t="shared" si="490"/>
        <v/>
      </c>
      <c r="AJ490" s="34" t="str">
        <f t="shared" si="490"/>
        <v/>
      </c>
      <c r="AK490" s="34" t="str">
        <f t="shared" si="490"/>
        <v/>
      </c>
      <c r="AL490" s="34" t="str">
        <f t="shared" si="490"/>
        <v/>
      </c>
      <c r="AM490" s="34" t="str">
        <f t="shared" si="490"/>
        <v/>
      </c>
      <c r="AN490" s="34" t="str">
        <f t="shared" si="490"/>
        <v/>
      </c>
      <c r="AO490" s="34" t="str">
        <f t="shared" si="490"/>
        <v/>
      </c>
      <c r="AP490" s="34" t="str">
        <f t="shared" si="490"/>
        <v/>
      </c>
      <c r="AQ490" s="76" t="s">
        <v>530</v>
      </c>
      <c r="AR490" s="77"/>
      <c r="AS490" s="77"/>
      <c r="AT490" s="77"/>
      <c r="AU490" s="77"/>
      <c r="AV490" s="77"/>
      <c r="AW490" s="77"/>
      <c r="AX490" s="77"/>
      <c r="AY490" s="77"/>
      <c r="AZ490" s="77"/>
      <c r="BA490" s="77"/>
      <c r="BB490" s="77"/>
      <c r="BC490" s="77"/>
      <c r="BD490" s="77"/>
      <c r="BE490" s="77"/>
      <c r="BF490" s="77"/>
      <c r="BG490" s="77"/>
      <c r="BH490" s="77"/>
      <c r="BI490" s="77"/>
      <c r="BJ490" s="77"/>
      <c r="BK490" s="77"/>
      <c r="BL490" s="77"/>
      <c r="BM490" s="78"/>
    </row>
    <row r="491">
      <c r="A491" s="41" t="s">
        <v>69</v>
      </c>
      <c r="B491" s="41" t="b">
        <v>0</v>
      </c>
      <c r="C491" s="41" t="b">
        <f t="shared" si="3"/>
        <v>1</v>
      </c>
      <c r="D491" s="42" t="s">
        <v>502</v>
      </c>
      <c r="E491" s="43" t="s">
        <v>2156</v>
      </c>
      <c r="F491" s="44" t="s">
        <v>1299</v>
      </c>
      <c r="G491" s="29" t="s">
        <v>6</v>
      </c>
      <c r="H491" s="32">
        <v>-9.272114575197222</v>
      </c>
      <c r="I491" s="32">
        <v>-4.933891596727108</v>
      </c>
      <c r="J491" s="45" t="s">
        <v>2157</v>
      </c>
      <c r="K491" s="29">
        <v>24.2</v>
      </c>
      <c r="L491" s="41">
        <v>48.3</v>
      </c>
      <c r="M491" s="46">
        <v>31.0</v>
      </c>
      <c r="N491" s="46">
        <v>7.0</v>
      </c>
      <c r="O491" s="94" t="s">
        <v>69</v>
      </c>
      <c r="P491" s="94" t="s">
        <v>69</v>
      </c>
      <c r="Q491" s="94" t="s">
        <v>69</v>
      </c>
      <c r="R491" s="94" t="s">
        <v>69</v>
      </c>
      <c r="S491" s="94" t="s">
        <v>69</v>
      </c>
      <c r="T491" s="94" t="s">
        <v>69</v>
      </c>
      <c r="U491" s="94" t="s">
        <v>69</v>
      </c>
      <c r="V491" s="94" t="s">
        <v>69</v>
      </c>
      <c r="W491" s="94" t="s">
        <v>69</v>
      </c>
      <c r="X491" s="94" t="s">
        <v>69</v>
      </c>
      <c r="Y491" s="95">
        <v>-0.6891515649350675</v>
      </c>
      <c r="Z491" s="95">
        <v>-4.891585424116969</v>
      </c>
      <c r="AA491" s="95">
        <v>-3.691377586145186</v>
      </c>
      <c r="AB491" s="95">
        <v>0.0</v>
      </c>
      <c r="AC491" s="34" t="str">
        <f t="shared" ref="AC491:AP491" si="491">LET(
  skater, IFERROR(INDEX(AllProj, MATCH($E491, AllProjNames, 0), MATCH(AC$2, AllProjCats, 0) + 1), ""),
  goalie, IFERROR(INDEX(AllGProj, MATCH($E491, AllGProjNames, 0), MATCH(AC$2, AllGProjCats, 0) + 1), ""),
  val, IF(skater &lt;&gt; "", skater, goalie),
  IF(OR($E491="", AC$2="", val=""), "", val * AC$1)
)</f>
        <v/>
      </c>
      <c r="AD491" s="34" t="str">
        <f t="shared" si="491"/>
        <v/>
      </c>
      <c r="AE491" s="34" t="str">
        <f t="shared" si="491"/>
        <v/>
      </c>
      <c r="AF491" s="34" t="str">
        <f t="shared" si="491"/>
        <v/>
      </c>
      <c r="AG491" s="34" t="str">
        <f t="shared" si="491"/>
        <v/>
      </c>
      <c r="AH491" s="34" t="str">
        <f t="shared" si="491"/>
        <v/>
      </c>
      <c r="AI491" s="34" t="str">
        <f t="shared" si="491"/>
        <v/>
      </c>
      <c r="AJ491" s="34" t="str">
        <f t="shared" si="491"/>
        <v/>
      </c>
      <c r="AK491" s="34" t="str">
        <f t="shared" si="491"/>
        <v/>
      </c>
      <c r="AL491" s="34" t="str">
        <f t="shared" si="491"/>
        <v/>
      </c>
      <c r="AM491" s="34" t="str">
        <f t="shared" si="491"/>
        <v/>
      </c>
      <c r="AN491" s="34" t="str">
        <f t="shared" si="491"/>
        <v/>
      </c>
      <c r="AO491" s="34" t="str">
        <f t="shared" si="491"/>
        <v/>
      </c>
      <c r="AP491" s="34" t="str">
        <f t="shared" si="491"/>
        <v/>
      </c>
      <c r="AQ491" s="76" t="s">
        <v>531</v>
      </c>
      <c r="AR491" s="77"/>
      <c r="AS491" s="77"/>
      <c r="AT491" s="77"/>
      <c r="AU491" s="77"/>
      <c r="AV491" s="77"/>
      <c r="AW491" s="77"/>
      <c r="AX491" s="77"/>
      <c r="AY491" s="77"/>
      <c r="AZ491" s="77"/>
      <c r="BA491" s="77"/>
      <c r="BB491" s="77"/>
      <c r="BC491" s="77"/>
      <c r="BD491" s="77"/>
      <c r="BE491" s="77"/>
      <c r="BF491" s="77"/>
      <c r="BG491" s="77"/>
      <c r="BH491" s="77"/>
      <c r="BI491" s="77"/>
      <c r="BJ491" s="77"/>
      <c r="BK491" s="77"/>
      <c r="BL491" s="77"/>
      <c r="BM491" s="78"/>
    </row>
    <row r="492">
      <c r="A492" s="79">
        <v>2.7142857142857144</v>
      </c>
      <c r="B492" s="79" t="b">
        <v>0</v>
      </c>
      <c r="C492" s="79" t="b">
        <f t="shared" si="3"/>
        <v>0</v>
      </c>
      <c r="D492" s="80" t="s">
        <v>1565</v>
      </c>
      <c r="E492" s="81" t="s">
        <v>1308</v>
      </c>
      <c r="F492" s="82" t="s">
        <v>1461</v>
      </c>
      <c r="G492" s="35" t="s">
        <v>837</v>
      </c>
      <c r="H492" s="37">
        <v>-9.280946003332534</v>
      </c>
      <c r="I492" s="37">
        <v>-3.751087231403633</v>
      </c>
      <c r="J492" s="83" t="s">
        <v>2158</v>
      </c>
      <c r="K492" s="35">
        <v>22.2</v>
      </c>
      <c r="L492" s="79">
        <v>80.10714285714286</v>
      </c>
      <c r="M492" s="84">
        <v>23.0</v>
      </c>
      <c r="N492" s="84">
        <v>6.0</v>
      </c>
      <c r="O492" s="85">
        <v>-1.3401870862791834</v>
      </c>
      <c r="P492" s="85">
        <v>-0.9052249074755011</v>
      </c>
      <c r="Q492" s="85">
        <v>-0.4137806509378807</v>
      </c>
      <c r="R492" s="85">
        <v>-1.6801810633392733</v>
      </c>
      <c r="S492" s="85">
        <v>-1.3134791202685818</v>
      </c>
      <c r="T492" s="85">
        <v>-0.7195352265758682</v>
      </c>
      <c r="U492" s="85">
        <v>-1.5290371191011443</v>
      </c>
      <c r="V492" s="85">
        <v>0.0</v>
      </c>
      <c r="W492" s="85">
        <v>-1.900275051155775</v>
      </c>
      <c r="X492" s="85">
        <v>0.5207542218006739</v>
      </c>
      <c r="Y492" s="50" t="s">
        <v>69</v>
      </c>
      <c r="Z492" s="50" t="s">
        <v>69</v>
      </c>
      <c r="AA492" s="50" t="s">
        <v>69</v>
      </c>
      <c r="AB492" s="50" t="s">
        <v>69</v>
      </c>
      <c r="AC492" s="34" t="str">
        <f t="shared" ref="AC492:AP492" si="492">LET(
  skater, IFERROR(INDEX(AllProj, MATCH($E492, AllProjNames, 0), MATCH(AC$2, AllProjCats, 0) + 1), ""),
  goalie, IFERROR(INDEX(AllGProj, MATCH($E492, AllGProjNames, 0), MATCH(AC$2, AllGProjCats, 0) + 1), ""),
  val, IF(skater &lt;&gt; "", skater, goalie),
  IF(OR($E492="", AC$2="", val=""), "", val * AC$1)
)</f>
        <v/>
      </c>
      <c r="AD492" s="34" t="str">
        <f t="shared" si="492"/>
        <v/>
      </c>
      <c r="AE492" s="34" t="str">
        <f t="shared" si="492"/>
        <v/>
      </c>
      <c r="AF492" s="34" t="str">
        <f t="shared" si="492"/>
        <v/>
      </c>
      <c r="AG492" s="34" t="str">
        <f t="shared" si="492"/>
        <v/>
      </c>
      <c r="AH492" s="34" t="str">
        <f t="shared" si="492"/>
        <v/>
      </c>
      <c r="AI492" s="34" t="str">
        <f t="shared" si="492"/>
        <v/>
      </c>
      <c r="AJ492" s="34" t="str">
        <f t="shared" si="492"/>
        <v/>
      </c>
      <c r="AK492" s="34" t="str">
        <f t="shared" si="492"/>
        <v/>
      </c>
      <c r="AL492" s="34" t="str">
        <f t="shared" si="492"/>
        <v/>
      </c>
      <c r="AM492" s="34" t="str">
        <f t="shared" si="492"/>
        <v/>
      </c>
      <c r="AN492" s="34" t="str">
        <f t="shared" si="492"/>
        <v/>
      </c>
      <c r="AO492" s="34" t="str">
        <f t="shared" si="492"/>
        <v/>
      </c>
      <c r="AP492" s="34" t="str">
        <f t="shared" si="492"/>
        <v/>
      </c>
      <c r="AQ492" s="76" t="s">
        <v>532</v>
      </c>
      <c r="AR492" s="77"/>
      <c r="AS492" s="77"/>
      <c r="AT492" s="77"/>
      <c r="AU492" s="77"/>
      <c r="AV492" s="77"/>
      <c r="AW492" s="77"/>
      <c r="AX492" s="77"/>
      <c r="AY492" s="77"/>
      <c r="AZ492" s="77"/>
      <c r="BA492" s="77"/>
      <c r="BB492" s="77"/>
      <c r="BC492" s="77"/>
      <c r="BD492" s="77"/>
      <c r="BE492" s="77"/>
      <c r="BF492" s="77"/>
      <c r="BG492" s="77"/>
      <c r="BH492" s="77"/>
      <c r="BI492" s="77"/>
      <c r="BJ492" s="77"/>
      <c r="BK492" s="77"/>
      <c r="BL492" s="77"/>
      <c r="BM492" s="78"/>
    </row>
    <row r="493">
      <c r="A493" s="41">
        <v>2.5</v>
      </c>
      <c r="B493" s="41" t="b">
        <v>0</v>
      </c>
      <c r="C493" s="41" t="b">
        <f t="shared" si="3"/>
        <v>0</v>
      </c>
      <c r="D493" s="42" t="s">
        <v>1565</v>
      </c>
      <c r="E493" s="43" t="s">
        <v>881</v>
      </c>
      <c r="F493" s="44" t="s">
        <v>1489</v>
      </c>
      <c r="G493" s="29" t="s">
        <v>832</v>
      </c>
      <c r="H493" s="32">
        <v>-9.286050101529721</v>
      </c>
      <c r="I493" s="32">
        <v>-3.8439124928018638</v>
      </c>
      <c r="J493" s="45" t="s">
        <v>2159</v>
      </c>
      <c r="K493" s="29">
        <v>23.8</v>
      </c>
      <c r="L493" s="41">
        <v>75.0</v>
      </c>
      <c r="M493" s="46">
        <v>28.0</v>
      </c>
      <c r="N493" s="46">
        <v>7.0</v>
      </c>
      <c r="O493" s="47">
        <v>-2.028216309698042</v>
      </c>
      <c r="P493" s="47">
        <v>-1.7018454432799988</v>
      </c>
      <c r="Q493" s="94" t="s">
        <v>69</v>
      </c>
      <c r="R493" s="47">
        <v>-2.241507696721341</v>
      </c>
      <c r="S493" s="94" t="s">
        <v>69</v>
      </c>
      <c r="T493" s="94" t="s">
        <v>69</v>
      </c>
      <c r="U493" s="47">
        <v>-1.4270960815875788</v>
      </c>
      <c r="V493" s="94" t="s">
        <v>69</v>
      </c>
      <c r="W493" s="47">
        <v>-0.858030969159541</v>
      </c>
      <c r="X493" s="47">
        <v>-1.0293536010832192</v>
      </c>
      <c r="Y493" s="50" t="s">
        <v>69</v>
      </c>
      <c r="Z493" s="50" t="s">
        <v>69</v>
      </c>
      <c r="AA493" s="50" t="s">
        <v>69</v>
      </c>
      <c r="AB493" s="50" t="s">
        <v>69</v>
      </c>
      <c r="AC493" s="34" t="str">
        <f t="shared" ref="AC493:AP493" si="493">LET(
  skater, IFERROR(INDEX(AllProj, MATCH($E493, AllProjNames, 0), MATCH(AC$2, AllProjCats, 0) + 1), ""),
  goalie, IFERROR(INDEX(AllGProj, MATCH($E493, AllGProjNames, 0), MATCH(AC$2, AllGProjCats, 0) + 1), ""),
  val, IF(skater &lt;&gt; "", skater, goalie),
  IF(OR($E493="", AC$2="", val=""), "", val * AC$1)
)</f>
        <v/>
      </c>
      <c r="AD493" s="34" t="str">
        <f t="shared" si="493"/>
        <v/>
      </c>
      <c r="AE493" s="34" t="str">
        <f t="shared" si="493"/>
        <v/>
      </c>
      <c r="AF493" s="34" t="str">
        <f t="shared" si="493"/>
        <v/>
      </c>
      <c r="AG493" s="34" t="str">
        <f t="shared" si="493"/>
        <v/>
      </c>
      <c r="AH493" s="34" t="str">
        <f t="shared" si="493"/>
        <v/>
      </c>
      <c r="AI493" s="34" t="str">
        <f t="shared" si="493"/>
        <v/>
      </c>
      <c r="AJ493" s="34" t="str">
        <f t="shared" si="493"/>
        <v/>
      </c>
      <c r="AK493" s="34" t="str">
        <f t="shared" si="493"/>
        <v/>
      </c>
      <c r="AL493" s="34" t="str">
        <f t="shared" si="493"/>
        <v/>
      </c>
      <c r="AM493" s="34" t="str">
        <f t="shared" si="493"/>
        <v/>
      </c>
      <c r="AN493" s="34" t="str">
        <f t="shared" si="493"/>
        <v/>
      </c>
      <c r="AO493" s="34" t="str">
        <f t="shared" si="493"/>
        <v/>
      </c>
      <c r="AP493" s="34" t="str">
        <f t="shared" si="493"/>
        <v/>
      </c>
      <c r="AQ493" s="76" t="s">
        <v>533</v>
      </c>
      <c r="AR493" s="77"/>
      <c r="AS493" s="77"/>
      <c r="AT493" s="77"/>
      <c r="AU493" s="77"/>
      <c r="AV493" s="77"/>
      <c r="AW493" s="77"/>
      <c r="AX493" s="77"/>
      <c r="AY493" s="77"/>
      <c r="AZ493" s="77"/>
      <c r="BA493" s="77"/>
      <c r="BB493" s="77"/>
      <c r="BC493" s="77"/>
      <c r="BD493" s="77"/>
      <c r="BE493" s="77"/>
      <c r="BF493" s="77"/>
      <c r="BG493" s="77"/>
      <c r="BH493" s="77"/>
      <c r="BI493" s="77"/>
      <c r="BJ493" s="77"/>
      <c r="BK493" s="77"/>
      <c r="BL493" s="77"/>
      <c r="BM493" s="78"/>
    </row>
    <row r="494">
      <c r="A494" s="79">
        <v>2.642857142857143</v>
      </c>
      <c r="B494" s="79" t="b">
        <v>0</v>
      </c>
      <c r="C494" s="79" t="b">
        <f t="shared" si="3"/>
        <v>0</v>
      </c>
      <c r="D494" s="80" t="s">
        <v>1565</v>
      </c>
      <c r="E494" s="81" t="s">
        <v>1223</v>
      </c>
      <c r="F494" s="82" t="s">
        <v>1429</v>
      </c>
      <c r="G494" s="35" t="s">
        <v>832</v>
      </c>
      <c r="H494" s="37">
        <v>-9.305066000192893</v>
      </c>
      <c r="I494" s="37">
        <v>-3.8629283914650356</v>
      </c>
      <c r="J494" s="83" t="s">
        <v>2160</v>
      </c>
      <c r="K494" s="35">
        <v>22.7</v>
      </c>
      <c r="L494" s="79">
        <v>80.28735294117647</v>
      </c>
      <c r="M494" s="84">
        <v>24.0</v>
      </c>
      <c r="N494" s="84">
        <v>7.0</v>
      </c>
      <c r="O494" s="85">
        <v>-0.8020628726334966</v>
      </c>
      <c r="P494" s="85">
        <v>-1.057035323388876</v>
      </c>
      <c r="Q494" s="85">
        <v>-0.9520384852336432</v>
      </c>
      <c r="R494" s="85">
        <v>-0.9423903591857059</v>
      </c>
      <c r="S494" s="85">
        <v>-1.2743299427010804</v>
      </c>
      <c r="T494" s="85">
        <v>-0.7414537222248572</v>
      </c>
      <c r="U494" s="85">
        <v>-1.5091316378570547</v>
      </c>
      <c r="V494" s="85">
        <v>0.3106665740470044</v>
      </c>
      <c r="W494" s="85">
        <v>-1.1545589642797178</v>
      </c>
      <c r="X494" s="85">
        <v>-1.182731266735464</v>
      </c>
      <c r="Y494" s="50" t="s">
        <v>69</v>
      </c>
      <c r="Z494" s="50" t="s">
        <v>69</v>
      </c>
      <c r="AA494" s="50" t="s">
        <v>69</v>
      </c>
      <c r="AB494" s="50" t="s">
        <v>69</v>
      </c>
      <c r="AC494" s="34" t="str">
        <f t="shared" ref="AC494:AP494" si="494">LET(
  skater, IFERROR(INDEX(AllProj, MATCH($E494, AllProjNames, 0), MATCH(AC$2, AllProjCats, 0) + 1), ""),
  goalie, IFERROR(INDEX(AllGProj, MATCH($E494, AllGProjNames, 0), MATCH(AC$2, AllGProjCats, 0) + 1), ""),
  val, IF(skater &lt;&gt; "", skater, goalie),
  IF(OR($E494="", AC$2="", val=""), "", val * AC$1)
)</f>
        <v/>
      </c>
      <c r="AD494" s="34" t="str">
        <f t="shared" si="494"/>
        <v/>
      </c>
      <c r="AE494" s="34" t="str">
        <f t="shared" si="494"/>
        <v/>
      </c>
      <c r="AF494" s="34" t="str">
        <f t="shared" si="494"/>
        <v/>
      </c>
      <c r="AG494" s="34" t="str">
        <f t="shared" si="494"/>
        <v/>
      </c>
      <c r="AH494" s="34" t="str">
        <f t="shared" si="494"/>
        <v/>
      </c>
      <c r="AI494" s="34" t="str">
        <f t="shared" si="494"/>
        <v/>
      </c>
      <c r="AJ494" s="34" t="str">
        <f t="shared" si="494"/>
        <v/>
      </c>
      <c r="AK494" s="34" t="str">
        <f t="shared" si="494"/>
        <v/>
      </c>
      <c r="AL494" s="34" t="str">
        <f t="shared" si="494"/>
        <v/>
      </c>
      <c r="AM494" s="34" t="str">
        <f t="shared" si="494"/>
        <v/>
      </c>
      <c r="AN494" s="34" t="str">
        <f t="shared" si="494"/>
        <v/>
      </c>
      <c r="AO494" s="34" t="str">
        <f t="shared" si="494"/>
        <v/>
      </c>
      <c r="AP494" s="34" t="str">
        <f t="shared" si="494"/>
        <v/>
      </c>
      <c r="AQ494" s="76" t="s">
        <v>534</v>
      </c>
      <c r="AR494" s="77"/>
      <c r="AS494" s="77"/>
      <c r="AT494" s="77"/>
      <c r="AU494" s="77"/>
      <c r="AV494" s="77"/>
      <c r="AW494" s="77"/>
      <c r="AX494" s="77"/>
      <c r="AY494" s="77"/>
      <c r="AZ494" s="77"/>
      <c r="BA494" s="77"/>
      <c r="BB494" s="77"/>
      <c r="BC494" s="77"/>
      <c r="BD494" s="77"/>
      <c r="BE494" s="77"/>
      <c r="BF494" s="77"/>
      <c r="BG494" s="77"/>
      <c r="BH494" s="77"/>
      <c r="BI494" s="77"/>
      <c r="BJ494" s="77"/>
      <c r="BK494" s="77"/>
      <c r="BL494" s="77"/>
      <c r="BM494" s="78"/>
    </row>
    <row r="495">
      <c r="A495" s="41">
        <v>2.642857142857143</v>
      </c>
      <c r="B495" s="41" t="b">
        <v>0</v>
      </c>
      <c r="C495" s="41" t="b">
        <f t="shared" si="3"/>
        <v>0</v>
      </c>
      <c r="D495" s="42" t="s">
        <v>1565</v>
      </c>
      <c r="E495" s="43" t="s">
        <v>1114</v>
      </c>
      <c r="F495" s="44" t="s">
        <v>279</v>
      </c>
      <c r="G495" s="29" t="s">
        <v>829</v>
      </c>
      <c r="H495" s="32">
        <v>-9.310894528948506</v>
      </c>
      <c r="I495" s="32">
        <v>-3.8687569202206484</v>
      </c>
      <c r="J495" s="45" t="s">
        <v>2161</v>
      </c>
      <c r="K495" s="29">
        <v>29.6</v>
      </c>
      <c r="L495" s="41">
        <v>78.39104166666667</v>
      </c>
      <c r="M495" s="46">
        <v>34.0</v>
      </c>
      <c r="N495" s="46">
        <v>7.0</v>
      </c>
      <c r="O495" s="47">
        <v>-1.2878529945834212</v>
      </c>
      <c r="P495" s="47">
        <v>-1.2318731735408364</v>
      </c>
      <c r="Q495" s="47">
        <v>-0.40263782720500346</v>
      </c>
      <c r="R495" s="47">
        <v>-0.988491729434563</v>
      </c>
      <c r="S495" s="47">
        <v>-1.3841277102340093</v>
      </c>
      <c r="T495" s="47">
        <v>-0.17421673585667705</v>
      </c>
      <c r="U495" s="47">
        <v>-1.7908158873838989</v>
      </c>
      <c r="V495" s="47">
        <v>0.594550401124383</v>
      </c>
      <c r="W495" s="47">
        <v>-1.1938707610413193</v>
      </c>
      <c r="X495" s="47">
        <v>-1.4515581107931605</v>
      </c>
      <c r="Y495" s="50" t="s">
        <v>69</v>
      </c>
      <c r="Z495" s="50" t="s">
        <v>69</v>
      </c>
      <c r="AA495" s="50" t="s">
        <v>69</v>
      </c>
      <c r="AB495" s="50" t="s">
        <v>69</v>
      </c>
      <c r="AC495" s="34" t="str">
        <f t="shared" ref="AC495:AP495" si="495">LET(
  skater, IFERROR(INDEX(AllProj, MATCH($E495, AllProjNames, 0), MATCH(AC$2, AllProjCats, 0) + 1), ""),
  goalie, IFERROR(INDEX(AllGProj, MATCH($E495, AllGProjNames, 0), MATCH(AC$2, AllGProjCats, 0) + 1), ""),
  val, IF(skater &lt;&gt; "", skater, goalie),
  IF(OR($E495="", AC$2="", val=""), "", val * AC$1)
)</f>
        <v/>
      </c>
      <c r="AD495" s="34" t="str">
        <f t="shared" si="495"/>
        <v/>
      </c>
      <c r="AE495" s="34" t="str">
        <f t="shared" si="495"/>
        <v/>
      </c>
      <c r="AF495" s="34" t="str">
        <f t="shared" si="495"/>
        <v/>
      </c>
      <c r="AG495" s="34" t="str">
        <f t="shared" si="495"/>
        <v/>
      </c>
      <c r="AH495" s="34" t="str">
        <f t="shared" si="495"/>
        <v/>
      </c>
      <c r="AI495" s="34" t="str">
        <f t="shared" si="495"/>
        <v/>
      </c>
      <c r="AJ495" s="34" t="str">
        <f t="shared" si="495"/>
        <v/>
      </c>
      <c r="AK495" s="34" t="str">
        <f t="shared" si="495"/>
        <v/>
      </c>
      <c r="AL495" s="34" t="str">
        <f t="shared" si="495"/>
        <v/>
      </c>
      <c r="AM495" s="34" t="str">
        <f t="shared" si="495"/>
        <v/>
      </c>
      <c r="AN495" s="34" t="str">
        <f t="shared" si="495"/>
        <v/>
      </c>
      <c r="AO495" s="34" t="str">
        <f t="shared" si="495"/>
        <v/>
      </c>
      <c r="AP495" s="34" t="str">
        <f t="shared" si="495"/>
        <v/>
      </c>
      <c r="AQ495" s="76" t="s">
        <v>535</v>
      </c>
      <c r="AR495" s="77"/>
      <c r="AS495" s="77"/>
      <c r="AT495" s="77"/>
      <c r="AU495" s="77"/>
      <c r="AV495" s="77"/>
      <c r="AW495" s="77"/>
      <c r="AX495" s="77"/>
      <c r="AY495" s="77"/>
      <c r="AZ495" s="77"/>
      <c r="BA495" s="77"/>
      <c r="BB495" s="77"/>
      <c r="BC495" s="77"/>
      <c r="BD495" s="77"/>
      <c r="BE495" s="77"/>
      <c r="BF495" s="77"/>
      <c r="BG495" s="77"/>
      <c r="BH495" s="77"/>
      <c r="BI495" s="77"/>
      <c r="BJ495" s="77"/>
      <c r="BK495" s="77"/>
      <c r="BL495" s="77"/>
      <c r="BM495" s="78"/>
    </row>
    <row r="496">
      <c r="A496" s="79">
        <v>2.642857142857143</v>
      </c>
      <c r="B496" s="79" t="b">
        <v>0</v>
      </c>
      <c r="C496" s="79" t="b">
        <f t="shared" si="3"/>
        <v>0</v>
      </c>
      <c r="D496" s="80" t="s">
        <v>1565</v>
      </c>
      <c r="E496" s="81" t="s">
        <v>1132</v>
      </c>
      <c r="F496" s="82" t="s">
        <v>1512</v>
      </c>
      <c r="G496" s="35" t="s">
        <v>835</v>
      </c>
      <c r="H496" s="37">
        <v>-9.32465079998009</v>
      </c>
      <c r="I496" s="37">
        <v>-3.9367706750673506</v>
      </c>
      <c r="J496" s="83" t="s">
        <v>2162</v>
      </c>
      <c r="K496" s="35">
        <v>32.6</v>
      </c>
      <c r="L496" s="79">
        <v>69.6</v>
      </c>
      <c r="M496" s="84">
        <v>21.0</v>
      </c>
      <c r="N496" s="84">
        <v>7.0</v>
      </c>
      <c r="O496" s="85">
        <v>-1.6760949349708725</v>
      </c>
      <c r="P496" s="85">
        <v>-1.8804821701729715</v>
      </c>
      <c r="Q496" s="85">
        <v>-1.954580059442969</v>
      </c>
      <c r="R496" s="85">
        <v>-0.6374964423370336</v>
      </c>
      <c r="S496" s="85">
        <v>-1.72461069241107</v>
      </c>
      <c r="T496" s="85">
        <v>-0.16952108464970286</v>
      </c>
      <c r="U496" s="85">
        <v>-2.434593376792592</v>
      </c>
      <c r="V496" s="85">
        <v>0.0</v>
      </c>
      <c r="W496" s="85">
        <v>2.3017968219487384</v>
      </c>
      <c r="X496" s="85">
        <v>-1.1490688611516178</v>
      </c>
      <c r="Y496" s="50" t="s">
        <v>69</v>
      </c>
      <c r="Z496" s="50" t="s">
        <v>69</v>
      </c>
      <c r="AA496" s="50" t="s">
        <v>69</v>
      </c>
      <c r="AB496" s="50" t="s">
        <v>69</v>
      </c>
      <c r="AC496" s="34" t="str">
        <f t="shared" ref="AC496:AP496" si="496">LET(
  skater, IFERROR(INDEX(AllProj, MATCH($E496, AllProjNames, 0), MATCH(AC$2, AllProjCats, 0) + 1), ""),
  goalie, IFERROR(INDEX(AllGProj, MATCH($E496, AllGProjNames, 0), MATCH(AC$2, AllGProjCats, 0) + 1), ""),
  val, IF(skater &lt;&gt; "", skater, goalie),
  IF(OR($E496="", AC$2="", val=""), "", val * AC$1)
)</f>
        <v/>
      </c>
      <c r="AD496" s="34" t="str">
        <f t="shared" si="496"/>
        <v/>
      </c>
      <c r="AE496" s="34" t="str">
        <f t="shared" si="496"/>
        <v/>
      </c>
      <c r="AF496" s="34" t="str">
        <f t="shared" si="496"/>
        <v/>
      </c>
      <c r="AG496" s="34" t="str">
        <f t="shared" si="496"/>
        <v/>
      </c>
      <c r="AH496" s="34" t="str">
        <f t="shared" si="496"/>
        <v/>
      </c>
      <c r="AI496" s="34" t="str">
        <f t="shared" si="496"/>
        <v/>
      </c>
      <c r="AJ496" s="34" t="str">
        <f t="shared" si="496"/>
        <v/>
      </c>
      <c r="AK496" s="34" t="str">
        <f t="shared" si="496"/>
        <v/>
      </c>
      <c r="AL496" s="34" t="str">
        <f t="shared" si="496"/>
        <v/>
      </c>
      <c r="AM496" s="34" t="str">
        <f t="shared" si="496"/>
        <v/>
      </c>
      <c r="AN496" s="34" t="str">
        <f t="shared" si="496"/>
        <v/>
      </c>
      <c r="AO496" s="34" t="str">
        <f t="shared" si="496"/>
        <v/>
      </c>
      <c r="AP496" s="34" t="str">
        <f t="shared" si="496"/>
        <v/>
      </c>
      <c r="AQ496" s="76" t="s">
        <v>536</v>
      </c>
      <c r="AR496" s="77"/>
      <c r="AS496" s="77"/>
      <c r="AT496" s="77"/>
      <c r="AU496" s="77"/>
      <c r="AV496" s="77"/>
      <c r="AW496" s="77"/>
      <c r="AX496" s="77"/>
      <c r="AY496" s="77"/>
      <c r="AZ496" s="77"/>
      <c r="BA496" s="77"/>
      <c r="BB496" s="77"/>
      <c r="BC496" s="77"/>
      <c r="BD496" s="77"/>
      <c r="BE496" s="77"/>
      <c r="BF496" s="77"/>
      <c r="BG496" s="77"/>
      <c r="BH496" s="77"/>
      <c r="BI496" s="77"/>
      <c r="BJ496" s="77"/>
      <c r="BK496" s="77"/>
      <c r="BL496" s="77"/>
      <c r="BM496" s="78"/>
    </row>
    <row r="497">
      <c r="A497" s="41">
        <v>2.5714285714285716</v>
      </c>
      <c r="B497" s="41" t="b">
        <v>0</v>
      </c>
      <c r="C497" s="41" t="b">
        <f t="shared" si="3"/>
        <v>0</v>
      </c>
      <c r="D497" s="42" t="s">
        <v>1565</v>
      </c>
      <c r="E497" s="43" t="s">
        <v>1000</v>
      </c>
      <c r="F497" s="44" t="s">
        <v>1444</v>
      </c>
      <c r="G497" s="29" t="s">
        <v>837</v>
      </c>
      <c r="H497" s="32">
        <v>-9.343464948042369</v>
      </c>
      <c r="I497" s="32">
        <v>-3.813606176113468</v>
      </c>
      <c r="J497" s="45" t="s">
        <v>2163</v>
      </c>
      <c r="K497" s="29">
        <v>30.4</v>
      </c>
      <c r="L497" s="41">
        <v>79.0</v>
      </c>
      <c r="M497" s="46">
        <v>33.0</v>
      </c>
      <c r="N497" s="46">
        <v>6.0</v>
      </c>
      <c r="O497" s="47">
        <v>-2.200683921809308</v>
      </c>
      <c r="P497" s="47">
        <v>-1.0824167928848853</v>
      </c>
      <c r="Q497" s="47">
        <v>-2.192430341118062</v>
      </c>
      <c r="R497" s="47">
        <v>0.06770008921398561</v>
      </c>
      <c r="S497" s="47">
        <v>-1.72461069241107</v>
      </c>
      <c r="T497" s="47">
        <v>-0.16952108464970286</v>
      </c>
      <c r="U497" s="47">
        <v>-2.201942337978127</v>
      </c>
      <c r="V497" s="47">
        <v>0.0</v>
      </c>
      <c r="W497" s="47">
        <v>-1.026648794588332</v>
      </c>
      <c r="X497" s="47">
        <v>1.1870889281831347</v>
      </c>
      <c r="Y497" s="50" t="s">
        <v>69</v>
      </c>
      <c r="Z497" s="50" t="s">
        <v>69</v>
      </c>
      <c r="AA497" s="50" t="s">
        <v>69</v>
      </c>
      <c r="AB497" s="50" t="s">
        <v>69</v>
      </c>
      <c r="AC497" s="34" t="str">
        <f t="shared" ref="AC497:AP497" si="497">LET(
  skater, IFERROR(INDEX(AllProj, MATCH($E497, AllProjNames, 0), MATCH(AC$2, AllProjCats, 0) + 1), ""),
  goalie, IFERROR(INDEX(AllGProj, MATCH($E497, AllGProjNames, 0), MATCH(AC$2, AllGProjCats, 0) + 1), ""),
  val, IF(skater &lt;&gt; "", skater, goalie),
  IF(OR($E497="", AC$2="", val=""), "", val * AC$1)
)</f>
        <v/>
      </c>
      <c r="AD497" s="34" t="str">
        <f t="shared" si="497"/>
        <v/>
      </c>
      <c r="AE497" s="34" t="str">
        <f t="shared" si="497"/>
        <v/>
      </c>
      <c r="AF497" s="34" t="str">
        <f t="shared" si="497"/>
        <v/>
      </c>
      <c r="AG497" s="34" t="str">
        <f t="shared" si="497"/>
        <v/>
      </c>
      <c r="AH497" s="34" t="str">
        <f t="shared" si="497"/>
        <v/>
      </c>
      <c r="AI497" s="34" t="str">
        <f t="shared" si="497"/>
        <v/>
      </c>
      <c r="AJ497" s="34" t="str">
        <f t="shared" si="497"/>
        <v/>
      </c>
      <c r="AK497" s="34" t="str">
        <f t="shared" si="497"/>
        <v/>
      </c>
      <c r="AL497" s="34" t="str">
        <f t="shared" si="497"/>
        <v/>
      </c>
      <c r="AM497" s="34" t="str">
        <f t="shared" si="497"/>
        <v/>
      </c>
      <c r="AN497" s="34" t="str">
        <f t="shared" si="497"/>
        <v/>
      </c>
      <c r="AO497" s="34" t="str">
        <f t="shared" si="497"/>
        <v/>
      </c>
      <c r="AP497" s="34" t="str">
        <f t="shared" si="497"/>
        <v/>
      </c>
      <c r="AQ497" s="76" t="s">
        <v>537</v>
      </c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 s="77"/>
      <c r="BH497" s="77"/>
      <c r="BI497" s="77"/>
      <c r="BJ497" s="77"/>
      <c r="BK497" s="77"/>
      <c r="BL497" s="77"/>
      <c r="BM497" s="78"/>
    </row>
    <row r="498">
      <c r="A498" s="79">
        <v>2.5714285714285716</v>
      </c>
      <c r="B498" s="79" t="b">
        <v>0</v>
      </c>
      <c r="C498" s="79" t="b">
        <f t="shared" si="3"/>
        <v>0</v>
      </c>
      <c r="D498" s="80" t="s">
        <v>1565</v>
      </c>
      <c r="E498" s="81" t="s">
        <v>1026</v>
      </c>
      <c r="F498" s="82" t="s">
        <v>1489</v>
      </c>
      <c r="G498" s="35" t="s">
        <v>832</v>
      </c>
      <c r="H498" s="37">
        <v>-9.347881469070147</v>
      </c>
      <c r="I498" s="37">
        <v>-3.90574386034229</v>
      </c>
      <c r="J498" s="83" t="s">
        <v>2164</v>
      </c>
      <c r="K498" s="35">
        <v>33.3</v>
      </c>
      <c r="L498" s="79">
        <v>75.42857142857143</v>
      </c>
      <c r="M498" s="84">
        <v>28.0</v>
      </c>
      <c r="N498" s="84">
        <v>7.0</v>
      </c>
      <c r="O498" s="85">
        <v>-1.054492916319849</v>
      </c>
      <c r="P498" s="85">
        <v>-1.558008078768774</v>
      </c>
      <c r="Q498" s="85">
        <v>-1.127552754354302</v>
      </c>
      <c r="R498" s="85">
        <v>-1.2201273298653312</v>
      </c>
      <c r="S498" s="85">
        <v>-1.3652328641915195</v>
      </c>
      <c r="T498" s="85">
        <v>1.065792170734331</v>
      </c>
      <c r="U498" s="85">
        <v>-1.5007031899130594</v>
      </c>
      <c r="V498" s="85">
        <v>0.0</v>
      </c>
      <c r="W498" s="85">
        <v>-1.079341865034829</v>
      </c>
      <c r="X498" s="85">
        <v>-1.508214641356814</v>
      </c>
      <c r="Y498" s="50" t="s">
        <v>69</v>
      </c>
      <c r="Z498" s="50" t="s">
        <v>69</v>
      </c>
      <c r="AA498" s="50" t="s">
        <v>69</v>
      </c>
      <c r="AB498" s="50" t="s">
        <v>69</v>
      </c>
      <c r="AC498" s="34" t="str">
        <f t="shared" ref="AC498:AP498" si="498">LET(
  skater, IFERROR(INDEX(AllProj, MATCH($E498, AllProjNames, 0), MATCH(AC$2, AllProjCats, 0) + 1), ""),
  goalie, IFERROR(INDEX(AllGProj, MATCH($E498, AllGProjNames, 0), MATCH(AC$2, AllGProjCats, 0) + 1), ""),
  val, IF(skater &lt;&gt; "", skater, goalie),
  IF(OR($E498="", AC$2="", val=""), "", val * AC$1)
)</f>
        <v/>
      </c>
      <c r="AD498" s="34" t="str">
        <f t="shared" si="498"/>
        <v/>
      </c>
      <c r="AE498" s="34" t="str">
        <f t="shared" si="498"/>
        <v/>
      </c>
      <c r="AF498" s="34" t="str">
        <f t="shared" si="498"/>
        <v/>
      </c>
      <c r="AG498" s="34" t="str">
        <f t="shared" si="498"/>
        <v/>
      </c>
      <c r="AH498" s="34" t="str">
        <f t="shared" si="498"/>
        <v/>
      </c>
      <c r="AI498" s="34" t="str">
        <f t="shared" si="498"/>
        <v/>
      </c>
      <c r="AJ498" s="34" t="str">
        <f t="shared" si="498"/>
        <v/>
      </c>
      <c r="AK498" s="34" t="str">
        <f t="shared" si="498"/>
        <v/>
      </c>
      <c r="AL498" s="34" t="str">
        <f t="shared" si="498"/>
        <v/>
      </c>
      <c r="AM498" s="34" t="str">
        <f t="shared" si="498"/>
        <v/>
      </c>
      <c r="AN498" s="34" t="str">
        <f t="shared" si="498"/>
        <v/>
      </c>
      <c r="AO498" s="34" t="str">
        <f t="shared" si="498"/>
        <v/>
      </c>
      <c r="AP498" s="34" t="str">
        <f t="shared" si="498"/>
        <v/>
      </c>
      <c r="AQ498" s="76" t="s">
        <v>538</v>
      </c>
      <c r="AR498" s="77"/>
      <c r="AS498" s="77"/>
      <c r="AT498" s="77"/>
      <c r="AU498" s="77"/>
      <c r="AV498" s="77"/>
      <c r="AW498" s="77"/>
      <c r="AX498" s="77"/>
      <c r="AY498" s="77"/>
      <c r="AZ498" s="77"/>
      <c r="BA498" s="77"/>
      <c r="BB498" s="77"/>
      <c r="BC498" s="77"/>
      <c r="BD498" s="77"/>
      <c r="BE498" s="77"/>
      <c r="BF498" s="77"/>
      <c r="BG498" s="77"/>
      <c r="BH498" s="77"/>
      <c r="BI498" s="77"/>
      <c r="BJ498" s="77"/>
      <c r="BK498" s="77"/>
      <c r="BL498" s="77"/>
      <c r="BM498" s="78"/>
    </row>
    <row r="499">
      <c r="A499" s="41">
        <v>2.642857142857143</v>
      </c>
      <c r="B499" s="41" t="b">
        <v>0</v>
      </c>
      <c r="C499" s="41" t="b">
        <f t="shared" si="3"/>
        <v>0</v>
      </c>
      <c r="D499" s="42" t="s">
        <v>1565</v>
      </c>
      <c r="E499" s="43" t="s">
        <v>1302</v>
      </c>
      <c r="F499" s="44" t="s">
        <v>1043</v>
      </c>
      <c r="G499" s="29" t="s">
        <v>837</v>
      </c>
      <c r="H499" s="32">
        <v>-9.349752605677018</v>
      </c>
      <c r="I499" s="32">
        <v>-3.819893833748117</v>
      </c>
      <c r="J499" s="45" t="s">
        <v>2165</v>
      </c>
      <c r="K499" s="29">
        <v>29.1</v>
      </c>
      <c r="L499" s="41">
        <v>72.57142857142857</v>
      </c>
      <c r="M499" s="46">
        <v>28.0</v>
      </c>
      <c r="N499" s="46">
        <v>6.0</v>
      </c>
      <c r="O499" s="47">
        <v>-2.4270476627053457</v>
      </c>
      <c r="P499" s="47">
        <v>-1.3492119044782862</v>
      </c>
      <c r="Q499" s="47">
        <v>-0.4703502145060953</v>
      </c>
      <c r="R499" s="47">
        <v>-0.758285772678266</v>
      </c>
      <c r="S499" s="47">
        <v>-1.7106089588440747</v>
      </c>
      <c r="T499" s="47">
        <v>-0.16952108464970286</v>
      </c>
      <c r="U499" s="47">
        <v>-2.491113120685372</v>
      </c>
      <c r="V499" s="47">
        <v>0.0</v>
      </c>
      <c r="W499" s="47">
        <v>-0.15252930373699572</v>
      </c>
      <c r="X499" s="47">
        <v>0.17891541660712001</v>
      </c>
      <c r="Y499" s="50" t="s">
        <v>69</v>
      </c>
      <c r="Z499" s="50" t="s">
        <v>69</v>
      </c>
      <c r="AA499" s="50" t="s">
        <v>69</v>
      </c>
      <c r="AB499" s="50" t="s">
        <v>69</v>
      </c>
      <c r="AC499" s="34" t="str">
        <f t="shared" ref="AC499:AP499" si="499">LET(
  skater, IFERROR(INDEX(AllProj, MATCH($E499, AllProjNames, 0), MATCH(AC$2, AllProjCats, 0) + 1), ""),
  goalie, IFERROR(INDEX(AllGProj, MATCH($E499, AllGProjNames, 0), MATCH(AC$2, AllGProjCats, 0) + 1), ""),
  val, IF(skater &lt;&gt; "", skater, goalie),
  IF(OR($E499="", AC$2="", val=""), "", val * AC$1)
)</f>
        <v/>
      </c>
      <c r="AD499" s="34" t="str">
        <f t="shared" si="499"/>
        <v/>
      </c>
      <c r="AE499" s="34" t="str">
        <f t="shared" si="499"/>
        <v/>
      </c>
      <c r="AF499" s="34" t="str">
        <f t="shared" si="499"/>
        <v/>
      </c>
      <c r="AG499" s="34" t="str">
        <f t="shared" si="499"/>
        <v/>
      </c>
      <c r="AH499" s="34" t="str">
        <f t="shared" si="499"/>
        <v/>
      </c>
      <c r="AI499" s="34" t="str">
        <f t="shared" si="499"/>
        <v/>
      </c>
      <c r="AJ499" s="34" t="str">
        <f t="shared" si="499"/>
        <v/>
      </c>
      <c r="AK499" s="34" t="str">
        <f t="shared" si="499"/>
        <v/>
      </c>
      <c r="AL499" s="34" t="str">
        <f t="shared" si="499"/>
        <v/>
      </c>
      <c r="AM499" s="34" t="str">
        <f t="shared" si="499"/>
        <v/>
      </c>
      <c r="AN499" s="34" t="str">
        <f t="shared" si="499"/>
        <v/>
      </c>
      <c r="AO499" s="34" t="str">
        <f t="shared" si="499"/>
        <v/>
      </c>
      <c r="AP499" s="34" t="str">
        <f t="shared" si="499"/>
        <v/>
      </c>
      <c r="AQ499" s="76" t="s">
        <v>539</v>
      </c>
      <c r="AR499" s="77"/>
      <c r="AS499" s="77"/>
      <c r="AT499" s="77"/>
      <c r="AU499" s="77"/>
      <c r="AV499" s="77"/>
      <c r="AW499" s="77"/>
      <c r="AX499" s="77"/>
      <c r="AY499" s="77"/>
      <c r="AZ499" s="77"/>
      <c r="BA499" s="77"/>
      <c r="BB499" s="77"/>
      <c r="BC499" s="77"/>
      <c r="BD499" s="77"/>
      <c r="BE499" s="77"/>
      <c r="BF499" s="77"/>
      <c r="BG499" s="77"/>
      <c r="BH499" s="77"/>
      <c r="BI499" s="77"/>
      <c r="BJ499" s="77"/>
      <c r="BK499" s="77"/>
      <c r="BL499" s="77"/>
      <c r="BM499" s="78"/>
    </row>
    <row r="500">
      <c r="A500" s="79">
        <v>2.642857142857143</v>
      </c>
      <c r="B500" s="79" t="b">
        <v>0</v>
      </c>
      <c r="C500" s="79" t="b">
        <f t="shared" si="3"/>
        <v>0</v>
      </c>
      <c r="D500" s="80" t="s">
        <v>1565</v>
      </c>
      <c r="E500" s="81" t="s">
        <v>1135</v>
      </c>
      <c r="F500" s="82" t="s">
        <v>1473</v>
      </c>
      <c r="G500" s="35" t="s">
        <v>837</v>
      </c>
      <c r="H500" s="37">
        <v>-9.360187998216968</v>
      </c>
      <c r="I500" s="37">
        <v>-3.8303292262880673</v>
      </c>
      <c r="J500" s="83" t="s">
        <v>2166</v>
      </c>
      <c r="K500" s="35">
        <v>26.7</v>
      </c>
      <c r="L500" s="79">
        <v>74.0</v>
      </c>
      <c r="M500" s="84">
        <v>25.0</v>
      </c>
      <c r="N500" s="84">
        <v>6.0</v>
      </c>
      <c r="O500" s="85">
        <v>-2.1324154920152654</v>
      </c>
      <c r="P500" s="85">
        <v>-1.5858475686741722</v>
      </c>
      <c r="Q500" s="85">
        <v>-2.9341788750266544</v>
      </c>
      <c r="R500" s="85">
        <v>-1.2467720350876619</v>
      </c>
      <c r="S500" s="85">
        <v>-1.701274469799411</v>
      </c>
      <c r="T500" s="85">
        <v>-0.16952108464970286</v>
      </c>
      <c r="U500" s="85">
        <v>-1.7175812769434924</v>
      </c>
      <c r="V500" s="85">
        <v>0.0</v>
      </c>
      <c r="W500" s="85">
        <v>0.45461196351875527</v>
      </c>
      <c r="X500" s="85">
        <v>1.6727908404606382</v>
      </c>
      <c r="Y500" s="50" t="s">
        <v>69</v>
      </c>
      <c r="Z500" s="50" t="s">
        <v>69</v>
      </c>
      <c r="AA500" s="50" t="s">
        <v>69</v>
      </c>
      <c r="AB500" s="50" t="s">
        <v>69</v>
      </c>
      <c r="AC500" s="34" t="str">
        <f t="shared" ref="AC500:AP500" si="500">LET(
  skater, IFERROR(INDEX(AllProj, MATCH($E500, AllProjNames, 0), MATCH(AC$2, AllProjCats, 0) + 1), ""),
  goalie, IFERROR(INDEX(AllGProj, MATCH($E500, AllGProjNames, 0), MATCH(AC$2, AllGProjCats, 0) + 1), ""),
  val, IF(skater &lt;&gt; "", skater, goalie),
  IF(OR($E500="", AC$2="", val=""), "", val * AC$1)
)</f>
        <v/>
      </c>
      <c r="AD500" s="34" t="str">
        <f t="shared" si="500"/>
        <v/>
      </c>
      <c r="AE500" s="34" t="str">
        <f t="shared" si="500"/>
        <v/>
      </c>
      <c r="AF500" s="34" t="str">
        <f t="shared" si="500"/>
        <v/>
      </c>
      <c r="AG500" s="34" t="str">
        <f t="shared" si="500"/>
        <v/>
      </c>
      <c r="AH500" s="34" t="str">
        <f t="shared" si="500"/>
        <v/>
      </c>
      <c r="AI500" s="34" t="str">
        <f t="shared" si="500"/>
        <v/>
      </c>
      <c r="AJ500" s="34" t="str">
        <f t="shared" si="500"/>
        <v/>
      </c>
      <c r="AK500" s="34" t="str">
        <f t="shared" si="500"/>
        <v/>
      </c>
      <c r="AL500" s="34" t="str">
        <f t="shared" si="500"/>
        <v/>
      </c>
      <c r="AM500" s="34" t="str">
        <f t="shared" si="500"/>
        <v/>
      </c>
      <c r="AN500" s="34" t="str">
        <f t="shared" si="500"/>
        <v/>
      </c>
      <c r="AO500" s="34" t="str">
        <f t="shared" si="500"/>
        <v/>
      </c>
      <c r="AP500" s="34" t="str">
        <f t="shared" si="500"/>
        <v/>
      </c>
      <c r="AQ500" s="76" t="s">
        <v>540</v>
      </c>
      <c r="AR500" s="77"/>
      <c r="AS500" s="77"/>
      <c r="AT500" s="77"/>
      <c r="AU500" s="77"/>
      <c r="AV500" s="77"/>
      <c r="AW500" s="77"/>
      <c r="AX500" s="77"/>
      <c r="AY500" s="77"/>
      <c r="AZ500" s="77"/>
      <c r="BA500" s="77"/>
      <c r="BB500" s="77"/>
      <c r="BC500" s="77"/>
      <c r="BD500" s="77"/>
      <c r="BE500" s="77"/>
      <c r="BF500" s="77"/>
      <c r="BG500" s="77"/>
      <c r="BH500" s="77"/>
      <c r="BI500" s="77"/>
      <c r="BJ500" s="77"/>
      <c r="BK500" s="77"/>
      <c r="BL500" s="77"/>
      <c r="BM500" s="78"/>
    </row>
    <row r="501">
      <c r="A501" s="41">
        <v>2.5714285714285716</v>
      </c>
      <c r="B501" s="41" t="b">
        <v>0</v>
      </c>
      <c r="C501" s="41" t="b">
        <f t="shared" si="3"/>
        <v>0</v>
      </c>
      <c r="D501" s="42" t="s">
        <v>1565</v>
      </c>
      <c r="E501" s="43" t="s">
        <v>1014</v>
      </c>
      <c r="F501" s="44" t="s">
        <v>1594</v>
      </c>
      <c r="G501" s="29" t="s">
        <v>284</v>
      </c>
      <c r="H501" s="32">
        <v>-9.362046285683359</v>
      </c>
      <c r="I501" s="32">
        <v>-4.323980265500274</v>
      </c>
      <c r="J501" s="45" t="s">
        <v>2167</v>
      </c>
      <c r="K501" s="29">
        <v>22.7</v>
      </c>
      <c r="L501" s="41">
        <v>80.94073529411764</v>
      </c>
      <c r="M501" s="46">
        <v>26.0</v>
      </c>
      <c r="N501" s="46">
        <v>6.0</v>
      </c>
      <c r="O501" s="47">
        <v>-0.43291687098028736</v>
      </c>
      <c r="P501" s="47">
        <v>-0.9252985937475572</v>
      </c>
      <c r="Q501" s="47">
        <v>-1.452428748159049</v>
      </c>
      <c r="R501" s="47">
        <v>-1.8989218196662994</v>
      </c>
      <c r="S501" s="47">
        <v>-0.6543241182312928</v>
      </c>
      <c r="T501" s="47">
        <v>-0.7801007578158148</v>
      </c>
      <c r="U501" s="47">
        <v>-1.2751042693786867</v>
      </c>
      <c r="V501" s="47">
        <v>0.30376606237820053</v>
      </c>
      <c r="W501" s="47">
        <v>-1.4851344639002202</v>
      </c>
      <c r="X501" s="47">
        <v>-0.7615827061823524</v>
      </c>
      <c r="Y501" s="50" t="s">
        <v>69</v>
      </c>
      <c r="Z501" s="50" t="s">
        <v>69</v>
      </c>
      <c r="AA501" s="50" t="s">
        <v>69</v>
      </c>
      <c r="AB501" s="50" t="s">
        <v>69</v>
      </c>
      <c r="AC501" s="34" t="str">
        <f t="shared" ref="AC501:AP501" si="501">LET(
  skater, IFERROR(INDEX(AllProj, MATCH($E501, AllProjNames, 0), MATCH(AC$2, AllProjCats, 0) + 1), ""),
  goalie, IFERROR(INDEX(AllGProj, MATCH($E501, AllGProjNames, 0), MATCH(AC$2, AllGProjCats, 0) + 1), ""),
  val, IF(skater &lt;&gt; "", skater, goalie),
  IF(OR($E501="", AC$2="", val=""), "", val * AC$1)
)</f>
        <v/>
      </c>
      <c r="AD501" s="34" t="str">
        <f t="shared" si="501"/>
        <v/>
      </c>
      <c r="AE501" s="34" t="str">
        <f t="shared" si="501"/>
        <v/>
      </c>
      <c r="AF501" s="34" t="str">
        <f t="shared" si="501"/>
        <v/>
      </c>
      <c r="AG501" s="34" t="str">
        <f t="shared" si="501"/>
        <v/>
      </c>
      <c r="AH501" s="34" t="str">
        <f t="shared" si="501"/>
        <v/>
      </c>
      <c r="AI501" s="34" t="str">
        <f t="shared" si="501"/>
        <v/>
      </c>
      <c r="AJ501" s="34" t="str">
        <f t="shared" si="501"/>
        <v/>
      </c>
      <c r="AK501" s="34" t="str">
        <f t="shared" si="501"/>
        <v/>
      </c>
      <c r="AL501" s="34" t="str">
        <f t="shared" si="501"/>
        <v/>
      </c>
      <c r="AM501" s="34" t="str">
        <f t="shared" si="501"/>
        <v/>
      </c>
      <c r="AN501" s="34" t="str">
        <f t="shared" si="501"/>
        <v/>
      </c>
      <c r="AO501" s="34" t="str">
        <f t="shared" si="501"/>
        <v/>
      </c>
      <c r="AP501" s="34" t="str">
        <f t="shared" si="501"/>
        <v/>
      </c>
      <c r="AQ501" s="76" t="s">
        <v>541</v>
      </c>
      <c r="AR501" s="77"/>
      <c r="AS501" s="77"/>
      <c r="AT501" s="77"/>
      <c r="AU501" s="77"/>
      <c r="AV501" s="77"/>
      <c r="AW501" s="77"/>
      <c r="AX501" s="77"/>
      <c r="AY501" s="77"/>
      <c r="AZ501" s="77"/>
      <c r="BA501" s="77"/>
      <c r="BB501" s="77"/>
      <c r="BC501" s="77"/>
      <c r="BD501" s="77"/>
      <c r="BE501" s="77"/>
      <c r="BF501" s="77"/>
      <c r="BG501" s="77"/>
      <c r="BH501" s="77"/>
      <c r="BI501" s="77"/>
      <c r="BJ501" s="77"/>
      <c r="BK501" s="77"/>
      <c r="BL501" s="77"/>
      <c r="BM501" s="78"/>
    </row>
    <row r="502">
      <c r="A502" s="79">
        <v>2.5714285714285716</v>
      </c>
      <c r="B502" s="79" t="b">
        <v>0</v>
      </c>
      <c r="C502" s="79" t="b">
        <f t="shared" si="3"/>
        <v>0</v>
      </c>
      <c r="D502" s="80" t="s">
        <v>1565</v>
      </c>
      <c r="E502" s="81" t="s">
        <v>1076</v>
      </c>
      <c r="F502" s="82" t="s">
        <v>1416</v>
      </c>
      <c r="G502" s="35" t="s">
        <v>284</v>
      </c>
      <c r="H502" s="37">
        <v>-9.372652299617615</v>
      </c>
      <c r="I502" s="37">
        <v>-4.33458627943453</v>
      </c>
      <c r="J502" s="83" t="s">
        <v>2168</v>
      </c>
      <c r="K502" s="35">
        <v>23.1</v>
      </c>
      <c r="L502" s="79">
        <v>80.67696428571428</v>
      </c>
      <c r="M502" s="84">
        <v>29.0</v>
      </c>
      <c r="N502" s="84">
        <v>7.0</v>
      </c>
      <c r="O502" s="85">
        <v>-0.4286029099480225</v>
      </c>
      <c r="P502" s="85">
        <v>-1.3304187773012894</v>
      </c>
      <c r="Q502" s="85">
        <v>-1.2920057669695597</v>
      </c>
      <c r="R502" s="85">
        <v>-1.4682103324600193</v>
      </c>
      <c r="S502" s="85">
        <v>-1.3379512751942668</v>
      </c>
      <c r="T502" s="85">
        <v>0.18862768208862246</v>
      </c>
      <c r="U502" s="85">
        <v>-0.9162260288358965</v>
      </c>
      <c r="V502" s="85">
        <v>0.1476221334347452</v>
      </c>
      <c r="W502" s="85">
        <v>-1.990763332803336</v>
      </c>
      <c r="X502" s="85">
        <v>-0.9447236916285928</v>
      </c>
      <c r="Y502" s="50" t="s">
        <v>69</v>
      </c>
      <c r="Z502" s="50" t="s">
        <v>69</v>
      </c>
      <c r="AA502" s="50" t="s">
        <v>69</v>
      </c>
      <c r="AB502" s="50" t="s">
        <v>69</v>
      </c>
      <c r="AC502" s="34" t="str">
        <f t="shared" ref="AC502:AP502" si="502">LET(
  skater, IFERROR(INDEX(AllProj, MATCH($E502, AllProjNames, 0), MATCH(AC$2, AllProjCats, 0) + 1), ""),
  goalie, IFERROR(INDEX(AllGProj, MATCH($E502, AllGProjNames, 0), MATCH(AC$2, AllGProjCats, 0) + 1), ""),
  val, IF(skater &lt;&gt; "", skater, goalie),
  IF(OR($E502="", AC$2="", val=""), "", val * AC$1)
)</f>
        <v/>
      </c>
      <c r="AD502" s="34" t="str">
        <f t="shared" si="502"/>
        <v/>
      </c>
      <c r="AE502" s="34" t="str">
        <f t="shared" si="502"/>
        <v/>
      </c>
      <c r="AF502" s="34" t="str">
        <f t="shared" si="502"/>
        <v/>
      </c>
      <c r="AG502" s="34" t="str">
        <f t="shared" si="502"/>
        <v/>
      </c>
      <c r="AH502" s="34" t="str">
        <f t="shared" si="502"/>
        <v/>
      </c>
      <c r="AI502" s="34" t="str">
        <f t="shared" si="502"/>
        <v/>
      </c>
      <c r="AJ502" s="34" t="str">
        <f t="shared" si="502"/>
        <v/>
      </c>
      <c r="AK502" s="34" t="str">
        <f t="shared" si="502"/>
        <v/>
      </c>
      <c r="AL502" s="34" t="str">
        <f t="shared" si="502"/>
        <v/>
      </c>
      <c r="AM502" s="34" t="str">
        <f t="shared" si="502"/>
        <v/>
      </c>
      <c r="AN502" s="34" t="str">
        <f t="shared" si="502"/>
        <v/>
      </c>
      <c r="AO502" s="34" t="str">
        <f t="shared" si="502"/>
        <v/>
      </c>
      <c r="AP502" s="34" t="str">
        <f t="shared" si="502"/>
        <v/>
      </c>
      <c r="AQ502" s="76" t="s">
        <v>542</v>
      </c>
      <c r="AR502" s="77"/>
      <c r="AS502" s="77"/>
      <c r="AT502" s="77"/>
      <c r="AU502" s="77"/>
      <c r="AV502" s="77"/>
      <c r="AW502" s="77"/>
      <c r="AX502" s="77"/>
      <c r="AY502" s="77"/>
      <c r="AZ502" s="77"/>
      <c r="BA502" s="77"/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8"/>
    </row>
    <row r="503">
      <c r="A503" s="41">
        <v>2.857142857142857</v>
      </c>
      <c r="B503" s="41" t="b">
        <v>0</v>
      </c>
      <c r="C503" s="41" t="b">
        <f t="shared" si="3"/>
        <v>0</v>
      </c>
      <c r="D503" s="42" t="s">
        <v>1565</v>
      </c>
      <c r="E503" s="43" t="s">
        <v>1381</v>
      </c>
      <c r="F503" s="44" t="s">
        <v>1416</v>
      </c>
      <c r="G503" s="29" t="s">
        <v>6</v>
      </c>
      <c r="H503" s="32">
        <v>-9.414767444626872</v>
      </c>
      <c r="I503" s="32">
        <v>-5.076544466156758</v>
      </c>
      <c r="J503" s="45" t="s">
        <v>2169</v>
      </c>
      <c r="K503" s="29">
        <v>29.9</v>
      </c>
      <c r="L503" s="41">
        <v>35.8</v>
      </c>
      <c r="M503" s="46">
        <v>29.0</v>
      </c>
      <c r="N503" s="46">
        <v>7.0</v>
      </c>
      <c r="O503" s="94" t="s">
        <v>69</v>
      </c>
      <c r="P503" s="94" t="s">
        <v>69</v>
      </c>
      <c r="Q503" s="94" t="s">
        <v>69</v>
      </c>
      <c r="R503" s="94" t="s">
        <v>69</v>
      </c>
      <c r="S503" s="94" t="s">
        <v>69</v>
      </c>
      <c r="T503" s="94" t="s">
        <v>69</v>
      </c>
      <c r="U503" s="94" t="s">
        <v>69</v>
      </c>
      <c r="V503" s="94" t="s">
        <v>69</v>
      </c>
      <c r="W503" s="94" t="s">
        <v>69</v>
      </c>
      <c r="X503" s="94" t="s">
        <v>69</v>
      </c>
      <c r="Y503" s="95">
        <v>-1.4839891645333871</v>
      </c>
      <c r="Z503" s="95">
        <v>-2.8882774745330533</v>
      </c>
      <c r="AA503" s="95">
        <v>-5.042500805560431</v>
      </c>
      <c r="AB503" s="95">
        <v>0.0</v>
      </c>
      <c r="AC503" s="34" t="str">
        <f t="shared" ref="AC503:AP503" si="503">LET(
  skater, IFERROR(INDEX(AllProj, MATCH($E503, AllProjNames, 0), MATCH(AC$2, AllProjCats, 0) + 1), ""),
  goalie, IFERROR(INDEX(AllGProj, MATCH($E503, AllGProjNames, 0), MATCH(AC$2, AllGProjCats, 0) + 1), ""),
  val, IF(skater &lt;&gt; "", skater, goalie),
  IF(OR($E503="", AC$2="", val=""), "", val * AC$1)
)</f>
        <v/>
      </c>
      <c r="AD503" s="34" t="str">
        <f t="shared" si="503"/>
        <v/>
      </c>
      <c r="AE503" s="34" t="str">
        <f t="shared" si="503"/>
        <v/>
      </c>
      <c r="AF503" s="34" t="str">
        <f t="shared" si="503"/>
        <v/>
      </c>
      <c r="AG503" s="34" t="str">
        <f t="shared" si="503"/>
        <v/>
      </c>
      <c r="AH503" s="34" t="str">
        <f t="shared" si="503"/>
        <v/>
      </c>
      <c r="AI503" s="34" t="str">
        <f t="shared" si="503"/>
        <v/>
      </c>
      <c r="AJ503" s="34" t="str">
        <f t="shared" si="503"/>
        <v/>
      </c>
      <c r="AK503" s="34" t="str">
        <f t="shared" si="503"/>
        <v/>
      </c>
      <c r="AL503" s="34" t="str">
        <f t="shared" si="503"/>
        <v/>
      </c>
      <c r="AM503" s="34" t="str">
        <f t="shared" si="503"/>
        <v/>
      </c>
      <c r="AN503" s="34" t="str">
        <f t="shared" si="503"/>
        <v/>
      </c>
      <c r="AO503" s="34" t="str">
        <f t="shared" si="503"/>
        <v/>
      </c>
      <c r="AP503" s="34" t="str">
        <f t="shared" si="503"/>
        <v/>
      </c>
      <c r="AQ503" s="76" t="s">
        <v>543</v>
      </c>
      <c r="AR503" s="77"/>
      <c r="AS503" s="77"/>
      <c r="AT503" s="77"/>
      <c r="AU503" s="77"/>
      <c r="AV503" s="77"/>
      <c r="AW503" s="77"/>
      <c r="AX503" s="77"/>
      <c r="AY503" s="77"/>
      <c r="AZ503" s="77"/>
      <c r="BA503" s="77"/>
      <c r="BB503" s="77"/>
      <c r="BC503" s="77"/>
      <c r="BD503" s="77"/>
      <c r="BE503" s="77"/>
      <c r="BF503" s="77"/>
      <c r="BG503" s="77"/>
      <c r="BH503" s="77"/>
      <c r="BI503" s="77"/>
      <c r="BJ503" s="77"/>
      <c r="BK503" s="77"/>
      <c r="BL503" s="77"/>
      <c r="BM503" s="78"/>
    </row>
    <row r="504">
      <c r="A504" s="79">
        <v>2.5714285714285716</v>
      </c>
      <c r="B504" s="79" t="b">
        <v>0</v>
      </c>
      <c r="C504" s="79" t="b">
        <f t="shared" si="3"/>
        <v>0</v>
      </c>
      <c r="D504" s="80" t="s">
        <v>1565</v>
      </c>
      <c r="E504" s="81" t="s">
        <v>989</v>
      </c>
      <c r="F504" s="82" t="s">
        <v>279</v>
      </c>
      <c r="G504" s="35" t="s">
        <v>832</v>
      </c>
      <c r="H504" s="37">
        <v>-9.436757670604866</v>
      </c>
      <c r="I504" s="37">
        <v>-3.9946200618770087</v>
      </c>
      <c r="J504" s="83" t="s">
        <v>2170</v>
      </c>
      <c r="K504" s="35">
        <v>30.1</v>
      </c>
      <c r="L504" s="79">
        <v>79.85714285714286</v>
      </c>
      <c r="M504" s="84">
        <v>34.0</v>
      </c>
      <c r="N504" s="84">
        <v>7.0</v>
      </c>
      <c r="O504" s="85">
        <v>-1.2772635819635685</v>
      </c>
      <c r="P504" s="85">
        <v>-1.6809658258509501</v>
      </c>
      <c r="Q504" s="85">
        <v>-0.3886539849680727</v>
      </c>
      <c r="R504" s="85">
        <v>-1.0247328249015726</v>
      </c>
      <c r="S504" s="85">
        <v>-1.72461069241107</v>
      </c>
      <c r="T504" s="85">
        <v>1.065792170734331</v>
      </c>
      <c r="U504" s="85">
        <v>-1.8227342888370361</v>
      </c>
      <c r="V504" s="85">
        <v>0.0</v>
      </c>
      <c r="W504" s="85">
        <v>-1.264353090158086</v>
      </c>
      <c r="X504" s="85">
        <v>-1.319235552248842</v>
      </c>
      <c r="Y504" s="50" t="s">
        <v>69</v>
      </c>
      <c r="Z504" s="50" t="s">
        <v>69</v>
      </c>
      <c r="AA504" s="50" t="s">
        <v>69</v>
      </c>
      <c r="AB504" s="50" t="s">
        <v>69</v>
      </c>
      <c r="AC504" s="34" t="str">
        <f t="shared" ref="AC504:AP504" si="504">LET(
  skater, IFERROR(INDEX(AllProj, MATCH($E504, AllProjNames, 0), MATCH(AC$2, AllProjCats, 0) + 1), ""),
  goalie, IFERROR(INDEX(AllGProj, MATCH($E504, AllGProjNames, 0), MATCH(AC$2, AllGProjCats, 0) + 1), ""),
  val, IF(skater &lt;&gt; "", skater, goalie),
  IF(OR($E504="", AC$2="", val=""), "", val * AC$1)
)</f>
        <v/>
      </c>
      <c r="AD504" s="34" t="str">
        <f t="shared" si="504"/>
        <v/>
      </c>
      <c r="AE504" s="34" t="str">
        <f t="shared" si="504"/>
        <v/>
      </c>
      <c r="AF504" s="34" t="str">
        <f t="shared" si="504"/>
        <v/>
      </c>
      <c r="AG504" s="34" t="str">
        <f t="shared" si="504"/>
        <v/>
      </c>
      <c r="AH504" s="34" t="str">
        <f t="shared" si="504"/>
        <v/>
      </c>
      <c r="AI504" s="34" t="str">
        <f t="shared" si="504"/>
        <v/>
      </c>
      <c r="AJ504" s="34" t="str">
        <f t="shared" si="504"/>
        <v/>
      </c>
      <c r="AK504" s="34" t="str">
        <f t="shared" si="504"/>
        <v/>
      </c>
      <c r="AL504" s="34" t="str">
        <f t="shared" si="504"/>
        <v/>
      </c>
      <c r="AM504" s="34" t="str">
        <f t="shared" si="504"/>
        <v/>
      </c>
      <c r="AN504" s="34" t="str">
        <f t="shared" si="504"/>
        <v/>
      </c>
      <c r="AO504" s="34" t="str">
        <f t="shared" si="504"/>
        <v/>
      </c>
      <c r="AP504" s="34" t="str">
        <f t="shared" si="504"/>
        <v/>
      </c>
      <c r="AQ504" s="76" t="s">
        <v>544</v>
      </c>
      <c r="AR504" s="77"/>
      <c r="AS504" s="77"/>
      <c r="AT504" s="77"/>
      <c r="AU504" s="77"/>
      <c r="AV504" s="77"/>
      <c r="AW504" s="77"/>
      <c r="AX504" s="77"/>
      <c r="AY504" s="77"/>
      <c r="AZ504" s="77"/>
      <c r="BA504" s="77"/>
      <c r="BB504" s="77"/>
      <c r="BC504" s="77"/>
      <c r="BD504" s="77"/>
      <c r="BE504" s="77"/>
      <c r="BF504" s="77"/>
      <c r="BG504" s="77"/>
      <c r="BH504" s="77"/>
      <c r="BI504" s="77"/>
      <c r="BJ504" s="77"/>
      <c r="BK504" s="77"/>
      <c r="BL504" s="77"/>
      <c r="BM504" s="78"/>
    </row>
    <row r="505">
      <c r="A505" s="41">
        <v>2.642857142857143</v>
      </c>
      <c r="B505" s="41" t="b">
        <v>0</v>
      </c>
      <c r="C505" s="41" t="b">
        <f t="shared" si="3"/>
        <v>0</v>
      </c>
      <c r="D505" s="42" t="s">
        <v>1565</v>
      </c>
      <c r="E505" s="43" t="s">
        <v>1134</v>
      </c>
      <c r="F505" s="44" t="s">
        <v>1710</v>
      </c>
      <c r="G505" s="29" t="s">
        <v>837</v>
      </c>
      <c r="H505" s="32">
        <v>-9.46336381638647</v>
      </c>
      <c r="I505" s="32">
        <v>-3.9335050444575694</v>
      </c>
      <c r="J505" s="45" t="s">
        <v>2171</v>
      </c>
      <c r="K505" s="29">
        <v>29.8</v>
      </c>
      <c r="L505" s="41">
        <v>80.88888888888889</v>
      </c>
      <c r="M505" s="46">
        <v>23.0</v>
      </c>
      <c r="N505" s="46">
        <v>6.0</v>
      </c>
      <c r="O505" s="47">
        <v>-2.2322231379129893</v>
      </c>
      <c r="P505" s="47">
        <v>-1.4726851976698216</v>
      </c>
      <c r="Q505" s="47">
        <v>-2.847336356941477</v>
      </c>
      <c r="R505" s="47">
        <v>-0.6278254011822615</v>
      </c>
      <c r="S505" s="47">
        <v>-1.72461069241107</v>
      </c>
      <c r="T505" s="47">
        <v>-0.16952108464970286</v>
      </c>
      <c r="U505" s="47">
        <v>-2.089560056516903</v>
      </c>
      <c r="V505" s="47">
        <v>0.0</v>
      </c>
      <c r="W505" s="47">
        <v>0.004899375868588419</v>
      </c>
      <c r="X505" s="47">
        <v>1.6954987350291681</v>
      </c>
      <c r="Y505" s="50" t="s">
        <v>69</v>
      </c>
      <c r="Z505" s="50" t="s">
        <v>69</v>
      </c>
      <c r="AA505" s="50" t="s">
        <v>69</v>
      </c>
      <c r="AB505" s="50" t="s">
        <v>69</v>
      </c>
      <c r="AC505" s="34" t="str">
        <f t="shared" ref="AC505:AP505" si="505">LET(
  skater, IFERROR(INDEX(AllProj, MATCH($E505, AllProjNames, 0), MATCH(AC$2, AllProjCats, 0) + 1), ""),
  goalie, IFERROR(INDEX(AllGProj, MATCH($E505, AllGProjNames, 0), MATCH(AC$2, AllGProjCats, 0) + 1), ""),
  val, IF(skater &lt;&gt; "", skater, goalie),
  IF(OR($E505="", AC$2="", val=""), "", val * AC$1)
)</f>
        <v/>
      </c>
      <c r="AD505" s="34" t="str">
        <f t="shared" si="505"/>
        <v/>
      </c>
      <c r="AE505" s="34" t="str">
        <f t="shared" si="505"/>
        <v/>
      </c>
      <c r="AF505" s="34" t="str">
        <f t="shared" si="505"/>
        <v/>
      </c>
      <c r="AG505" s="34" t="str">
        <f t="shared" si="505"/>
        <v/>
      </c>
      <c r="AH505" s="34" t="str">
        <f t="shared" si="505"/>
        <v/>
      </c>
      <c r="AI505" s="34" t="str">
        <f t="shared" si="505"/>
        <v/>
      </c>
      <c r="AJ505" s="34" t="str">
        <f t="shared" si="505"/>
        <v/>
      </c>
      <c r="AK505" s="34" t="str">
        <f t="shared" si="505"/>
        <v/>
      </c>
      <c r="AL505" s="34" t="str">
        <f t="shared" si="505"/>
        <v/>
      </c>
      <c r="AM505" s="34" t="str">
        <f t="shared" si="505"/>
        <v/>
      </c>
      <c r="AN505" s="34" t="str">
        <f t="shared" si="505"/>
        <v/>
      </c>
      <c r="AO505" s="34" t="str">
        <f t="shared" si="505"/>
        <v/>
      </c>
      <c r="AP505" s="34" t="str">
        <f t="shared" si="505"/>
        <v/>
      </c>
      <c r="AQ505" s="76" t="s">
        <v>545</v>
      </c>
      <c r="AR505" s="77"/>
      <c r="AS505" s="77"/>
      <c r="AT505" s="77"/>
      <c r="AU505" s="77"/>
      <c r="AV505" s="77"/>
      <c r="AW505" s="77"/>
      <c r="AX505" s="77"/>
      <c r="AY505" s="77"/>
      <c r="AZ505" s="77"/>
      <c r="BA505" s="77"/>
      <c r="BB505" s="77"/>
      <c r="BC505" s="77"/>
      <c r="BD505" s="77"/>
      <c r="BE505" s="77"/>
      <c r="BF505" s="77"/>
      <c r="BG505" s="77"/>
      <c r="BH505" s="77"/>
      <c r="BI505" s="77"/>
      <c r="BJ505" s="77"/>
      <c r="BK505" s="77"/>
      <c r="BL505" s="77"/>
      <c r="BM505" s="78"/>
    </row>
    <row r="506">
      <c r="A506" s="79">
        <v>2.642857142857143</v>
      </c>
      <c r="B506" s="79" t="b">
        <v>0</v>
      </c>
      <c r="C506" s="79" t="b">
        <f t="shared" si="3"/>
        <v>0</v>
      </c>
      <c r="D506" s="80" t="s">
        <v>1565</v>
      </c>
      <c r="E506" s="81" t="s">
        <v>1282</v>
      </c>
      <c r="F506" s="82" t="s">
        <v>1401</v>
      </c>
      <c r="G506" s="35" t="s">
        <v>830</v>
      </c>
      <c r="H506" s="37">
        <v>-9.467383286471744</v>
      </c>
      <c r="I506" s="37">
        <v>-4.079503161559005</v>
      </c>
      <c r="J506" s="83" t="s">
        <v>2172</v>
      </c>
      <c r="K506" s="35">
        <v>31.5</v>
      </c>
      <c r="L506" s="79">
        <v>80.140625</v>
      </c>
      <c r="M506" s="84">
        <v>25.0</v>
      </c>
      <c r="N506" s="84">
        <v>7.0</v>
      </c>
      <c r="O506" s="85">
        <v>-1.3795334637591286</v>
      </c>
      <c r="P506" s="85">
        <v>-0.8329420349203815</v>
      </c>
      <c r="Q506" s="85">
        <v>-2.119382480057291</v>
      </c>
      <c r="R506" s="85">
        <v>1.8451531121478444</v>
      </c>
      <c r="S506" s="85">
        <v>-1.1982841739878243</v>
      </c>
      <c r="T506" s="85">
        <v>-0.7866522296803891</v>
      </c>
      <c r="U506" s="85">
        <v>-1.3492193806391695</v>
      </c>
      <c r="V506" s="85">
        <v>0.0</v>
      </c>
      <c r="W506" s="85">
        <v>-1.8844451922528718</v>
      </c>
      <c r="X506" s="85">
        <v>-1.7620774433225328</v>
      </c>
      <c r="Y506" s="50" t="s">
        <v>69</v>
      </c>
      <c r="Z506" s="50" t="s">
        <v>69</v>
      </c>
      <c r="AA506" s="50" t="s">
        <v>69</v>
      </c>
      <c r="AB506" s="50" t="s">
        <v>69</v>
      </c>
      <c r="AC506" s="34" t="str">
        <f t="shared" ref="AC506:AP506" si="506">LET(
  skater, IFERROR(INDEX(AllProj, MATCH($E506, AllProjNames, 0), MATCH(AC$2, AllProjCats, 0) + 1), ""),
  goalie, IFERROR(INDEX(AllGProj, MATCH($E506, AllGProjNames, 0), MATCH(AC$2, AllGProjCats, 0) + 1), ""),
  val, IF(skater &lt;&gt; "", skater, goalie),
  IF(OR($E506="", AC$2="", val=""), "", val * AC$1)
)</f>
        <v/>
      </c>
      <c r="AD506" s="34" t="str">
        <f t="shared" si="506"/>
        <v/>
      </c>
      <c r="AE506" s="34" t="str">
        <f t="shared" si="506"/>
        <v/>
      </c>
      <c r="AF506" s="34" t="str">
        <f t="shared" si="506"/>
        <v/>
      </c>
      <c r="AG506" s="34" t="str">
        <f t="shared" si="506"/>
        <v/>
      </c>
      <c r="AH506" s="34" t="str">
        <f t="shared" si="506"/>
        <v/>
      </c>
      <c r="AI506" s="34" t="str">
        <f t="shared" si="506"/>
        <v/>
      </c>
      <c r="AJ506" s="34" t="str">
        <f t="shared" si="506"/>
        <v/>
      </c>
      <c r="AK506" s="34" t="str">
        <f t="shared" si="506"/>
        <v/>
      </c>
      <c r="AL506" s="34" t="str">
        <f t="shared" si="506"/>
        <v/>
      </c>
      <c r="AM506" s="34" t="str">
        <f t="shared" si="506"/>
        <v/>
      </c>
      <c r="AN506" s="34" t="str">
        <f t="shared" si="506"/>
        <v/>
      </c>
      <c r="AO506" s="34" t="str">
        <f t="shared" si="506"/>
        <v/>
      </c>
      <c r="AP506" s="34" t="str">
        <f t="shared" si="506"/>
        <v/>
      </c>
      <c r="AQ506" s="76" t="s">
        <v>546</v>
      </c>
      <c r="AR506" s="77"/>
      <c r="AS506" s="77"/>
      <c r="AT506" s="77"/>
      <c r="AU506" s="77"/>
      <c r="AV506" s="77"/>
      <c r="AW506" s="77"/>
      <c r="AX506" s="77"/>
      <c r="AY506" s="77"/>
      <c r="AZ506" s="77"/>
      <c r="BA506" s="77"/>
      <c r="BB506" s="77"/>
      <c r="BC506" s="77"/>
      <c r="BD506" s="77"/>
      <c r="BE506" s="77"/>
      <c r="BF506" s="77"/>
      <c r="BG506" s="77"/>
      <c r="BH506" s="77"/>
      <c r="BI506" s="77"/>
      <c r="BJ506" s="77"/>
      <c r="BK506" s="77"/>
      <c r="BL506" s="77"/>
      <c r="BM506" s="78"/>
    </row>
    <row r="507">
      <c r="A507" s="41" t="s">
        <v>69</v>
      </c>
      <c r="B507" s="41" t="b">
        <v>0</v>
      </c>
      <c r="C507" s="41" t="b">
        <f t="shared" si="3"/>
        <v>1</v>
      </c>
      <c r="D507" s="42" t="s">
        <v>254</v>
      </c>
      <c r="E507" s="43" t="s">
        <v>2173</v>
      </c>
      <c r="F507" s="44" t="s">
        <v>1299</v>
      </c>
      <c r="G507" s="29" t="s">
        <v>836</v>
      </c>
      <c r="H507" s="32">
        <v>-9.471188613486122</v>
      </c>
      <c r="I507" s="32">
        <v>-4.029051004758265</v>
      </c>
      <c r="J507" s="45" t="s">
        <v>2174</v>
      </c>
      <c r="K507" s="29">
        <v>34.4</v>
      </c>
      <c r="L507" s="41">
        <v>80.93779411764706</v>
      </c>
      <c r="M507" s="46">
        <v>31.0</v>
      </c>
      <c r="N507" s="46">
        <v>7.0</v>
      </c>
      <c r="O507" s="47">
        <v>0.08694031229990419</v>
      </c>
      <c r="P507" s="47">
        <v>-0.7400943238495634</v>
      </c>
      <c r="Q507" s="47">
        <v>-2.283993877647233</v>
      </c>
      <c r="R507" s="47">
        <v>-2.078490740858493</v>
      </c>
      <c r="S507" s="47">
        <v>-0.2777840053504926</v>
      </c>
      <c r="T507" s="47">
        <v>-0.7863476281067484</v>
      </c>
      <c r="U507" s="47">
        <v>0.13556463061774193</v>
      </c>
      <c r="V507" s="47">
        <v>0.0</v>
      </c>
      <c r="W507" s="47">
        <v>-1.6339673441906433</v>
      </c>
      <c r="X507" s="47">
        <v>-1.893015636400594</v>
      </c>
      <c r="Y507" s="50" t="s">
        <v>69</v>
      </c>
      <c r="Z507" s="50" t="s">
        <v>69</v>
      </c>
      <c r="AA507" s="50" t="s">
        <v>69</v>
      </c>
      <c r="AB507" s="50" t="s">
        <v>69</v>
      </c>
      <c r="AC507" s="34" t="str">
        <f t="shared" ref="AC507:AP507" si="507">LET(
  skater, IFERROR(INDEX(AllProj, MATCH($E507, AllProjNames, 0), MATCH(AC$2, AllProjCats, 0) + 1), ""),
  goalie, IFERROR(INDEX(AllGProj, MATCH($E507, AllGProjNames, 0), MATCH(AC$2, AllGProjCats, 0) + 1), ""),
  val, IF(skater &lt;&gt; "", skater, goalie),
  IF(OR($E507="", AC$2="", val=""), "", val * AC$1)
)</f>
        <v/>
      </c>
      <c r="AD507" s="34" t="str">
        <f t="shared" si="507"/>
        <v/>
      </c>
      <c r="AE507" s="34" t="str">
        <f t="shared" si="507"/>
        <v/>
      </c>
      <c r="AF507" s="34" t="str">
        <f t="shared" si="507"/>
        <v/>
      </c>
      <c r="AG507" s="34" t="str">
        <f t="shared" si="507"/>
        <v/>
      </c>
      <c r="AH507" s="34" t="str">
        <f t="shared" si="507"/>
        <v/>
      </c>
      <c r="AI507" s="34" t="str">
        <f t="shared" si="507"/>
        <v/>
      </c>
      <c r="AJ507" s="34" t="str">
        <f t="shared" si="507"/>
        <v/>
      </c>
      <c r="AK507" s="34" t="str">
        <f t="shared" si="507"/>
        <v/>
      </c>
      <c r="AL507" s="34" t="str">
        <f t="shared" si="507"/>
        <v/>
      </c>
      <c r="AM507" s="34" t="str">
        <f t="shared" si="507"/>
        <v/>
      </c>
      <c r="AN507" s="34" t="str">
        <f t="shared" si="507"/>
        <v/>
      </c>
      <c r="AO507" s="34" t="str">
        <f t="shared" si="507"/>
        <v/>
      </c>
      <c r="AP507" s="34" t="str">
        <f t="shared" si="507"/>
        <v/>
      </c>
      <c r="AQ507" s="76" t="s">
        <v>547</v>
      </c>
      <c r="AR507" s="77"/>
      <c r="AS507" s="77"/>
      <c r="AT507" s="77"/>
      <c r="AU507" s="77"/>
      <c r="AV507" s="77"/>
      <c r="AW507" s="77"/>
      <c r="AX507" s="77"/>
      <c r="AY507" s="77"/>
      <c r="AZ507" s="77"/>
      <c r="BA507" s="77"/>
      <c r="BB507" s="77"/>
      <c r="BC507" s="77"/>
      <c r="BD507" s="77"/>
      <c r="BE507" s="77"/>
      <c r="BF507" s="77"/>
      <c r="BG507" s="77"/>
      <c r="BH507" s="77"/>
      <c r="BI507" s="77"/>
      <c r="BJ507" s="77"/>
      <c r="BK507" s="77"/>
      <c r="BL507" s="77"/>
      <c r="BM507" s="78"/>
    </row>
    <row r="508">
      <c r="A508" s="79">
        <v>2.5714285714285716</v>
      </c>
      <c r="B508" s="79" t="b">
        <v>0</v>
      </c>
      <c r="C508" s="79" t="b">
        <f t="shared" si="3"/>
        <v>0</v>
      </c>
      <c r="D508" s="80" t="s">
        <v>1565</v>
      </c>
      <c r="E508" s="81" t="s">
        <v>1022</v>
      </c>
      <c r="F508" s="82" t="s">
        <v>1436</v>
      </c>
      <c r="G508" s="35" t="s">
        <v>284</v>
      </c>
      <c r="H508" s="37">
        <v>-9.482494802127233</v>
      </c>
      <c r="I508" s="37">
        <v>-4.444428781944148</v>
      </c>
      <c r="J508" s="83" t="s">
        <v>2175</v>
      </c>
      <c r="K508" s="35">
        <v>27.8</v>
      </c>
      <c r="L508" s="79">
        <v>74.57142857142857</v>
      </c>
      <c r="M508" s="84">
        <v>26.0</v>
      </c>
      <c r="N508" s="84">
        <v>5.0</v>
      </c>
      <c r="O508" s="85">
        <v>-1.2485189799450238</v>
      </c>
      <c r="P508" s="85">
        <v>-1.7969637004567764</v>
      </c>
      <c r="Q508" s="85">
        <v>-1.1047255647997296</v>
      </c>
      <c r="R508" s="85">
        <v>-1.3178245823472103</v>
      </c>
      <c r="S508" s="85">
        <v>-1.6546020245760928</v>
      </c>
      <c r="T508" s="85">
        <v>0.44813554304231407</v>
      </c>
      <c r="U508" s="85">
        <v>-1.5664238223465239</v>
      </c>
      <c r="V508" s="85">
        <v>0.0</v>
      </c>
      <c r="W508" s="85">
        <v>0.09220073455895762</v>
      </c>
      <c r="X508" s="85">
        <v>-1.3337724052571474</v>
      </c>
      <c r="Y508" s="50" t="s">
        <v>69</v>
      </c>
      <c r="Z508" s="50" t="s">
        <v>69</v>
      </c>
      <c r="AA508" s="50" t="s">
        <v>69</v>
      </c>
      <c r="AB508" s="50" t="s">
        <v>69</v>
      </c>
      <c r="AC508" s="34" t="str">
        <f t="shared" ref="AC508:AP508" si="508">LET(
  skater, IFERROR(INDEX(AllProj, MATCH($E508, AllProjNames, 0), MATCH(AC$2, AllProjCats, 0) + 1), ""),
  goalie, IFERROR(INDEX(AllGProj, MATCH($E508, AllGProjNames, 0), MATCH(AC$2, AllGProjCats, 0) + 1), ""),
  val, IF(skater &lt;&gt; "", skater, goalie),
  IF(OR($E508="", AC$2="", val=""), "", val * AC$1)
)</f>
        <v/>
      </c>
      <c r="AD508" s="34" t="str">
        <f t="shared" si="508"/>
        <v/>
      </c>
      <c r="AE508" s="34" t="str">
        <f t="shared" si="508"/>
        <v/>
      </c>
      <c r="AF508" s="34" t="str">
        <f t="shared" si="508"/>
        <v/>
      </c>
      <c r="AG508" s="34" t="str">
        <f t="shared" si="508"/>
        <v/>
      </c>
      <c r="AH508" s="34" t="str">
        <f t="shared" si="508"/>
        <v/>
      </c>
      <c r="AI508" s="34" t="str">
        <f t="shared" si="508"/>
        <v/>
      </c>
      <c r="AJ508" s="34" t="str">
        <f t="shared" si="508"/>
        <v/>
      </c>
      <c r="AK508" s="34" t="str">
        <f t="shared" si="508"/>
        <v/>
      </c>
      <c r="AL508" s="34" t="str">
        <f t="shared" si="508"/>
        <v/>
      </c>
      <c r="AM508" s="34" t="str">
        <f t="shared" si="508"/>
        <v/>
      </c>
      <c r="AN508" s="34" t="str">
        <f t="shared" si="508"/>
        <v/>
      </c>
      <c r="AO508" s="34" t="str">
        <f t="shared" si="508"/>
        <v/>
      </c>
      <c r="AP508" s="34" t="str">
        <f t="shared" si="508"/>
        <v/>
      </c>
      <c r="AQ508" s="76" t="s">
        <v>548</v>
      </c>
      <c r="AR508" s="77"/>
      <c r="AS508" s="77"/>
      <c r="AT508" s="77"/>
      <c r="AU508" s="77"/>
      <c r="AV508" s="77"/>
      <c r="AW508" s="77"/>
      <c r="AX508" s="77"/>
      <c r="AY508" s="77"/>
      <c r="AZ508" s="77"/>
      <c r="BA508" s="77"/>
      <c r="BB508" s="77"/>
      <c r="BC508" s="77"/>
      <c r="BD508" s="77"/>
      <c r="BE508" s="77"/>
      <c r="BF508" s="77"/>
      <c r="BG508" s="77"/>
      <c r="BH508" s="77"/>
      <c r="BI508" s="77"/>
      <c r="BJ508" s="77"/>
      <c r="BK508" s="77"/>
      <c r="BL508" s="77"/>
      <c r="BM508" s="78"/>
    </row>
    <row r="509">
      <c r="A509" s="41">
        <v>2.5714285714285716</v>
      </c>
      <c r="B509" s="41" t="b">
        <v>0</v>
      </c>
      <c r="C509" s="41" t="b">
        <f t="shared" si="3"/>
        <v>0</v>
      </c>
      <c r="D509" s="42" t="s">
        <v>1565</v>
      </c>
      <c r="E509" s="43" t="s">
        <v>1050</v>
      </c>
      <c r="F509" s="44" t="s">
        <v>1464</v>
      </c>
      <c r="G509" s="29" t="s">
        <v>832</v>
      </c>
      <c r="H509" s="32">
        <v>-9.493606043545464</v>
      </c>
      <c r="I509" s="32">
        <v>-4.051468434817607</v>
      </c>
      <c r="J509" s="45" t="s">
        <v>2176</v>
      </c>
      <c r="K509" s="29">
        <v>32.7</v>
      </c>
      <c r="L509" s="41">
        <v>81.50446428571429</v>
      </c>
      <c r="M509" s="46">
        <v>24.0</v>
      </c>
      <c r="N509" s="46">
        <v>7.0</v>
      </c>
      <c r="O509" s="47">
        <v>-0.7367533618327159</v>
      </c>
      <c r="P509" s="47">
        <v>-0.8292998173861145</v>
      </c>
      <c r="Q509" s="47">
        <v>-1.1977954635067967</v>
      </c>
      <c r="R509" s="47">
        <v>-1.8048527712099474</v>
      </c>
      <c r="S509" s="47">
        <v>-0.7913835843695947</v>
      </c>
      <c r="T509" s="47">
        <v>0.3809529508337721</v>
      </c>
      <c r="U509" s="47">
        <v>-0.9054496380847556</v>
      </c>
      <c r="V509" s="47">
        <v>0.0</v>
      </c>
      <c r="W509" s="47">
        <v>-2.0747294293875465</v>
      </c>
      <c r="X509" s="47">
        <v>-1.5342949286017649</v>
      </c>
      <c r="Y509" s="50" t="s">
        <v>69</v>
      </c>
      <c r="Z509" s="50" t="s">
        <v>69</v>
      </c>
      <c r="AA509" s="50" t="s">
        <v>69</v>
      </c>
      <c r="AB509" s="50" t="s">
        <v>69</v>
      </c>
      <c r="AC509" s="34" t="str">
        <f t="shared" ref="AC509:AP509" si="509">LET(
  skater, IFERROR(INDEX(AllProj, MATCH($E509, AllProjNames, 0), MATCH(AC$2, AllProjCats, 0) + 1), ""),
  goalie, IFERROR(INDEX(AllGProj, MATCH($E509, AllGProjNames, 0), MATCH(AC$2, AllGProjCats, 0) + 1), ""),
  val, IF(skater &lt;&gt; "", skater, goalie),
  IF(OR($E509="", AC$2="", val=""), "", val * AC$1)
)</f>
        <v/>
      </c>
      <c r="AD509" s="34" t="str">
        <f t="shared" si="509"/>
        <v/>
      </c>
      <c r="AE509" s="34" t="str">
        <f t="shared" si="509"/>
        <v/>
      </c>
      <c r="AF509" s="34" t="str">
        <f t="shared" si="509"/>
        <v/>
      </c>
      <c r="AG509" s="34" t="str">
        <f t="shared" si="509"/>
        <v/>
      </c>
      <c r="AH509" s="34" t="str">
        <f t="shared" si="509"/>
        <v/>
      </c>
      <c r="AI509" s="34" t="str">
        <f t="shared" si="509"/>
        <v/>
      </c>
      <c r="AJ509" s="34" t="str">
        <f t="shared" si="509"/>
        <v/>
      </c>
      <c r="AK509" s="34" t="str">
        <f t="shared" si="509"/>
        <v/>
      </c>
      <c r="AL509" s="34" t="str">
        <f t="shared" si="509"/>
        <v/>
      </c>
      <c r="AM509" s="34" t="str">
        <f t="shared" si="509"/>
        <v/>
      </c>
      <c r="AN509" s="34" t="str">
        <f t="shared" si="509"/>
        <v/>
      </c>
      <c r="AO509" s="34" t="str">
        <f t="shared" si="509"/>
        <v/>
      </c>
      <c r="AP509" s="34" t="str">
        <f t="shared" si="509"/>
        <v/>
      </c>
      <c r="AQ509" s="76" t="s">
        <v>549</v>
      </c>
      <c r="AR509" s="77"/>
      <c r="AS509" s="77"/>
      <c r="AT509" s="77"/>
      <c r="AU509" s="77"/>
      <c r="AV509" s="77"/>
      <c r="AW509" s="77"/>
      <c r="AX509" s="77"/>
      <c r="AY509" s="77"/>
      <c r="AZ509" s="77"/>
      <c r="BA509" s="77"/>
      <c r="BB509" s="77"/>
      <c r="BC509" s="77"/>
      <c r="BD509" s="77"/>
      <c r="BE509" s="77"/>
      <c r="BF509" s="77"/>
      <c r="BG509" s="77"/>
      <c r="BH509" s="77"/>
      <c r="BI509" s="77"/>
      <c r="BJ509" s="77"/>
      <c r="BK509" s="77"/>
      <c r="BL509" s="77"/>
      <c r="BM509" s="78"/>
    </row>
    <row r="510">
      <c r="A510" s="79">
        <v>2.5</v>
      </c>
      <c r="B510" s="79" t="b">
        <v>0</v>
      </c>
      <c r="C510" s="79" t="b">
        <f t="shared" si="3"/>
        <v>0</v>
      </c>
      <c r="D510" s="80" t="s">
        <v>1565</v>
      </c>
      <c r="E510" s="81" t="s">
        <v>914</v>
      </c>
      <c r="F510" s="82" t="s">
        <v>1444</v>
      </c>
      <c r="G510" s="35" t="s">
        <v>832</v>
      </c>
      <c r="H510" s="37">
        <v>-9.4990252806675</v>
      </c>
      <c r="I510" s="37">
        <v>-4.056887671939642</v>
      </c>
      <c r="J510" s="83" t="s">
        <v>2177</v>
      </c>
      <c r="K510" s="35">
        <v>31.4</v>
      </c>
      <c r="L510" s="79">
        <v>82.04632352941177</v>
      </c>
      <c r="M510" s="84">
        <v>33.0</v>
      </c>
      <c r="N510" s="84">
        <v>6.0</v>
      </c>
      <c r="O510" s="85">
        <v>-0.7689584780519294</v>
      </c>
      <c r="P510" s="85">
        <v>-0.790201828298621</v>
      </c>
      <c r="Q510" s="85">
        <v>-1.883716396667753</v>
      </c>
      <c r="R510" s="85">
        <v>-1.7986156859525821</v>
      </c>
      <c r="S510" s="85">
        <v>-0.34503484867724005</v>
      </c>
      <c r="T510" s="85">
        <v>-0.7871777123417198</v>
      </c>
      <c r="U510" s="85">
        <v>-0.6365292858695364</v>
      </c>
      <c r="V510" s="85">
        <v>0.0</v>
      </c>
      <c r="W510" s="85">
        <v>-0.9349032111909364</v>
      </c>
      <c r="X510" s="85">
        <v>-1.5538878336171833</v>
      </c>
      <c r="Y510" s="50" t="s">
        <v>69</v>
      </c>
      <c r="Z510" s="50" t="s">
        <v>69</v>
      </c>
      <c r="AA510" s="50" t="s">
        <v>69</v>
      </c>
      <c r="AB510" s="50" t="s">
        <v>69</v>
      </c>
      <c r="AC510" s="34" t="str">
        <f t="shared" ref="AC510:AP510" si="510">LET(
  skater, IFERROR(INDEX(AllProj, MATCH($E510, AllProjNames, 0), MATCH(AC$2, AllProjCats, 0) + 1), ""),
  goalie, IFERROR(INDEX(AllGProj, MATCH($E510, AllGProjNames, 0), MATCH(AC$2, AllGProjCats, 0) + 1), ""),
  val, IF(skater &lt;&gt; "", skater, goalie),
  IF(OR($E510="", AC$2="", val=""), "", val * AC$1)
)</f>
        <v/>
      </c>
      <c r="AD510" s="34" t="str">
        <f t="shared" si="510"/>
        <v/>
      </c>
      <c r="AE510" s="34" t="str">
        <f t="shared" si="510"/>
        <v/>
      </c>
      <c r="AF510" s="34" t="str">
        <f t="shared" si="510"/>
        <v/>
      </c>
      <c r="AG510" s="34" t="str">
        <f t="shared" si="510"/>
        <v/>
      </c>
      <c r="AH510" s="34" t="str">
        <f t="shared" si="510"/>
        <v/>
      </c>
      <c r="AI510" s="34" t="str">
        <f t="shared" si="510"/>
        <v/>
      </c>
      <c r="AJ510" s="34" t="str">
        <f t="shared" si="510"/>
        <v/>
      </c>
      <c r="AK510" s="34" t="str">
        <f t="shared" si="510"/>
        <v/>
      </c>
      <c r="AL510" s="34" t="str">
        <f t="shared" si="510"/>
        <v/>
      </c>
      <c r="AM510" s="34" t="str">
        <f t="shared" si="510"/>
        <v/>
      </c>
      <c r="AN510" s="34" t="str">
        <f t="shared" si="510"/>
        <v/>
      </c>
      <c r="AO510" s="34" t="str">
        <f t="shared" si="510"/>
        <v/>
      </c>
      <c r="AP510" s="34" t="str">
        <f t="shared" si="510"/>
        <v/>
      </c>
      <c r="AQ510" s="76" t="s">
        <v>550</v>
      </c>
      <c r="AR510" s="77"/>
      <c r="AS510" s="77"/>
      <c r="AT510" s="77"/>
      <c r="AU510" s="77"/>
      <c r="AV510" s="77"/>
      <c r="AW510" s="77"/>
      <c r="AX510" s="77"/>
      <c r="AY510" s="77"/>
      <c r="AZ510" s="77"/>
      <c r="BA510" s="77"/>
      <c r="BB510" s="77"/>
      <c r="BC510" s="77"/>
      <c r="BD510" s="77"/>
      <c r="BE510" s="77"/>
      <c r="BF510" s="77"/>
      <c r="BG510" s="77"/>
      <c r="BH510" s="77"/>
      <c r="BI510" s="77"/>
      <c r="BJ510" s="77"/>
      <c r="BK510" s="77"/>
      <c r="BL510" s="77"/>
      <c r="BM510" s="78"/>
    </row>
    <row r="511">
      <c r="A511" s="41">
        <v>2.9285714285714284</v>
      </c>
      <c r="B511" s="41" t="b">
        <v>0</v>
      </c>
      <c r="C511" s="41" t="b">
        <f t="shared" si="3"/>
        <v>0</v>
      </c>
      <c r="D511" s="42" t="s">
        <v>1565</v>
      </c>
      <c r="E511" s="43" t="s">
        <v>1384</v>
      </c>
      <c r="F511" s="44" t="s">
        <v>1779</v>
      </c>
      <c r="G511" s="29" t="s">
        <v>6</v>
      </c>
      <c r="H511" s="32">
        <v>-9.508107355953587</v>
      </c>
      <c r="I511" s="32">
        <v>-5.1698843774834735</v>
      </c>
      <c r="J511" s="45" t="s">
        <v>2178</v>
      </c>
      <c r="K511" s="29">
        <v>31.4</v>
      </c>
      <c r="L511" s="41">
        <v>41.0</v>
      </c>
      <c r="M511" s="46">
        <v>27.0</v>
      </c>
      <c r="N511" s="46">
        <v>6.0</v>
      </c>
      <c r="O511" s="94" t="s">
        <v>69</v>
      </c>
      <c r="P511" s="94" t="s">
        <v>69</v>
      </c>
      <c r="Q511" s="94" t="s">
        <v>69</v>
      </c>
      <c r="R511" s="94" t="s">
        <v>69</v>
      </c>
      <c r="S511" s="94" t="s">
        <v>69</v>
      </c>
      <c r="T511" s="94" t="s">
        <v>69</v>
      </c>
      <c r="U511" s="94" t="s">
        <v>69</v>
      </c>
      <c r="V511" s="94" t="s">
        <v>69</v>
      </c>
      <c r="W511" s="94" t="s">
        <v>69</v>
      </c>
      <c r="X511" s="94" t="s">
        <v>69</v>
      </c>
      <c r="Y511" s="95">
        <v>-1.700071474225979</v>
      </c>
      <c r="Z511" s="95">
        <v>-3.5376054872615645</v>
      </c>
      <c r="AA511" s="95">
        <v>-4.270430394466045</v>
      </c>
      <c r="AB511" s="95">
        <v>0.0</v>
      </c>
      <c r="AC511" s="34" t="str">
        <f t="shared" ref="AC511:AP511" si="511">LET(
  skater, IFERROR(INDEX(AllProj, MATCH($E511, AllProjNames, 0), MATCH(AC$2, AllProjCats, 0) + 1), ""),
  goalie, IFERROR(INDEX(AllGProj, MATCH($E511, AllGProjNames, 0), MATCH(AC$2, AllGProjCats, 0) + 1), ""),
  val, IF(skater &lt;&gt; "", skater, goalie),
  IF(OR($E511="", AC$2="", val=""), "", val * AC$1)
)</f>
        <v/>
      </c>
      <c r="AD511" s="34" t="str">
        <f t="shared" si="511"/>
        <v/>
      </c>
      <c r="AE511" s="34" t="str">
        <f t="shared" si="511"/>
        <v/>
      </c>
      <c r="AF511" s="34" t="str">
        <f t="shared" si="511"/>
        <v/>
      </c>
      <c r="AG511" s="34" t="str">
        <f t="shared" si="511"/>
        <v/>
      </c>
      <c r="AH511" s="34" t="str">
        <f t="shared" si="511"/>
        <v/>
      </c>
      <c r="AI511" s="34" t="str">
        <f t="shared" si="511"/>
        <v/>
      </c>
      <c r="AJ511" s="34" t="str">
        <f t="shared" si="511"/>
        <v/>
      </c>
      <c r="AK511" s="34" t="str">
        <f t="shared" si="511"/>
        <v/>
      </c>
      <c r="AL511" s="34" t="str">
        <f t="shared" si="511"/>
        <v/>
      </c>
      <c r="AM511" s="34" t="str">
        <f t="shared" si="511"/>
        <v/>
      </c>
      <c r="AN511" s="34" t="str">
        <f t="shared" si="511"/>
        <v/>
      </c>
      <c r="AO511" s="34" t="str">
        <f t="shared" si="511"/>
        <v/>
      </c>
      <c r="AP511" s="34" t="str">
        <f t="shared" si="511"/>
        <v/>
      </c>
      <c r="AQ511" s="76" t="s">
        <v>551</v>
      </c>
      <c r="AR511" s="77"/>
      <c r="AS511" s="77"/>
      <c r="AT511" s="77"/>
      <c r="AU511" s="77"/>
      <c r="AV511" s="77"/>
      <c r="AW511" s="77"/>
      <c r="AX511" s="77"/>
      <c r="AY511" s="77"/>
      <c r="AZ511" s="77"/>
      <c r="BA511" s="77"/>
      <c r="BB511" s="77"/>
      <c r="BC511" s="77"/>
      <c r="BD511" s="77"/>
      <c r="BE511" s="77"/>
      <c r="BF511" s="77"/>
      <c r="BG511" s="77"/>
      <c r="BH511" s="77"/>
      <c r="BI511" s="77"/>
      <c r="BJ511" s="77"/>
      <c r="BK511" s="77"/>
      <c r="BL511" s="77"/>
      <c r="BM511" s="78"/>
    </row>
    <row r="512">
      <c r="A512" s="79" t="s">
        <v>69</v>
      </c>
      <c r="B512" s="79" t="b">
        <v>0</v>
      </c>
      <c r="C512" s="79" t="b">
        <f t="shared" si="3"/>
        <v>1</v>
      </c>
      <c r="D512" s="80" t="s">
        <v>254</v>
      </c>
      <c r="E512" s="81" t="s">
        <v>2179</v>
      </c>
      <c r="F512" s="82" t="s">
        <v>1444</v>
      </c>
      <c r="G512" s="35" t="s">
        <v>832</v>
      </c>
      <c r="H512" s="37">
        <v>-9.544626118646082</v>
      </c>
      <c r="I512" s="37">
        <v>-4.102488509918225</v>
      </c>
      <c r="J512" s="83" t="s">
        <v>2180</v>
      </c>
      <c r="K512" s="35">
        <v>21.4</v>
      </c>
      <c r="L512" s="79">
        <v>78.29411764705883</v>
      </c>
      <c r="M512" s="84">
        <v>33.0</v>
      </c>
      <c r="N512" s="84">
        <v>6.0</v>
      </c>
      <c r="O512" s="85">
        <v>-0.2058872970006803</v>
      </c>
      <c r="P512" s="85">
        <v>-0.56079326760637</v>
      </c>
      <c r="Q512" s="85">
        <v>-1.3597888372618878</v>
      </c>
      <c r="R512" s="85">
        <v>-1.7103237097303339</v>
      </c>
      <c r="S512" s="85">
        <v>-0.5858397530016937</v>
      </c>
      <c r="T512" s="85">
        <v>-0.7871777123417198</v>
      </c>
      <c r="U512" s="85">
        <v>-0.9017654011000843</v>
      </c>
      <c r="V512" s="85">
        <v>0.0</v>
      </c>
      <c r="W512" s="85">
        <v>-1.7577871276626043</v>
      </c>
      <c r="X512" s="85">
        <v>-1.675263012940709</v>
      </c>
      <c r="Y512" s="50" t="s">
        <v>69</v>
      </c>
      <c r="Z512" s="50" t="s">
        <v>69</v>
      </c>
      <c r="AA512" s="50" t="s">
        <v>69</v>
      </c>
      <c r="AB512" s="50" t="s">
        <v>69</v>
      </c>
      <c r="AC512" s="34" t="str">
        <f t="shared" ref="AC512:AP512" si="512">LET(
  skater, IFERROR(INDEX(AllProj, MATCH($E512, AllProjNames, 0), MATCH(AC$2, AllProjCats, 0) + 1), ""),
  goalie, IFERROR(INDEX(AllGProj, MATCH($E512, AllGProjNames, 0), MATCH(AC$2, AllGProjCats, 0) + 1), ""),
  val, IF(skater &lt;&gt; "", skater, goalie),
  IF(OR($E512="", AC$2="", val=""), "", val * AC$1)
)</f>
        <v/>
      </c>
      <c r="AD512" s="34" t="str">
        <f t="shared" si="512"/>
        <v/>
      </c>
      <c r="AE512" s="34" t="str">
        <f t="shared" si="512"/>
        <v/>
      </c>
      <c r="AF512" s="34" t="str">
        <f t="shared" si="512"/>
        <v/>
      </c>
      <c r="AG512" s="34" t="str">
        <f t="shared" si="512"/>
        <v/>
      </c>
      <c r="AH512" s="34" t="str">
        <f t="shared" si="512"/>
        <v/>
      </c>
      <c r="AI512" s="34" t="str">
        <f t="shared" si="512"/>
        <v/>
      </c>
      <c r="AJ512" s="34" t="str">
        <f t="shared" si="512"/>
        <v/>
      </c>
      <c r="AK512" s="34" t="str">
        <f t="shared" si="512"/>
        <v/>
      </c>
      <c r="AL512" s="34" t="str">
        <f t="shared" si="512"/>
        <v/>
      </c>
      <c r="AM512" s="34" t="str">
        <f t="shared" si="512"/>
        <v/>
      </c>
      <c r="AN512" s="34" t="str">
        <f t="shared" si="512"/>
        <v/>
      </c>
      <c r="AO512" s="34" t="str">
        <f t="shared" si="512"/>
        <v/>
      </c>
      <c r="AP512" s="34" t="str">
        <f t="shared" si="512"/>
        <v/>
      </c>
      <c r="AQ512" s="76" t="s">
        <v>552</v>
      </c>
      <c r="AR512" s="77"/>
      <c r="AS512" s="77"/>
      <c r="AT512" s="77"/>
      <c r="AU512" s="77"/>
      <c r="AV512" s="77"/>
      <c r="AW512" s="77"/>
      <c r="AX512" s="77"/>
      <c r="AY512" s="77"/>
      <c r="AZ512" s="77"/>
      <c r="BA512" s="77"/>
      <c r="BB512" s="77"/>
      <c r="BC512" s="77"/>
      <c r="BD512" s="77"/>
      <c r="BE512" s="77"/>
      <c r="BF512" s="77"/>
      <c r="BG512" s="77"/>
      <c r="BH512" s="77"/>
      <c r="BI512" s="77"/>
      <c r="BJ512" s="77"/>
      <c r="BK512" s="77"/>
      <c r="BL512" s="77"/>
      <c r="BM512" s="78"/>
    </row>
    <row r="513">
      <c r="A513" s="41">
        <v>2.5714285714285716</v>
      </c>
      <c r="B513" s="41" t="b">
        <v>0</v>
      </c>
      <c r="C513" s="41" t="b">
        <f t="shared" si="3"/>
        <v>0</v>
      </c>
      <c r="D513" s="42" t="s">
        <v>1565</v>
      </c>
      <c r="E513" s="43" t="s">
        <v>939</v>
      </c>
      <c r="F513" s="44" t="s">
        <v>1594</v>
      </c>
      <c r="G513" s="29" t="s">
        <v>284</v>
      </c>
      <c r="H513" s="32">
        <v>-9.554010191364407</v>
      </c>
      <c r="I513" s="32">
        <v>-4.515944171181322</v>
      </c>
      <c r="J513" s="45" t="s">
        <v>2181</v>
      </c>
      <c r="K513" s="29">
        <v>27.8</v>
      </c>
      <c r="L513" s="41">
        <v>82.0</v>
      </c>
      <c r="M513" s="46">
        <v>26.0</v>
      </c>
      <c r="N513" s="46">
        <v>6.0</v>
      </c>
      <c r="O513" s="47">
        <v>-1.6509434082046461</v>
      </c>
      <c r="P513" s="47">
        <v>-1.6206469310559204</v>
      </c>
      <c r="Q513" s="94" t="s">
        <v>69</v>
      </c>
      <c r="R513" s="47">
        <v>-1.4954559504960816</v>
      </c>
      <c r="S513" s="94" t="s">
        <v>69</v>
      </c>
      <c r="T513" s="94" t="s">
        <v>69</v>
      </c>
      <c r="U513" s="47">
        <v>-1.9561471726769692</v>
      </c>
      <c r="V513" s="94" t="s">
        <v>69</v>
      </c>
      <c r="W513" s="47">
        <v>-0.6940969722148832</v>
      </c>
      <c r="X513" s="47">
        <v>-2.1367197567159075</v>
      </c>
      <c r="Y513" s="50" t="s">
        <v>69</v>
      </c>
      <c r="Z513" s="50" t="s">
        <v>69</v>
      </c>
      <c r="AA513" s="50" t="s">
        <v>69</v>
      </c>
      <c r="AB513" s="50" t="s">
        <v>69</v>
      </c>
      <c r="AC513" s="34" t="str">
        <f t="shared" ref="AC513:AP513" si="513">LET(
  skater, IFERROR(INDEX(AllProj, MATCH($E513, AllProjNames, 0), MATCH(AC$2, AllProjCats, 0) + 1), ""),
  goalie, IFERROR(INDEX(AllGProj, MATCH($E513, AllGProjNames, 0), MATCH(AC$2, AllGProjCats, 0) + 1), ""),
  val, IF(skater &lt;&gt; "", skater, goalie),
  IF(OR($E513="", AC$2="", val=""), "", val * AC$1)
)</f>
        <v/>
      </c>
      <c r="AD513" s="34" t="str">
        <f t="shared" si="513"/>
        <v/>
      </c>
      <c r="AE513" s="34" t="str">
        <f t="shared" si="513"/>
        <v/>
      </c>
      <c r="AF513" s="34" t="str">
        <f t="shared" si="513"/>
        <v/>
      </c>
      <c r="AG513" s="34" t="str">
        <f t="shared" si="513"/>
        <v/>
      </c>
      <c r="AH513" s="34" t="str">
        <f t="shared" si="513"/>
        <v/>
      </c>
      <c r="AI513" s="34" t="str">
        <f t="shared" si="513"/>
        <v/>
      </c>
      <c r="AJ513" s="34" t="str">
        <f t="shared" si="513"/>
        <v/>
      </c>
      <c r="AK513" s="34" t="str">
        <f t="shared" si="513"/>
        <v/>
      </c>
      <c r="AL513" s="34" t="str">
        <f t="shared" si="513"/>
        <v/>
      </c>
      <c r="AM513" s="34" t="str">
        <f t="shared" si="513"/>
        <v/>
      </c>
      <c r="AN513" s="34" t="str">
        <f t="shared" si="513"/>
        <v/>
      </c>
      <c r="AO513" s="34" t="str">
        <f t="shared" si="513"/>
        <v/>
      </c>
      <c r="AP513" s="34" t="str">
        <f t="shared" si="513"/>
        <v/>
      </c>
      <c r="AQ513" s="76" t="s">
        <v>553</v>
      </c>
      <c r="AR513" s="77"/>
      <c r="AS513" s="77"/>
      <c r="AT513" s="77"/>
      <c r="AU513" s="77"/>
      <c r="AV513" s="77"/>
      <c r="AW513" s="77"/>
      <c r="AX513" s="77"/>
      <c r="AY513" s="77"/>
      <c r="AZ513" s="77"/>
      <c r="BA513" s="77"/>
      <c r="BB513" s="77"/>
      <c r="BC513" s="77"/>
      <c r="BD513" s="77"/>
      <c r="BE513" s="77"/>
      <c r="BF513" s="77"/>
      <c r="BG513" s="77"/>
      <c r="BH513" s="77"/>
      <c r="BI513" s="77"/>
      <c r="BJ513" s="77"/>
      <c r="BK513" s="77"/>
      <c r="BL513" s="77"/>
      <c r="BM513" s="78"/>
    </row>
    <row r="514">
      <c r="A514" s="79">
        <v>2.5714285714285716</v>
      </c>
      <c r="B514" s="79" t="b">
        <v>0</v>
      </c>
      <c r="C514" s="79" t="b">
        <f t="shared" si="3"/>
        <v>0</v>
      </c>
      <c r="D514" s="80" t="s">
        <v>1565</v>
      </c>
      <c r="E514" s="81" t="s">
        <v>991</v>
      </c>
      <c r="F514" s="82" t="s">
        <v>1411</v>
      </c>
      <c r="G514" s="35" t="s">
        <v>835</v>
      </c>
      <c r="H514" s="37">
        <v>-9.568737653838829</v>
      </c>
      <c r="I514" s="37">
        <v>-4.18085752892609</v>
      </c>
      <c r="J514" s="83" t="s">
        <v>2182</v>
      </c>
      <c r="K514" s="35">
        <v>22.6</v>
      </c>
      <c r="L514" s="79">
        <v>78.0</v>
      </c>
      <c r="M514" s="84">
        <v>33.0</v>
      </c>
      <c r="N514" s="84">
        <v>8.0</v>
      </c>
      <c r="O514" s="85">
        <v>-1.3994281405423823</v>
      </c>
      <c r="P514" s="85">
        <v>-2.18903651662447</v>
      </c>
      <c r="Q514" s="96" t="s">
        <v>69</v>
      </c>
      <c r="R514" s="85">
        <v>-2.054994760165026</v>
      </c>
      <c r="S514" s="96" t="s">
        <v>69</v>
      </c>
      <c r="T514" s="96" t="s">
        <v>69</v>
      </c>
      <c r="U514" s="85">
        <v>-2.1171627221389575</v>
      </c>
      <c r="V514" s="96" t="s">
        <v>69</v>
      </c>
      <c r="W514" s="85">
        <v>-0.12032798290858082</v>
      </c>
      <c r="X514" s="85">
        <v>-1.6877875314594122</v>
      </c>
      <c r="Y514" s="50" t="s">
        <v>69</v>
      </c>
      <c r="Z514" s="50" t="s">
        <v>69</v>
      </c>
      <c r="AA514" s="50" t="s">
        <v>69</v>
      </c>
      <c r="AB514" s="50" t="s">
        <v>69</v>
      </c>
      <c r="AC514" s="34" t="str">
        <f t="shared" ref="AC514:AP514" si="514">LET(
  skater, IFERROR(INDEX(AllProj, MATCH($E514, AllProjNames, 0), MATCH(AC$2, AllProjCats, 0) + 1), ""),
  goalie, IFERROR(INDEX(AllGProj, MATCH($E514, AllGProjNames, 0), MATCH(AC$2, AllGProjCats, 0) + 1), ""),
  val, IF(skater &lt;&gt; "", skater, goalie),
  IF(OR($E514="", AC$2="", val=""), "", val * AC$1)
)</f>
        <v/>
      </c>
      <c r="AD514" s="34" t="str">
        <f t="shared" si="514"/>
        <v/>
      </c>
      <c r="AE514" s="34" t="str">
        <f t="shared" si="514"/>
        <v/>
      </c>
      <c r="AF514" s="34" t="str">
        <f t="shared" si="514"/>
        <v/>
      </c>
      <c r="AG514" s="34" t="str">
        <f t="shared" si="514"/>
        <v/>
      </c>
      <c r="AH514" s="34" t="str">
        <f t="shared" si="514"/>
        <v/>
      </c>
      <c r="AI514" s="34" t="str">
        <f t="shared" si="514"/>
        <v/>
      </c>
      <c r="AJ514" s="34" t="str">
        <f t="shared" si="514"/>
        <v/>
      </c>
      <c r="AK514" s="34" t="str">
        <f t="shared" si="514"/>
        <v/>
      </c>
      <c r="AL514" s="34" t="str">
        <f t="shared" si="514"/>
        <v/>
      </c>
      <c r="AM514" s="34" t="str">
        <f t="shared" si="514"/>
        <v/>
      </c>
      <c r="AN514" s="34" t="str">
        <f t="shared" si="514"/>
        <v/>
      </c>
      <c r="AO514" s="34" t="str">
        <f t="shared" si="514"/>
        <v/>
      </c>
      <c r="AP514" s="34" t="str">
        <f t="shared" si="514"/>
        <v/>
      </c>
      <c r="AQ514" s="76" t="s">
        <v>554</v>
      </c>
      <c r="AR514" s="77"/>
      <c r="AS514" s="77"/>
      <c r="AT514" s="77"/>
      <c r="AU514" s="77"/>
      <c r="AV514" s="77"/>
      <c r="AW514" s="77"/>
      <c r="AX514" s="77"/>
      <c r="AY514" s="77"/>
      <c r="AZ514" s="77"/>
      <c r="BA514" s="77"/>
      <c r="BB514" s="77"/>
      <c r="BC514" s="77"/>
      <c r="BD514" s="77"/>
      <c r="BE514" s="77"/>
      <c r="BF514" s="77"/>
      <c r="BG514" s="77"/>
      <c r="BH514" s="77"/>
      <c r="BI514" s="77"/>
      <c r="BJ514" s="77"/>
      <c r="BK514" s="77"/>
      <c r="BL514" s="77"/>
      <c r="BM514" s="78"/>
    </row>
    <row r="515">
      <c r="A515" s="41">
        <v>2.5714285714285716</v>
      </c>
      <c r="B515" s="41" t="b">
        <v>0</v>
      </c>
      <c r="C515" s="41" t="b">
        <f t="shared" si="3"/>
        <v>0</v>
      </c>
      <c r="D515" s="42" t="s">
        <v>1565</v>
      </c>
      <c r="E515" s="43" t="s">
        <v>1003</v>
      </c>
      <c r="F515" s="44" t="s">
        <v>1512</v>
      </c>
      <c r="G515" s="29" t="s">
        <v>837</v>
      </c>
      <c r="H515" s="32">
        <v>-9.587338974320812</v>
      </c>
      <c r="I515" s="32">
        <v>-4.05748020239191</v>
      </c>
      <c r="J515" s="45" t="s">
        <v>2183</v>
      </c>
      <c r="K515" s="29">
        <v>29.8</v>
      </c>
      <c r="L515" s="41">
        <v>78.42857142857143</v>
      </c>
      <c r="M515" s="46">
        <v>21.0</v>
      </c>
      <c r="N515" s="46">
        <v>7.0</v>
      </c>
      <c r="O515" s="47">
        <v>-2.333627706145076</v>
      </c>
      <c r="P515" s="47">
        <v>-1.8619225102360395</v>
      </c>
      <c r="Q515" s="47">
        <v>-1.690546920249242</v>
      </c>
      <c r="R515" s="47">
        <v>-0.27868107867631364</v>
      </c>
      <c r="S515" s="47">
        <v>-1.72461069241107</v>
      </c>
      <c r="T515" s="47">
        <v>-0.16952108464970286</v>
      </c>
      <c r="U515" s="47">
        <v>-2.0113525039210796</v>
      </c>
      <c r="V515" s="47">
        <v>0.0</v>
      </c>
      <c r="W515" s="47">
        <v>-0.8059233772735608</v>
      </c>
      <c r="X515" s="47">
        <v>1.2888468992412738</v>
      </c>
      <c r="Y515" s="50" t="s">
        <v>69</v>
      </c>
      <c r="Z515" s="50" t="s">
        <v>69</v>
      </c>
      <c r="AA515" s="50" t="s">
        <v>69</v>
      </c>
      <c r="AB515" s="50" t="s">
        <v>69</v>
      </c>
      <c r="AC515" s="34" t="str">
        <f t="shared" ref="AC515:AP515" si="515">LET(
  skater, IFERROR(INDEX(AllProj, MATCH($E515, AllProjNames, 0), MATCH(AC$2, AllProjCats, 0) + 1), ""),
  goalie, IFERROR(INDEX(AllGProj, MATCH($E515, AllGProjNames, 0), MATCH(AC$2, AllGProjCats, 0) + 1), ""),
  val, IF(skater &lt;&gt; "", skater, goalie),
  IF(OR($E515="", AC$2="", val=""), "", val * AC$1)
)</f>
        <v/>
      </c>
      <c r="AD515" s="34" t="str">
        <f t="shared" si="515"/>
        <v/>
      </c>
      <c r="AE515" s="34" t="str">
        <f t="shared" si="515"/>
        <v/>
      </c>
      <c r="AF515" s="34" t="str">
        <f t="shared" si="515"/>
        <v/>
      </c>
      <c r="AG515" s="34" t="str">
        <f t="shared" si="515"/>
        <v/>
      </c>
      <c r="AH515" s="34" t="str">
        <f t="shared" si="515"/>
        <v/>
      </c>
      <c r="AI515" s="34" t="str">
        <f t="shared" si="515"/>
        <v/>
      </c>
      <c r="AJ515" s="34" t="str">
        <f t="shared" si="515"/>
        <v/>
      </c>
      <c r="AK515" s="34" t="str">
        <f t="shared" si="515"/>
        <v/>
      </c>
      <c r="AL515" s="34" t="str">
        <f t="shared" si="515"/>
        <v/>
      </c>
      <c r="AM515" s="34" t="str">
        <f t="shared" si="515"/>
        <v/>
      </c>
      <c r="AN515" s="34" t="str">
        <f t="shared" si="515"/>
        <v/>
      </c>
      <c r="AO515" s="34" t="str">
        <f t="shared" si="515"/>
        <v/>
      </c>
      <c r="AP515" s="34" t="str">
        <f t="shared" si="515"/>
        <v/>
      </c>
      <c r="AQ515" s="76" t="s">
        <v>555</v>
      </c>
      <c r="AR515" s="77"/>
      <c r="AS515" s="77"/>
      <c r="AT515" s="77"/>
      <c r="AU515" s="77"/>
      <c r="AV515" s="77"/>
      <c r="AW515" s="77"/>
      <c r="AX515" s="77"/>
      <c r="AY515" s="77"/>
      <c r="AZ515" s="77"/>
      <c r="BA515" s="77"/>
      <c r="BB515" s="77"/>
      <c r="BC515" s="77"/>
      <c r="BD515" s="77"/>
      <c r="BE515" s="77"/>
      <c r="BF515" s="77"/>
      <c r="BG515" s="77"/>
      <c r="BH515" s="77"/>
      <c r="BI515" s="77"/>
      <c r="BJ515" s="77"/>
      <c r="BK515" s="77"/>
      <c r="BL515" s="77"/>
      <c r="BM515" s="78"/>
    </row>
    <row r="516">
      <c r="A516" s="79">
        <v>2.5714285714285716</v>
      </c>
      <c r="B516" s="79" t="b">
        <v>0</v>
      </c>
      <c r="C516" s="79" t="b">
        <f t="shared" si="3"/>
        <v>0</v>
      </c>
      <c r="D516" s="80" t="s">
        <v>1565</v>
      </c>
      <c r="E516" s="81" t="s">
        <v>1028</v>
      </c>
      <c r="F516" s="82" t="s">
        <v>1411</v>
      </c>
      <c r="G516" s="35" t="s">
        <v>835</v>
      </c>
      <c r="H516" s="37">
        <v>-9.596108957957984</v>
      </c>
      <c r="I516" s="37">
        <v>-4.208228833045245</v>
      </c>
      <c r="J516" s="83" t="s">
        <v>2184</v>
      </c>
      <c r="K516" s="35">
        <v>29.3</v>
      </c>
      <c r="L516" s="79">
        <v>81.28571428571429</v>
      </c>
      <c r="M516" s="84">
        <v>33.0</v>
      </c>
      <c r="N516" s="84">
        <v>8.0</v>
      </c>
      <c r="O516" s="85">
        <v>-1.054492916319849</v>
      </c>
      <c r="P516" s="85">
        <v>-1.6647261234061346</v>
      </c>
      <c r="Q516" s="85">
        <v>-0.8177095165399364</v>
      </c>
      <c r="R516" s="85">
        <v>-1.5576269293481866</v>
      </c>
      <c r="S516" s="85">
        <v>-1.3652328641915195</v>
      </c>
      <c r="T516" s="85">
        <v>-0.16952108464970286</v>
      </c>
      <c r="U516" s="85">
        <v>-0.7357150283875311</v>
      </c>
      <c r="V516" s="85">
        <v>0.0</v>
      </c>
      <c r="W516" s="85">
        <v>-0.8451504408281753</v>
      </c>
      <c r="X516" s="85">
        <v>-1.3859340542869496</v>
      </c>
      <c r="Y516" s="50" t="s">
        <v>69</v>
      </c>
      <c r="Z516" s="50" t="s">
        <v>69</v>
      </c>
      <c r="AA516" s="50" t="s">
        <v>69</v>
      </c>
      <c r="AB516" s="50" t="s">
        <v>69</v>
      </c>
      <c r="AC516" s="34" t="str">
        <f t="shared" ref="AC516:AP516" si="516">LET(
  skater, IFERROR(INDEX(AllProj, MATCH($E516, AllProjNames, 0), MATCH(AC$2, AllProjCats, 0) + 1), ""),
  goalie, IFERROR(INDEX(AllGProj, MATCH($E516, AllGProjNames, 0), MATCH(AC$2, AllGProjCats, 0) + 1), ""),
  val, IF(skater &lt;&gt; "", skater, goalie),
  IF(OR($E516="", AC$2="", val=""), "", val * AC$1)
)</f>
        <v/>
      </c>
      <c r="AD516" s="34" t="str">
        <f t="shared" si="516"/>
        <v/>
      </c>
      <c r="AE516" s="34" t="str">
        <f t="shared" si="516"/>
        <v/>
      </c>
      <c r="AF516" s="34" t="str">
        <f t="shared" si="516"/>
        <v/>
      </c>
      <c r="AG516" s="34" t="str">
        <f t="shared" si="516"/>
        <v/>
      </c>
      <c r="AH516" s="34" t="str">
        <f t="shared" si="516"/>
        <v/>
      </c>
      <c r="AI516" s="34" t="str">
        <f t="shared" si="516"/>
        <v/>
      </c>
      <c r="AJ516" s="34" t="str">
        <f t="shared" si="516"/>
        <v/>
      </c>
      <c r="AK516" s="34" t="str">
        <f t="shared" si="516"/>
        <v/>
      </c>
      <c r="AL516" s="34" t="str">
        <f t="shared" si="516"/>
        <v/>
      </c>
      <c r="AM516" s="34" t="str">
        <f t="shared" si="516"/>
        <v/>
      </c>
      <c r="AN516" s="34" t="str">
        <f t="shared" si="516"/>
        <v/>
      </c>
      <c r="AO516" s="34" t="str">
        <f t="shared" si="516"/>
        <v/>
      </c>
      <c r="AP516" s="34" t="str">
        <f t="shared" si="516"/>
        <v/>
      </c>
      <c r="AQ516" s="76" t="s">
        <v>556</v>
      </c>
      <c r="AR516" s="77"/>
      <c r="AS516" s="77"/>
      <c r="AT516" s="77"/>
      <c r="AU516" s="77"/>
      <c r="AV516" s="77"/>
      <c r="AW516" s="77"/>
      <c r="AX516" s="77"/>
      <c r="AY516" s="77"/>
      <c r="AZ516" s="77"/>
      <c r="BA516" s="77"/>
      <c r="BB516" s="77"/>
      <c r="BC516" s="77"/>
      <c r="BD516" s="77"/>
      <c r="BE516" s="77"/>
      <c r="BF516" s="77"/>
      <c r="BG516" s="77"/>
      <c r="BH516" s="77"/>
      <c r="BI516" s="77"/>
      <c r="BJ516" s="77"/>
      <c r="BK516" s="77"/>
      <c r="BL516" s="77"/>
      <c r="BM516" s="78"/>
    </row>
    <row r="517">
      <c r="A517" s="41">
        <v>3.0</v>
      </c>
      <c r="B517" s="41" t="b">
        <v>0</v>
      </c>
      <c r="C517" s="41" t="b">
        <f t="shared" si="3"/>
        <v>0</v>
      </c>
      <c r="D517" s="42" t="s">
        <v>1565</v>
      </c>
      <c r="E517" s="43" t="s">
        <v>1388</v>
      </c>
      <c r="F517" s="44" t="s">
        <v>1461</v>
      </c>
      <c r="G517" s="29" t="s">
        <v>6</v>
      </c>
      <c r="H517" s="32">
        <v>-9.599644154336318</v>
      </c>
      <c r="I517" s="32">
        <v>-5.261421175866204</v>
      </c>
      <c r="J517" s="45" t="s">
        <v>2185</v>
      </c>
      <c r="K517" s="29">
        <v>32.4</v>
      </c>
      <c r="L517" s="41">
        <v>30.142857142857142</v>
      </c>
      <c r="M517" s="46">
        <v>23.0</v>
      </c>
      <c r="N517" s="46">
        <v>6.0</v>
      </c>
      <c r="O517" s="94" t="s">
        <v>69</v>
      </c>
      <c r="P517" s="94" t="s">
        <v>69</v>
      </c>
      <c r="Q517" s="94" t="s">
        <v>69</v>
      </c>
      <c r="R517" s="94" t="s">
        <v>69</v>
      </c>
      <c r="S517" s="94" t="s">
        <v>69</v>
      </c>
      <c r="T517" s="94" t="s">
        <v>69</v>
      </c>
      <c r="U517" s="94" t="s">
        <v>69</v>
      </c>
      <c r="V517" s="94" t="s">
        <v>69</v>
      </c>
      <c r="W517" s="94" t="s">
        <v>69</v>
      </c>
      <c r="X517" s="94" t="s">
        <v>69</v>
      </c>
      <c r="Y517" s="95">
        <v>-2.0606094517715614</v>
      </c>
      <c r="Z517" s="95">
        <v>-4.221874917715368</v>
      </c>
      <c r="AA517" s="95">
        <v>-3.3171597848493866</v>
      </c>
      <c r="AB517" s="95">
        <v>0.0</v>
      </c>
      <c r="AC517" s="34" t="str">
        <f t="shared" ref="AC517:AP517" si="517">LET(
  skater, IFERROR(INDEX(AllProj, MATCH($E517, AllProjNames, 0), MATCH(AC$2, AllProjCats, 0) + 1), ""),
  goalie, IFERROR(INDEX(AllGProj, MATCH($E517, AllGProjNames, 0), MATCH(AC$2, AllGProjCats, 0) + 1), ""),
  val, IF(skater &lt;&gt; "", skater, goalie),
  IF(OR($E517="", AC$2="", val=""), "", val * AC$1)
)</f>
        <v/>
      </c>
      <c r="AD517" s="34" t="str">
        <f t="shared" si="517"/>
        <v/>
      </c>
      <c r="AE517" s="34" t="str">
        <f t="shared" si="517"/>
        <v/>
      </c>
      <c r="AF517" s="34" t="str">
        <f t="shared" si="517"/>
        <v/>
      </c>
      <c r="AG517" s="34" t="str">
        <f t="shared" si="517"/>
        <v/>
      </c>
      <c r="AH517" s="34" t="str">
        <f t="shared" si="517"/>
        <v/>
      </c>
      <c r="AI517" s="34" t="str">
        <f t="shared" si="517"/>
        <v/>
      </c>
      <c r="AJ517" s="34" t="str">
        <f t="shared" si="517"/>
        <v/>
      </c>
      <c r="AK517" s="34" t="str">
        <f t="shared" si="517"/>
        <v/>
      </c>
      <c r="AL517" s="34" t="str">
        <f t="shared" si="517"/>
        <v/>
      </c>
      <c r="AM517" s="34" t="str">
        <f t="shared" si="517"/>
        <v/>
      </c>
      <c r="AN517" s="34" t="str">
        <f t="shared" si="517"/>
        <v/>
      </c>
      <c r="AO517" s="34" t="str">
        <f t="shared" si="517"/>
        <v/>
      </c>
      <c r="AP517" s="34" t="str">
        <f t="shared" si="517"/>
        <v/>
      </c>
      <c r="AQ517" s="76" t="s">
        <v>557</v>
      </c>
      <c r="AR517" s="77"/>
      <c r="AS517" s="77"/>
      <c r="AT517" s="77"/>
      <c r="AU517" s="77"/>
      <c r="AV517" s="77"/>
      <c r="AW517" s="77"/>
      <c r="AX517" s="77"/>
      <c r="AY517" s="77"/>
      <c r="AZ517" s="77"/>
      <c r="BA517" s="77"/>
      <c r="BB517" s="77"/>
      <c r="BC517" s="77"/>
      <c r="BD517" s="77"/>
      <c r="BE517" s="77"/>
      <c r="BF517" s="77"/>
      <c r="BG517" s="77"/>
      <c r="BH517" s="77"/>
      <c r="BI517" s="77"/>
      <c r="BJ517" s="77"/>
      <c r="BK517" s="77"/>
      <c r="BL517" s="77"/>
      <c r="BM517" s="78"/>
    </row>
    <row r="518">
      <c r="A518" s="79">
        <v>2.642857142857143</v>
      </c>
      <c r="B518" s="79" t="b">
        <v>0</v>
      </c>
      <c r="C518" s="79" t="b">
        <f t="shared" si="3"/>
        <v>0</v>
      </c>
      <c r="D518" s="80" t="s">
        <v>1565</v>
      </c>
      <c r="E518" s="81" t="s">
        <v>1148</v>
      </c>
      <c r="F518" s="82" t="s">
        <v>279</v>
      </c>
      <c r="G518" s="35" t="s">
        <v>830</v>
      </c>
      <c r="H518" s="37">
        <v>-9.635541481661004</v>
      </c>
      <c r="I518" s="37">
        <v>-4.2476613567482655</v>
      </c>
      <c r="J518" s="83" t="s">
        <v>2186</v>
      </c>
      <c r="K518" s="35">
        <v>34.2</v>
      </c>
      <c r="L518" s="79">
        <v>75.39044117647059</v>
      </c>
      <c r="M518" s="84">
        <v>34.0</v>
      </c>
      <c r="N518" s="84">
        <v>7.0</v>
      </c>
      <c r="O518" s="85">
        <v>-0.6260896341727492</v>
      </c>
      <c r="P518" s="85">
        <v>-1.134441577204968</v>
      </c>
      <c r="Q518" s="85">
        <v>-0.5856072766802428</v>
      </c>
      <c r="R518" s="85">
        <v>-1.7253155579772095</v>
      </c>
      <c r="S518" s="85">
        <v>-1.074393546794542</v>
      </c>
      <c r="T518" s="85">
        <v>-0.42116964054813677</v>
      </c>
      <c r="U518" s="85">
        <v>-0.9643458572167563</v>
      </c>
      <c r="V518" s="85">
        <v>0.0</v>
      </c>
      <c r="W518" s="85">
        <v>-1.7533859839815187</v>
      </c>
      <c r="X518" s="85">
        <v>-1.3507924070848822</v>
      </c>
      <c r="Y518" s="50" t="s">
        <v>69</v>
      </c>
      <c r="Z518" s="50" t="s">
        <v>69</v>
      </c>
      <c r="AA518" s="50" t="s">
        <v>69</v>
      </c>
      <c r="AB518" s="50" t="s">
        <v>69</v>
      </c>
      <c r="AC518" s="34" t="str">
        <f t="shared" ref="AC518:AP518" si="518">LET(
  skater, IFERROR(INDEX(AllProj, MATCH($E518, AllProjNames, 0), MATCH(AC$2, AllProjCats, 0) + 1), ""),
  goalie, IFERROR(INDEX(AllGProj, MATCH($E518, AllGProjNames, 0), MATCH(AC$2, AllGProjCats, 0) + 1), ""),
  val, IF(skater &lt;&gt; "", skater, goalie),
  IF(OR($E518="", AC$2="", val=""), "", val * AC$1)
)</f>
        <v/>
      </c>
      <c r="AD518" s="34" t="str">
        <f t="shared" si="518"/>
        <v/>
      </c>
      <c r="AE518" s="34" t="str">
        <f t="shared" si="518"/>
        <v/>
      </c>
      <c r="AF518" s="34" t="str">
        <f t="shared" si="518"/>
        <v/>
      </c>
      <c r="AG518" s="34" t="str">
        <f t="shared" si="518"/>
        <v/>
      </c>
      <c r="AH518" s="34" t="str">
        <f t="shared" si="518"/>
        <v/>
      </c>
      <c r="AI518" s="34" t="str">
        <f t="shared" si="518"/>
        <v/>
      </c>
      <c r="AJ518" s="34" t="str">
        <f t="shared" si="518"/>
        <v/>
      </c>
      <c r="AK518" s="34" t="str">
        <f t="shared" si="518"/>
        <v/>
      </c>
      <c r="AL518" s="34" t="str">
        <f t="shared" si="518"/>
        <v/>
      </c>
      <c r="AM518" s="34" t="str">
        <f t="shared" si="518"/>
        <v/>
      </c>
      <c r="AN518" s="34" t="str">
        <f t="shared" si="518"/>
        <v/>
      </c>
      <c r="AO518" s="34" t="str">
        <f t="shared" si="518"/>
        <v/>
      </c>
      <c r="AP518" s="34" t="str">
        <f t="shared" si="518"/>
        <v/>
      </c>
      <c r="AQ518" s="76" t="s">
        <v>558</v>
      </c>
      <c r="AR518" s="77"/>
      <c r="AS518" s="77"/>
      <c r="AT518" s="77"/>
      <c r="AU518" s="77"/>
      <c r="AV518" s="77"/>
      <c r="AW518" s="77"/>
      <c r="AX518" s="77"/>
      <c r="AY518" s="77"/>
      <c r="AZ518" s="77"/>
      <c r="BA518" s="77"/>
      <c r="BB518" s="77"/>
      <c r="BC518" s="77"/>
      <c r="BD518" s="77"/>
      <c r="BE518" s="77"/>
      <c r="BF518" s="77"/>
      <c r="BG518" s="77"/>
      <c r="BH518" s="77"/>
      <c r="BI518" s="77"/>
      <c r="BJ518" s="77"/>
      <c r="BK518" s="77"/>
      <c r="BL518" s="77"/>
      <c r="BM518" s="78"/>
    </row>
    <row r="519">
      <c r="A519" s="41">
        <v>2.5714285714285716</v>
      </c>
      <c r="B519" s="41" t="b">
        <v>0</v>
      </c>
      <c r="C519" s="41" t="b">
        <f t="shared" si="3"/>
        <v>0</v>
      </c>
      <c r="D519" s="42" t="s">
        <v>1565</v>
      </c>
      <c r="E519" s="43" t="s">
        <v>980</v>
      </c>
      <c r="F519" s="44" t="s">
        <v>1429</v>
      </c>
      <c r="G519" s="29" t="s">
        <v>832</v>
      </c>
      <c r="H519" s="32">
        <v>-9.640415665930123</v>
      </c>
      <c r="I519" s="32">
        <v>-4.198278057202265</v>
      </c>
      <c r="J519" s="45" t="s">
        <v>2187</v>
      </c>
      <c r="K519" s="29">
        <v>25.9</v>
      </c>
      <c r="L519" s="41">
        <v>82.66666666666667</v>
      </c>
      <c r="M519" s="46">
        <v>24.0</v>
      </c>
      <c r="N519" s="46">
        <v>7.0</v>
      </c>
      <c r="O519" s="47">
        <v>-1.0808421348368482</v>
      </c>
      <c r="P519" s="47">
        <v>-0.8411412137047665</v>
      </c>
      <c r="Q519" s="94" t="s">
        <v>69</v>
      </c>
      <c r="R519" s="47">
        <v>-2.4487442928950243</v>
      </c>
      <c r="S519" s="47">
        <v>-0.6919828418451532</v>
      </c>
      <c r="T519" s="94" t="s">
        <v>69</v>
      </c>
      <c r="U519" s="47">
        <v>-1.1572033510608175</v>
      </c>
      <c r="V519" s="94" t="s">
        <v>69</v>
      </c>
      <c r="W519" s="47">
        <v>-1.6578922625853507</v>
      </c>
      <c r="X519" s="47">
        <v>-1.7626095690021615</v>
      </c>
      <c r="Y519" s="50" t="s">
        <v>69</v>
      </c>
      <c r="Z519" s="50" t="s">
        <v>69</v>
      </c>
      <c r="AA519" s="50" t="s">
        <v>69</v>
      </c>
      <c r="AB519" s="50" t="s">
        <v>69</v>
      </c>
      <c r="AC519" s="34" t="str">
        <f t="shared" ref="AC519:AP519" si="519">LET(
  skater, IFERROR(INDEX(AllProj, MATCH($E519, AllProjNames, 0), MATCH(AC$2, AllProjCats, 0) + 1), ""),
  goalie, IFERROR(INDEX(AllGProj, MATCH($E519, AllGProjNames, 0), MATCH(AC$2, AllGProjCats, 0) + 1), ""),
  val, IF(skater &lt;&gt; "", skater, goalie),
  IF(OR($E519="", AC$2="", val=""), "", val * AC$1)
)</f>
        <v/>
      </c>
      <c r="AD519" s="34" t="str">
        <f t="shared" si="519"/>
        <v/>
      </c>
      <c r="AE519" s="34" t="str">
        <f t="shared" si="519"/>
        <v/>
      </c>
      <c r="AF519" s="34" t="str">
        <f t="shared" si="519"/>
        <v/>
      </c>
      <c r="AG519" s="34" t="str">
        <f t="shared" si="519"/>
        <v/>
      </c>
      <c r="AH519" s="34" t="str">
        <f t="shared" si="519"/>
        <v/>
      </c>
      <c r="AI519" s="34" t="str">
        <f t="shared" si="519"/>
        <v/>
      </c>
      <c r="AJ519" s="34" t="str">
        <f t="shared" si="519"/>
        <v/>
      </c>
      <c r="AK519" s="34" t="str">
        <f t="shared" si="519"/>
        <v/>
      </c>
      <c r="AL519" s="34" t="str">
        <f t="shared" si="519"/>
        <v/>
      </c>
      <c r="AM519" s="34" t="str">
        <f t="shared" si="519"/>
        <v/>
      </c>
      <c r="AN519" s="34" t="str">
        <f t="shared" si="519"/>
        <v/>
      </c>
      <c r="AO519" s="34" t="str">
        <f t="shared" si="519"/>
        <v/>
      </c>
      <c r="AP519" s="34" t="str">
        <f t="shared" si="519"/>
        <v/>
      </c>
      <c r="AQ519" s="76" t="s">
        <v>559</v>
      </c>
      <c r="AR519" s="77"/>
      <c r="AS519" s="77"/>
      <c r="AT519" s="77"/>
      <c r="AU519" s="77"/>
      <c r="AV519" s="77"/>
      <c r="AW519" s="77"/>
      <c r="AX519" s="77"/>
      <c r="AY519" s="77"/>
      <c r="AZ519" s="77"/>
      <c r="BA519" s="77"/>
      <c r="BB519" s="77"/>
      <c r="BC519" s="77"/>
      <c r="BD519" s="77"/>
      <c r="BE519" s="77"/>
      <c r="BF519" s="77"/>
      <c r="BG519" s="77"/>
      <c r="BH519" s="77"/>
      <c r="BI519" s="77"/>
      <c r="BJ519" s="77"/>
      <c r="BK519" s="77"/>
      <c r="BL519" s="77"/>
      <c r="BM519" s="78"/>
    </row>
    <row r="520">
      <c r="A520" s="79">
        <v>2.5714285714285716</v>
      </c>
      <c r="B520" s="79" t="b">
        <v>0</v>
      </c>
      <c r="C520" s="79" t="b">
        <f t="shared" si="3"/>
        <v>0</v>
      </c>
      <c r="D520" s="80" t="s">
        <v>1565</v>
      </c>
      <c r="E520" s="81" t="s">
        <v>1030</v>
      </c>
      <c r="F520" s="82" t="s">
        <v>854</v>
      </c>
      <c r="G520" s="35" t="s">
        <v>284</v>
      </c>
      <c r="H520" s="37">
        <v>-9.720783789503956</v>
      </c>
      <c r="I520" s="37">
        <v>-4.682717769320871</v>
      </c>
      <c r="J520" s="83" t="s">
        <v>2188</v>
      </c>
      <c r="K520" s="35">
        <v>24.2</v>
      </c>
      <c r="L520" s="79">
        <v>75.87791666666666</v>
      </c>
      <c r="M520" s="84">
        <v>16.0</v>
      </c>
      <c r="N520" s="84">
        <v>6.0</v>
      </c>
      <c r="O520" s="85">
        <v>-1.0123573360704152</v>
      </c>
      <c r="P520" s="85">
        <v>-1.1659378020094486</v>
      </c>
      <c r="Q520" s="85">
        <v>-0.08990421663108013</v>
      </c>
      <c r="R520" s="85">
        <v>-1.7114806964229234</v>
      </c>
      <c r="S520" s="85">
        <v>-1.3806313598213134</v>
      </c>
      <c r="T520" s="85">
        <v>-0.7729298684815441</v>
      </c>
      <c r="U520" s="85">
        <v>-1.375119099879645</v>
      </c>
      <c r="V520" s="85">
        <v>0.11250146457005683</v>
      </c>
      <c r="W520" s="85">
        <v>-0.42555633158071837</v>
      </c>
      <c r="X520" s="85">
        <v>-1.8993685431769256</v>
      </c>
      <c r="Y520" s="50" t="s">
        <v>69</v>
      </c>
      <c r="Z520" s="50" t="s">
        <v>69</v>
      </c>
      <c r="AA520" s="50" t="s">
        <v>69</v>
      </c>
      <c r="AB520" s="50" t="s">
        <v>69</v>
      </c>
      <c r="AC520" s="34" t="str">
        <f t="shared" ref="AC520:AP520" si="520">LET(
  skater, IFERROR(INDEX(AllProj, MATCH($E520, AllProjNames, 0), MATCH(AC$2, AllProjCats, 0) + 1), ""),
  goalie, IFERROR(INDEX(AllGProj, MATCH($E520, AllGProjNames, 0), MATCH(AC$2, AllGProjCats, 0) + 1), ""),
  val, IF(skater &lt;&gt; "", skater, goalie),
  IF(OR($E520="", AC$2="", val=""), "", val * AC$1)
)</f>
        <v/>
      </c>
      <c r="AD520" s="34" t="str">
        <f t="shared" si="520"/>
        <v/>
      </c>
      <c r="AE520" s="34" t="str">
        <f t="shared" si="520"/>
        <v/>
      </c>
      <c r="AF520" s="34" t="str">
        <f t="shared" si="520"/>
        <v/>
      </c>
      <c r="AG520" s="34" t="str">
        <f t="shared" si="520"/>
        <v/>
      </c>
      <c r="AH520" s="34" t="str">
        <f t="shared" si="520"/>
        <v/>
      </c>
      <c r="AI520" s="34" t="str">
        <f t="shared" si="520"/>
        <v/>
      </c>
      <c r="AJ520" s="34" t="str">
        <f t="shared" si="520"/>
        <v/>
      </c>
      <c r="AK520" s="34" t="str">
        <f t="shared" si="520"/>
        <v/>
      </c>
      <c r="AL520" s="34" t="str">
        <f t="shared" si="520"/>
        <v/>
      </c>
      <c r="AM520" s="34" t="str">
        <f t="shared" si="520"/>
        <v/>
      </c>
      <c r="AN520" s="34" t="str">
        <f t="shared" si="520"/>
        <v/>
      </c>
      <c r="AO520" s="34" t="str">
        <f t="shared" si="520"/>
        <v/>
      </c>
      <c r="AP520" s="34" t="str">
        <f t="shared" si="520"/>
        <v/>
      </c>
      <c r="AQ520" s="76" t="s">
        <v>560</v>
      </c>
      <c r="AR520" s="77"/>
      <c r="AS520" s="77"/>
      <c r="AT520" s="77"/>
      <c r="AU520" s="77"/>
      <c r="AV520" s="77"/>
      <c r="AW520" s="77"/>
      <c r="AX520" s="77"/>
      <c r="AY520" s="77"/>
      <c r="AZ520" s="77"/>
      <c r="BA520" s="77"/>
      <c r="BB520" s="77"/>
      <c r="BC520" s="77"/>
      <c r="BD520" s="77"/>
      <c r="BE520" s="77"/>
      <c r="BF520" s="77"/>
      <c r="BG520" s="77"/>
      <c r="BH520" s="77"/>
      <c r="BI520" s="77"/>
      <c r="BJ520" s="77"/>
      <c r="BK520" s="77"/>
      <c r="BL520" s="77"/>
      <c r="BM520" s="78"/>
    </row>
    <row r="521">
      <c r="A521" s="41">
        <v>2.5714285714285716</v>
      </c>
      <c r="B521" s="41" t="b">
        <v>0</v>
      </c>
      <c r="C521" s="41" t="b">
        <f t="shared" si="3"/>
        <v>0</v>
      </c>
      <c r="D521" s="42" t="s">
        <v>1565</v>
      </c>
      <c r="E521" s="43" t="s">
        <v>1049</v>
      </c>
      <c r="F521" s="44" t="s">
        <v>1043</v>
      </c>
      <c r="G521" s="29" t="s">
        <v>836</v>
      </c>
      <c r="H521" s="32">
        <v>-9.726016327152589</v>
      </c>
      <c r="I521" s="32">
        <v>-4.283878718424732</v>
      </c>
      <c r="J521" s="45" t="s">
        <v>2189</v>
      </c>
      <c r="K521" s="29">
        <v>31.2</v>
      </c>
      <c r="L521" s="41">
        <v>77.66125</v>
      </c>
      <c r="M521" s="46">
        <v>28.0</v>
      </c>
      <c r="N521" s="46">
        <v>6.0</v>
      </c>
      <c r="O521" s="47">
        <v>-0.6537558671422262</v>
      </c>
      <c r="P521" s="47">
        <v>-1.150649170181326</v>
      </c>
      <c r="Q521" s="47">
        <v>0.30063123282164794</v>
      </c>
      <c r="R521" s="47">
        <v>-2.0028094481723375</v>
      </c>
      <c r="S521" s="47">
        <v>-0.6748053259465108</v>
      </c>
      <c r="T521" s="47">
        <v>-0.7864290952838419</v>
      </c>
      <c r="U521" s="47">
        <v>-0.6668579341339697</v>
      </c>
      <c r="V521" s="47">
        <v>0.0</v>
      </c>
      <c r="W521" s="47">
        <v>-2.072117074300827</v>
      </c>
      <c r="X521" s="47">
        <v>-2.0192236448131973</v>
      </c>
      <c r="Y521" s="50" t="s">
        <v>69</v>
      </c>
      <c r="Z521" s="50" t="s">
        <v>69</v>
      </c>
      <c r="AA521" s="50" t="s">
        <v>69</v>
      </c>
      <c r="AB521" s="50" t="s">
        <v>69</v>
      </c>
      <c r="AC521" s="34" t="str">
        <f t="shared" ref="AC521:AP521" si="521">LET(
  skater, IFERROR(INDEX(AllProj, MATCH($E521, AllProjNames, 0), MATCH(AC$2, AllProjCats, 0) + 1), ""),
  goalie, IFERROR(INDEX(AllGProj, MATCH($E521, AllGProjNames, 0), MATCH(AC$2, AllGProjCats, 0) + 1), ""),
  val, IF(skater &lt;&gt; "", skater, goalie),
  IF(OR($E521="", AC$2="", val=""), "", val * AC$1)
)</f>
        <v/>
      </c>
      <c r="AD521" s="34" t="str">
        <f t="shared" si="521"/>
        <v/>
      </c>
      <c r="AE521" s="34" t="str">
        <f t="shared" si="521"/>
        <v/>
      </c>
      <c r="AF521" s="34" t="str">
        <f t="shared" si="521"/>
        <v/>
      </c>
      <c r="AG521" s="34" t="str">
        <f t="shared" si="521"/>
        <v/>
      </c>
      <c r="AH521" s="34" t="str">
        <f t="shared" si="521"/>
        <v/>
      </c>
      <c r="AI521" s="34" t="str">
        <f t="shared" si="521"/>
        <v/>
      </c>
      <c r="AJ521" s="34" t="str">
        <f t="shared" si="521"/>
        <v/>
      </c>
      <c r="AK521" s="34" t="str">
        <f t="shared" si="521"/>
        <v/>
      </c>
      <c r="AL521" s="34" t="str">
        <f t="shared" si="521"/>
        <v/>
      </c>
      <c r="AM521" s="34" t="str">
        <f t="shared" si="521"/>
        <v/>
      </c>
      <c r="AN521" s="34" t="str">
        <f t="shared" si="521"/>
        <v/>
      </c>
      <c r="AO521" s="34" t="str">
        <f t="shared" si="521"/>
        <v/>
      </c>
      <c r="AP521" s="34" t="str">
        <f t="shared" si="521"/>
        <v/>
      </c>
      <c r="AQ521" s="76" t="s">
        <v>561</v>
      </c>
      <c r="AR521" s="77"/>
      <c r="AS521" s="77"/>
      <c r="AT521" s="77"/>
      <c r="AU521" s="77"/>
      <c r="AV521" s="77"/>
      <c r="AW521" s="77"/>
      <c r="AX521" s="77"/>
      <c r="AY521" s="77"/>
      <c r="AZ521" s="77"/>
      <c r="BA521" s="77"/>
      <c r="BB521" s="77"/>
      <c r="BC521" s="77"/>
      <c r="BD521" s="77"/>
      <c r="BE521" s="77"/>
      <c r="BF521" s="77"/>
      <c r="BG521" s="77"/>
      <c r="BH521" s="77"/>
      <c r="BI521" s="77"/>
      <c r="BJ521" s="77"/>
      <c r="BK521" s="77"/>
      <c r="BL521" s="77"/>
      <c r="BM521" s="78"/>
    </row>
    <row r="522">
      <c r="A522" s="79">
        <v>2.642857142857143</v>
      </c>
      <c r="B522" s="79" t="b">
        <v>0</v>
      </c>
      <c r="C522" s="79" t="b">
        <f t="shared" si="3"/>
        <v>0</v>
      </c>
      <c r="D522" s="80" t="s">
        <v>1565</v>
      </c>
      <c r="E522" s="81" t="s">
        <v>1234</v>
      </c>
      <c r="F522" s="82" t="s">
        <v>1473</v>
      </c>
      <c r="G522" s="35" t="s">
        <v>837</v>
      </c>
      <c r="H522" s="37">
        <v>-9.729125792457321</v>
      </c>
      <c r="I522" s="37">
        <v>-4.19926702052842</v>
      </c>
      <c r="J522" s="83" t="s">
        <v>2190</v>
      </c>
      <c r="K522" s="35">
        <v>30.9</v>
      </c>
      <c r="L522" s="79">
        <v>76.58624999999999</v>
      </c>
      <c r="M522" s="84">
        <v>25.0</v>
      </c>
      <c r="N522" s="84">
        <v>6.0</v>
      </c>
      <c r="O522" s="85">
        <v>-1.8255867839810305</v>
      </c>
      <c r="P522" s="85">
        <v>-0.49898869541961455</v>
      </c>
      <c r="Q522" s="85">
        <v>-2.2184729839521515</v>
      </c>
      <c r="R522" s="85">
        <v>-0.6074922181388832</v>
      </c>
      <c r="S522" s="85">
        <v>-0.7905967563952796</v>
      </c>
      <c r="T522" s="85">
        <v>-0.7830888324932027</v>
      </c>
      <c r="U522" s="85">
        <v>-0.5865915495064106</v>
      </c>
      <c r="V522" s="85">
        <v>0.0</v>
      </c>
      <c r="W522" s="85">
        <v>-1.9335414990022592</v>
      </c>
      <c r="X522" s="85">
        <v>-0.4847664735684873</v>
      </c>
      <c r="Y522" s="50" t="s">
        <v>69</v>
      </c>
      <c r="Z522" s="50" t="s">
        <v>69</v>
      </c>
      <c r="AA522" s="50" t="s">
        <v>69</v>
      </c>
      <c r="AB522" s="50" t="s">
        <v>69</v>
      </c>
      <c r="AC522" s="34" t="str">
        <f t="shared" ref="AC522:AP522" si="522">LET(
  skater, IFERROR(INDEX(AllProj, MATCH($E522, AllProjNames, 0), MATCH(AC$2, AllProjCats, 0) + 1), ""),
  goalie, IFERROR(INDEX(AllGProj, MATCH($E522, AllGProjNames, 0), MATCH(AC$2, AllGProjCats, 0) + 1), ""),
  val, IF(skater &lt;&gt; "", skater, goalie),
  IF(OR($E522="", AC$2="", val=""), "", val * AC$1)
)</f>
        <v/>
      </c>
      <c r="AD522" s="34" t="str">
        <f t="shared" si="522"/>
        <v/>
      </c>
      <c r="AE522" s="34" t="str">
        <f t="shared" si="522"/>
        <v/>
      </c>
      <c r="AF522" s="34" t="str">
        <f t="shared" si="522"/>
        <v/>
      </c>
      <c r="AG522" s="34" t="str">
        <f t="shared" si="522"/>
        <v/>
      </c>
      <c r="AH522" s="34" t="str">
        <f t="shared" si="522"/>
        <v/>
      </c>
      <c r="AI522" s="34" t="str">
        <f t="shared" si="522"/>
        <v/>
      </c>
      <c r="AJ522" s="34" t="str">
        <f t="shared" si="522"/>
        <v/>
      </c>
      <c r="AK522" s="34" t="str">
        <f t="shared" si="522"/>
        <v/>
      </c>
      <c r="AL522" s="34" t="str">
        <f t="shared" si="522"/>
        <v/>
      </c>
      <c r="AM522" s="34" t="str">
        <f t="shared" si="522"/>
        <v/>
      </c>
      <c r="AN522" s="34" t="str">
        <f t="shared" si="522"/>
        <v/>
      </c>
      <c r="AO522" s="34" t="str">
        <f t="shared" si="522"/>
        <v/>
      </c>
      <c r="AP522" s="34" t="str">
        <f t="shared" si="522"/>
        <v/>
      </c>
      <c r="AQ522" s="76" t="s">
        <v>562</v>
      </c>
      <c r="AR522" s="77"/>
      <c r="AS522" s="77"/>
      <c r="AT522" s="77"/>
      <c r="AU522" s="77"/>
      <c r="AV522" s="77"/>
      <c r="AW522" s="77"/>
      <c r="AX522" s="77"/>
      <c r="AY522" s="77"/>
      <c r="AZ522" s="77"/>
      <c r="BA522" s="77"/>
      <c r="BB522" s="77"/>
      <c r="BC522" s="77"/>
      <c r="BD522" s="77"/>
      <c r="BE522" s="77"/>
      <c r="BF522" s="77"/>
      <c r="BG522" s="77"/>
      <c r="BH522" s="77"/>
      <c r="BI522" s="77"/>
      <c r="BJ522" s="77"/>
      <c r="BK522" s="77"/>
      <c r="BL522" s="77"/>
      <c r="BM522" s="78"/>
    </row>
    <row r="523">
      <c r="A523" s="41">
        <v>2.5714285714285716</v>
      </c>
      <c r="B523" s="41" t="b">
        <v>0</v>
      </c>
      <c r="C523" s="41" t="b">
        <f t="shared" si="3"/>
        <v>0</v>
      </c>
      <c r="D523" s="42" t="s">
        <v>1565</v>
      </c>
      <c r="E523" s="43" t="s">
        <v>986</v>
      </c>
      <c r="F523" s="44" t="s">
        <v>1419</v>
      </c>
      <c r="G523" s="29" t="s">
        <v>835</v>
      </c>
      <c r="H523" s="32">
        <v>-9.794300246690096</v>
      </c>
      <c r="I523" s="32">
        <v>-4.406420121777357</v>
      </c>
      <c r="J523" s="45" t="s">
        <v>2191</v>
      </c>
      <c r="K523" s="29">
        <v>21.4</v>
      </c>
      <c r="L523" s="41">
        <v>77.0</v>
      </c>
      <c r="M523" s="46">
        <v>23.0</v>
      </c>
      <c r="N523" s="46">
        <v>7.0</v>
      </c>
      <c r="O523" s="47">
        <v>-1.1479128728801185</v>
      </c>
      <c r="P523" s="47">
        <v>-1.864242467728156</v>
      </c>
      <c r="Q523" s="94" t="s">
        <v>69</v>
      </c>
      <c r="R523" s="47">
        <v>-1.868481823608711</v>
      </c>
      <c r="S523" s="94" t="s">
        <v>69</v>
      </c>
      <c r="T523" s="94" t="s">
        <v>69</v>
      </c>
      <c r="U523" s="47">
        <v>-0.691024998332775</v>
      </c>
      <c r="V523" s="94" t="s">
        <v>69</v>
      </c>
      <c r="W523" s="47">
        <v>-2.026060697390228</v>
      </c>
      <c r="X523" s="47">
        <v>-2.196577386750107</v>
      </c>
      <c r="Y523" s="50" t="s">
        <v>69</v>
      </c>
      <c r="Z523" s="50" t="s">
        <v>69</v>
      </c>
      <c r="AA523" s="50" t="s">
        <v>69</v>
      </c>
      <c r="AB523" s="50" t="s">
        <v>69</v>
      </c>
      <c r="AC523" s="34" t="str">
        <f t="shared" ref="AC523:AP523" si="523">LET(
  skater, IFERROR(INDEX(AllProj, MATCH($E523, AllProjNames, 0), MATCH(AC$2, AllProjCats, 0) + 1), ""),
  goalie, IFERROR(INDEX(AllGProj, MATCH($E523, AllGProjNames, 0), MATCH(AC$2, AllGProjCats, 0) + 1), ""),
  val, IF(skater &lt;&gt; "", skater, goalie),
  IF(OR($E523="", AC$2="", val=""), "", val * AC$1)
)</f>
        <v/>
      </c>
      <c r="AD523" s="34" t="str">
        <f t="shared" si="523"/>
        <v/>
      </c>
      <c r="AE523" s="34" t="str">
        <f t="shared" si="523"/>
        <v/>
      </c>
      <c r="AF523" s="34" t="str">
        <f t="shared" si="523"/>
        <v/>
      </c>
      <c r="AG523" s="34" t="str">
        <f t="shared" si="523"/>
        <v/>
      </c>
      <c r="AH523" s="34" t="str">
        <f t="shared" si="523"/>
        <v/>
      </c>
      <c r="AI523" s="34" t="str">
        <f t="shared" si="523"/>
        <v/>
      </c>
      <c r="AJ523" s="34" t="str">
        <f t="shared" si="523"/>
        <v/>
      </c>
      <c r="AK523" s="34" t="str">
        <f t="shared" si="523"/>
        <v/>
      </c>
      <c r="AL523" s="34" t="str">
        <f t="shared" si="523"/>
        <v/>
      </c>
      <c r="AM523" s="34" t="str">
        <f t="shared" si="523"/>
        <v/>
      </c>
      <c r="AN523" s="34" t="str">
        <f t="shared" si="523"/>
        <v/>
      </c>
      <c r="AO523" s="34" t="str">
        <f t="shared" si="523"/>
        <v/>
      </c>
      <c r="AP523" s="34" t="str">
        <f t="shared" si="523"/>
        <v/>
      </c>
      <c r="AQ523" s="76" t="s">
        <v>563</v>
      </c>
      <c r="AR523" s="77"/>
      <c r="AS523" s="77"/>
      <c r="AT523" s="77"/>
      <c r="AU523" s="77"/>
      <c r="AV523" s="77"/>
      <c r="AW523" s="77"/>
      <c r="AX523" s="77"/>
      <c r="AY523" s="77"/>
      <c r="AZ523" s="77"/>
      <c r="BA523" s="77"/>
      <c r="BB523" s="77"/>
      <c r="BC523" s="77"/>
      <c r="BD523" s="77"/>
      <c r="BE523" s="77"/>
      <c r="BF523" s="77"/>
      <c r="BG523" s="77"/>
      <c r="BH523" s="77"/>
      <c r="BI523" s="77"/>
      <c r="BJ523" s="77"/>
      <c r="BK523" s="77"/>
      <c r="BL523" s="77"/>
      <c r="BM523" s="78"/>
    </row>
    <row r="524">
      <c r="A524" s="79">
        <v>2.5714285714285716</v>
      </c>
      <c r="B524" s="79" t="b">
        <v>0</v>
      </c>
      <c r="C524" s="79" t="b">
        <f t="shared" si="3"/>
        <v>0</v>
      </c>
      <c r="D524" s="80" t="s">
        <v>1565</v>
      </c>
      <c r="E524" s="81" t="s">
        <v>1001</v>
      </c>
      <c r="F524" s="82" t="s">
        <v>1505</v>
      </c>
      <c r="G524" s="35" t="s">
        <v>837</v>
      </c>
      <c r="H524" s="37">
        <v>-9.805239082661986</v>
      </c>
      <c r="I524" s="37">
        <v>-4.275380310733085</v>
      </c>
      <c r="J524" s="83" t="s">
        <v>2192</v>
      </c>
      <c r="K524" s="35">
        <v>28.5</v>
      </c>
      <c r="L524" s="79">
        <v>76.28571428571429</v>
      </c>
      <c r="M524" s="84">
        <v>30.0</v>
      </c>
      <c r="N524" s="84">
        <v>5.0</v>
      </c>
      <c r="O524" s="85">
        <v>-2.16116009403381</v>
      </c>
      <c r="P524" s="85">
        <v>-1.6229668885480368</v>
      </c>
      <c r="Q524" s="85">
        <v>-1.9269690315723351</v>
      </c>
      <c r="R524" s="85">
        <v>-1.4954559504960816</v>
      </c>
      <c r="S524" s="85">
        <v>-1.72461069241107</v>
      </c>
      <c r="T524" s="85">
        <v>-0.16952108464970286</v>
      </c>
      <c r="U524" s="85">
        <v>-1.969948505487997</v>
      </c>
      <c r="V524" s="85">
        <v>0.0</v>
      </c>
      <c r="W524" s="85">
        <v>-0.28426197985323864</v>
      </c>
      <c r="X524" s="85">
        <v>1.5496551443902857</v>
      </c>
      <c r="Y524" s="50" t="s">
        <v>69</v>
      </c>
      <c r="Z524" s="50" t="s">
        <v>69</v>
      </c>
      <c r="AA524" s="50" t="s">
        <v>69</v>
      </c>
      <c r="AB524" s="50" t="s">
        <v>69</v>
      </c>
      <c r="AC524" s="34" t="str">
        <f t="shared" ref="AC524:AP524" si="524">LET(
  skater, IFERROR(INDEX(AllProj, MATCH($E524, AllProjNames, 0), MATCH(AC$2, AllProjCats, 0) + 1), ""),
  goalie, IFERROR(INDEX(AllGProj, MATCH($E524, AllGProjNames, 0), MATCH(AC$2, AllGProjCats, 0) + 1), ""),
  val, IF(skater &lt;&gt; "", skater, goalie),
  IF(OR($E524="", AC$2="", val=""), "", val * AC$1)
)</f>
        <v/>
      </c>
      <c r="AD524" s="34" t="str">
        <f t="shared" si="524"/>
        <v/>
      </c>
      <c r="AE524" s="34" t="str">
        <f t="shared" si="524"/>
        <v/>
      </c>
      <c r="AF524" s="34" t="str">
        <f t="shared" si="524"/>
        <v/>
      </c>
      <c r="AG524" s="34" t="str">
        <f t="shared" si="524"/>
        <v/>
      </c>
      <c r="AH524" s="34" t="str">
        <f t="shared" si="524"/>
        <v/>
      </c>
      <c r="AI524" s="34" t="str">
        <f t="shared" si="524"/>
        <v/>
      </c>
      <c r="AJ524" s="34" t="str">
        <f t="shared" si="524"/>
        <v/>
      </c>
      <c r="AK524" s="34" t="str">
        <f t="shared" si="524"/>
        <v/>
      </c>
      <c r="AL524" s="34" t="str">
        <f t="shared" si="524"/>
        <v/>
      </c>
      <c r="AM524" s="34" t="str">
        <f t="shared" si="524"/>
        <v/>
      </c>
      <c r="AN524" s="34" t="str">
        <f t="shared" si="524"/>
        <v/>
      </c>
      <c r="AO524" s="34" t="str">
        <f t="shared" si="524"/>
        <v/>
      </c>
      <c r="AP524" s="34" t="str">
        <f t="shared" si="524"/>
        <v/>
      </c>
      <c r="AQ524" s="76" t="s">
        <v>564</v>
      </c>
      <c r="AR524" s="77"/>
      <c r="AS524" s="77"/>
      <c r="AT524" s="77"/>
      <c r="AU524" s="77"/>
      <c r="AV524" s="77"/>
      <c r="AW524" s="77"/>
      <c r="AX524" s="77"/>
      <c r="AY524" s="77"/>
      <c r="AZ524" s="77"/>
      <c r="BA524" s="77"/>
      <c r="BB524" s="77"/>
      <c r="BC524" s="77"/>
      <c r="BD524" s="77"/>
      <c r="BE524" s="77"/>
      <c r="BF524" s="77"/>
      <c r="BG524" s="77"/>
      <c r="BH524" s="77"/>
      <c r="BI524" s="77"/>
      <c r="BJ524" s="77"/>
      <c r="BK524" s="77"/>
      <c r="BL524" s="77"/>
      <c r="BM524" s="78"/>
    </row>
    <row r="525">
      <c r="A525" s="41">
        <v>2.5714285714285716</v>
      </c>
      <c r="B525" s="41" t="b">
        <v>0</v>
      </c>
      <c r="C525" s="41" t="b">
        <f t="shared" si="3"/>
        <v>0</v>
      </c>
      <c r="D525" s="42" t="s">
        <v>1565</v>
      </c>
      <c r="E525" s="43" t="s">
        <v>1072</v>
      </c>
      <c r="F525" s="44" t="s">
        <v>1473</v>
      </c>
      <c r="G525" s="29" t="s">
        <v>830</v>
      </c>
      <c r="H525" s="32">
        <v>-9.80763125650567</v>
      </c>
      <c r="I525" s="32">
        <v>-4.419751131592932</v>
      </c>
      <c r="J525" s="45" t="s">
        <v>2193</v>
      </c>
      <c r="K525" s="29">
        <v>35.6</v>
      </c>
      <c r="L525" s="41">
        <v>80.71428571428571</v>
      </c>
      <c r="M525" s="46">
        <v>25.0</v>
      </c>
      <c r="N525" s="46">
        <v>6.0</v>
      </c>
      <c r="O525" s="47">
        <v>-1.5970472794198753</v>
      </c>
      <c r="P525" s="47">
        <v>-1.9640006398891667</v>
      </c>
      <c r="Q525" s="47">
        <v>-1.8465787155074742</v>
      </c>
      <c r="R525" s="47">
        <v>-1.2734167403099923</v>
      </c>
      <c r="S525" s="47">
        <v>-1.7106089588440747</v>
      </c>
      <c r="T525" s="47">
        <v>0.44813554304231407</v>
      </c>
      <c r="U525" s="47">
        <v>-1.9909791078667056</v>
      </c>
      <c r="V525" s="47">
        <v>0.5670691850501626</v>
      </c>
      <c r="W525" s="47">
        <v>0.47627467025787</v>
      </c>
      <c r="X525" s="47">
        <v>-0.916479213018729</v>
      </c>
      <c r="Y525" s="50" t="s">
        <v>69</v>
      </c>
      <c r="Z525" s="50" t="s">
        <v>69</v>
      </c>
      <c r="AA525" s="50" t="s">
        <v>69</v>
      </c>
      <c r="AB525" s="50" t="s">
        <v>69</v>
      </c>
      <c r="AC525" s="34" t="str">
        <f t="shared" ref="AC525:AP525" si="525">LET(
  skater, IFERROR(INDEX(AllProj, MATCH($E525, AllProjNames, 0), MATCH(AC$2, AllProjCats, 0) + 1), ""),
  goalie, IFERROR(INDEX(AllGProj, MATCH($E525, AllGProjNames, 0), MATCH(AC$2, AllGProjCats, 0) + 1), ""),
  val, IF(skater &lt;&gt; "", skater, goalie),
  IF(OR($E525="", AC$2="", val=""), "", val * AC$1)
)</f>
        <v/>
      </c>
      <c r="AD525" s="34" t="str">
        <f t="shared" si="525"/>
        <v/>
      </c>
      <c r="AE525" s="34" t="str">
        <f t="shared" si="525"/>
        <v/>
      </c>
      <c r="AF525" s="34" t="str">
        <f t="shared" si="525"/>
        <v/>
      </c>
      <c r="AG525" s="34" t="str">
        <f t="shared" si="525"/>
        <v/>
      </c>
      <c r="AH525" s="34" t="str">
        <f t="shared" si="525"/>
        <v/>
      </c>
      <c r="AI525" s="34" t="str">
        <f t="shared" si="525"/>
        <v/>
      </c>
      <c r="AJ525" s="34" t="str">
        <f t="shared" si="525"/>
        <v/>
      </c>
      <c r="AK525" s="34" t="str">
        <f t="shared" si="525"/>
        <v/>
      </c>
      <c r="AL525" s="34" t="str">
        <f t="shared" si="525"/>
        <v/>
      </c>
      <c r="AM525" s="34" t="str">
        <f t="shared" si="525"/>
        <v/>
      </c>
      <c r="AN525" s="34" t="str">
        <f t="shared" si="525"/>
        <v/>
      </c>
      <c r="AO525" s="34" t="str">
        <f t="shared" si="525"/>
        <v/>
      </c>
      <c r="AP525" s="34" t="str">
        <f t="shared" si="525"/>
        <v/>
      </c>
      <c r="AQ525" s="76" t="s">
        <v>565</v>
      </c>
      <c r="AR525" s="77"/>
      <c r="AS525" s="77"/>
      <c r="AT525" s="77"/>
      <c r="AU525" s="77"/>
      <c r="AV525" s="77"/>
      <c r="AW525" s="77"/>
      <c r="AX525" s="77"/>
      <c r="AY525" s="77"/>
      <c r="AZ525" s="77"/>
      <c r="BA525" s="77"/>
      <c r="BB525" s="77"/>
      <c r="BC525" s="77"/>
      <c r="BD525" s="77"/>
      <c r="BE525" s="77"/>
      <c r="BF525" s="77"/>
      <c r="BG525" s="77"/>
      <c r="BH525" s="77"/>
      <c r="BI525" s="77"/>
      <c r="BJ525" s="77"/>
      <c r="BK525" s="77"/>
      <c r="BL525" s="77"/>
      <c r="BM525" s="78"/>
    </row>
    <row r="526">
      <c r="A526" s="79">
        <v>2.642857142857143</v>
      </c>
      <c r="B526" s="79" t="b">
        <v>0</v>
      </c>
      <c r="C526" s="79" t="b">
        <f t="shared" si="3"/>
        <v>0</v>
      </c>
      <c r="D526" s="80" t="s">
        <v>1565</v>
      </c>
      <c r="E526" s="81" t="s">
        <v>1175</v>
      </c>
      <c r="F526" s="82" t="s">
        <v>1505</v>
      </c>
      <c r="G526" s="35" t="s">
        <v>837</v>
      </c>
      <c r="H526" s="37">
        <v>-9.815493714095107</v>
      </c>
      <c r="I526" s="37">
        <v>-4.285634942166205</v>
      </c>
      <c r="J526" s="83" t="s">
        <v>2194</v>
      </c>
      <c r="K526" s="35">
        <v>29.3</v>
      </c>
      <c r="L526" s="79">
        <v>79.39553571428571</v>
      </c>
      <c r="M526" s="84">
        <v>30.0</v>
      </c>
      <c r="N526" s="84">
        <v>5.0</v>
      </c>
      <c r="O526" s="85">
        <v>-2.177167216082733</v>
      </c>
      <c r="P526" s="85">
        <v>-0.43747139787952616</v>
      </c>
      <c r="Q526" s="85">
        <v>0.8257740743875537</v>
      </c>
      <c r="R526" s="85">
        <v>-1.621109653060872</v>
      </c>
      <c r="S526" s="85">
        <v>-1.6527391369272968</v>
      </c>
      <c r="T526" s="85">
        <v>-0.25487089798138723</v>
      </c>
      <c r="U526" s="85">
        <v>-2.3738133955552874</v>
      </c>
      <c r="V526" s="85">
        <v>0.0</v>
      </c>
      <c r="W526" s="85">
        <v>-1.9390110241241052</v>
      </c>
      <c r="X526" s="85">
        <v>-0.18508506687145362</v>
      </c>
      <c r="Y526" s="50" t="s">
        <v>69</v>
      </c>
      <c r="Z526" s="50" t="s">
        <v>69</v>
      </c>
      <c r="AA526" s="50" t="s">
        <v>69</v>
      </c>
      <c r="AB526" s="50" t="s">
        <v>69</v>
      </c>
      <c r="AC526" s="34" t="str">
        <f t="shared" ref="AC526:AP526" si="526">LET(
  skater, IFERROR(INDEX(AllProj, MATCH($E526, AllProjNames, 0), MATCH(AC$2, AllProjCats, 0) + 1), ""),
  goalie, IFERROR(INDEX(AllGProj, MATCH($E526, AllGProjNames, 0), MATCH(AC$2, AllGProjCats, 0) + 1), ""),
  val, IF(skater &lt;&gt; "", skater, goalie),
  IF(OR($E526="", AC$2="", val=""), "", val * AC$1)
)</f>
        <v/>
      </c>
      <c r="AD526" s="34" t="str">
        <f t="shared" si="526"/>
        <v/>
      </c>
      <c r="AE526" s="34" t="str">
        <f t="shared" si="526"/>
        <v/>
      </c>
      <c r="AF526" s="34" t="str">
        <f t="shared" si="526"/>
        <v/>
      </c>
      <c r="AG526" s="34" t="str">
        <f t="shared" si="526"/>
        <v/>
      </c>
      <c r="AH526" s="34" t="str">
        <f t="shared" si="526"/>
        <v/>
      </c>
      <c r="AI526" s="34" t="str">
        <f t="shared" si="526"/>
        <v/>
      </c>
      <c r="AJ526" s="34" t="str">
        <f t="shared" si="526"/>
        <v/>
      </c>
      <c r="AK526" s="34" t="str">
        <f t="shared" si="526"/>
        <v/>
      </c>
      <c r="AL526" s="34" t="str">
        <f t="shared" si="526"/>
        <v/>
      </c>
      <c r="AM526" s="34" t="str">
        <f t="shared" si="526"/>
        <v/>
      </c>
      <c r="AN526" s="34" t="str">
        <f t="shared" si="526"/>
        <v/>
      </c>
      <c r="AO526" s="34" t="str">
        <f t="shared" si="526"/>
        <v/>
      </c>
      <c r="AP526" s="34" t="str">
        <f t="shared" si="526"/>
        <v/>
      </c>
      <c r="AQ526" s="76" t="s">
        <v>566</v>
      </c>
      <c r="AR526" s="77"/>
      <c r="AS526" s="77"/>
      <c r="AT526" s="77"/>
      <c r="AU526" s="77"/>
      <c r="AV526" s="77"/>
      <c r="AW526" s="77"/>
      <c r="AX526" s="77"/>
      <c r="AY526" s="77"/>
      <c r="AZ526" s="77"/>
      <c r="BA526" s="77"/>
      <c r="BB526" s="77"/>
      <c r="BC526" s="77"/>
      <c r="BD526" s="77"/>
      <c r="BE526" s="77"/>
      <c r="BF526" s="77"/>
      <c r="BG526" s="77"/>
      <c r="BH526" s="77"/>
      <c r="BI526" s="77"/>
      <c r="BJ526" s="77"/>
      <c r="BK526" s="77"/>
      <c r="BL526" s="77"/>
      <c r="BM526" s="78"/>
    </row>
    <row r="527">
      <c r="A527" s="41">
        <v>2.642857142857143</v>
      </c>
      <c r="B527" s="41" t="b">
        <v>0</v>
      </c>
      <c r="C527" s="41" t="b">
        <f t="shared" si="3"/>
        <v>0</v>
      </c>
      <c r="D527" s="42" t="s">
        <v>1565</v>
      </c>
      <c r="E527" s="43" t="s">
        <v>1260</v>
      </c>
      <c r="F527" s="44" t="s">
        <v>849</v>
      </c>
      <c r="G527" s="29" t="s">
        <v>831</v>
      </c>
      <c r="H527" s="32">
        <v>-9.826228780382209</v>
      </c>
      <c r="I527" s="32">
        <v>-4.384091171654352</v>
      </c>
      <c r="J527" s="45" t="s">
        <v>2195</v>
      </c>
      <c r="K527" s="29">
        <v>28.6</v>
      </c>
      <c r="L527" s="41">
        <v>77.42857142857143</v>
      </c>
      <c r="M527" s="46">
        <v>29.0</v>
      </c>
      <c r="N527" s="46">
        <v>6.0</v>
      </c>
      <c r="O527" s="47">
        <v>-1.5934542041675572</v>
      </c>
      <c r="P527" s="47">
        <v>-1.9338411924916519</v>
      </c>
      <c r="Q527" s="47">
        <v>-1.6566345528278879</v>
      </c>
      <c r="R527" s="47">
        <v>0.2364498889554129</v>
      </c>
      <c r="S527" s="47">
        <v>-1.537920911517797</v>
      </c>
      <c r="T527" s="47">
        <v>-0.7871777123417198</v>
      </c>
      <c r="U527" s="47">
        <v>-1.868081525216127</v>
      </c>
      <c r="V527" s="47">
        <v>0.0</v>
      </c>
      <c r="W527" s="47">
        <v>1.1390364007627012</v>
      </c>
      <c r="X527" s="47">
        <v>-1.8246049715375823</v>
      </c>
      <c r="Y527" s="50" t="s">
        <v>69</v>
      </c>
      <c r="Z527" s="50" t="s">
        <v>69</v>
      </c>
      <c r="AA527" s="50" t="s">
        <v>69</v>
      </c>
      <c r="AB527" s="50" t="s">
        <v>69</v>
      </c>
      <c r="AC527" s="34" t="str">
        <f t="shared" ref="AC527:AP527" si="527">LET(
  skater, IFERROR(INDEX(AllProj, MATCH($E527, AllProjNames, 0), MATCH(AC$2, AllProjCats, 0) + 1), ""),
  goalie, IFERROR(INDEX(AllGProj, MATCH($E527, AllGProjNames, 0), MATCH(AC$2, AllGProjCats, 0) + 1), ""),
  val, IF(skater &lt;&gt; "", skater, goalie),
  IF(OR($E527="", AC$2="", val=""), "", val * AC$1)
)</f>
        <v/>
      </c>
      <c r="AD527" s="34" t="str">
        <f t="shared" si="527"/>
        <v/>
      </c>
      <c r="AE527" s="34" t="str">
        <f t="shared" si="527"/>
        <v/>
      </c>
      <c r="AF527" s="34" t="str">
        <f t="shared" si="527"/>
        <v/>
      </c>
      <c r="AG527" s="34" t="str">
        <f t="shared" si="527"/>
        <v/>
      </c>
      <c r="AH527" s="34" t="str">
        <f t="shared" si="527"/>
        <v/>
      </c>
      <c r="AI527" s="34" t="str">
        <f t="shared" si="527"/>
        <v/>
      </c>
      <c r="AJ527" s="34" t="str">
        <f t="shared" si="527"/>
        <v/>
      </c>
      <c r="AK527" s="34" t="str">
        <f t="shared" si="527"/>
        <v/>
      </c>
      <c r="AL527" s="34" t="str">
        <f t="shared" si="527"/>
        <v/>
      </c>
      <c r="AM527" s="34" t="str">
        <f t="shared" si="527"/>
        <v/>
      </c>
      <c r="AN527" s="34" t="str">
        <f t="shared" si="527"/>
        <v/>
      </c>
      <c r="AO527" s="34" t="str">
        <f t="shared" si="527"/>
        <v/>
      </c>
      <c r="AP527" s="34" t="str">
        <f t="shared" si="527"/>
        <v/>
      </c>
      <c r="AQ527" s="76" t="s">
        <v>567</v>
      </c>
      <c r="AR527" s="77"/>
      <c r="AS527" s="77"/>
      <c r="AT527" s="77"/>
      <c r="AU527" s="77"/>
      <c r="AV527" s="77"/>
      <c r="AW527" s="77"/>
      <c r="AX527" s="77"/>
      <c r="AY527" s="77"/>
      <c r="AZ527" s="77"/>
      <c r="BA527" s="77"/>
      <c r="BB527" s="77"/>
      <c r="BC527" s="77"/>
      <c r="BD527" s="77"/>
      <c r="BE527" s="77"/>
      <c r="BF527" s="77"/>
      <c r="BG527" s="77"/>
      <c r="BH527" s="77"/>
      <c r="BI527" s="77"/>
      <c r="BJ527" s="77"/>
      <c r="BK527" s="77"/>
      <c r="BL527" s="77"/>
      <c r="BM527" s="78"/>
    </row>
    <row r="528">
      <c r="A528" s="79">
        <v>2.5714285714285716</v>
      </c>
      <c r="B528" s="79" t="b">
        <v>0</v>
      </c>
      <c r="C528" s="79" t="b">
        <f t="shared" si="3"/>
        <v>0</v>
      </c>
      <c r="D528" s="80" t="s">
        <v>1565</v>
      </c>
      <c r="E528" s="81" t="s">
        <v>1053</v>
      </c>
      <c r="F528" s="82" t="s">
        <v>1451</v>
      </c>
      <c r="G528" s="35" t="s">
        <v>284</v>
      </c>
      <c r="H528" s="37">
        <v>-9.868979356812549</v>
      </c>
      <c r="I528" s="37">
        <v>-4.830913336629464</v>
      </c>
      <c r="J528" s="83" t="s">
        <v>2196</v>
      </c>
      <c r="K528" s="35">
        <v>21.2</v>
      </c>
      <c r="L528" s="79">
        <v>82.06264705882353</v>
      </c>
      <c r="M528" s="84">
        <v>29.0</v>
      </c>
      <c r="N528" s="84">
        <v>7.0</v>
      </c>
      <c r="O528" s="85">
        <v>-0.7319118489993015</v>
      </c>
      <c r="P528" s="85">
        <v>-1.0140062363073887</v>
      </c>
      <c r="Q528" s="85">
        <v>-2.1127903333982534</v>
      </c>
      <c r="R528" s="85">
        <v>-2.215736191677423</v>
      </c>
      <c r="S528" s="85">
        <v>-0.7086833147898137</v>
      </c>
      <c r="T528" s="85">
        <v>-0.7380702300431581</v>
      </c>
      <c r="U528" s="85">
        <v>-0.9314388750337026</v>
      </c>
      <c r="V528" s="85">
        <v>0.0</v>
      </c>
      <c r="W528" s="85">
        <v>0.02564239533470872</v>
      </c>
      <c r="X528" s="85">
        <v>-1.4419847218982162</v>
      </c>
      <c r="Y528" s="50" t="s">
        <v>69</v>
      </c>
      <c r="Z528" s="50" t="s">
        <v>69</v>
      </c>
      <c r="AA528" s="50" t="s">
        <v>69</v>
      </c>
      <c r="AB528" s="50" t="s">
        <v>69</v>
      </c>
      <c r="AC528" s="34" t="str">
        <f t="shared" ref="AC528:AP528" si="528">LET(
  skater, IFERROR(INDEX(AllProj, MATCH($E528, AllProjNames, 0), MATCH(AC$2, AllProjCats, 0) + 1), ""),
  goalie, IFERROR(INDEX(AllGProj, MATCH($E528, AllGProjNames, 0), MATCH(AC$2, AllGProjCats, 0) + 1), ""),
  val, IF(skater &lt;&gt; "", skater, goalie),
  IF(OR($E528="", AC$2="", val=""), "", val * AC$1)
)</f>
        <v/>
      </c>
      <c r="AD528" s="34" t="str">
        <f t="shared" si="528"/>
        <v/>
      </c>
      <c r="AE528" s="34" t="str">
        <f t="shared" si="528"/>
        <v/>
      </c>
      <c r="AF528" s="34" t="str">
        <f t="shared" si="528"/>
        <v/>
      </c>
      <c r="AG528" s="34" t="str">
        <f t="shared" si="528"/>
        <v/>
      </c>
      <c r="AH528" s="34" t="str">
        <f t="shared" si="528"/>
        <v/>
      </c>
      <c r="AI528" s="34" t="str">
        <f t="shared" si="528"/>
        <v/>
      </c>
      <c r="AJ528" s="34" t="str">
        <f t="shared" si="528"/>
        <v/>
      </c>
      <c r="AK528" s="34" t="str">
        <f t="shared" si="528"/>
        <v/>
      </c>
      <c r="AL528" s="34" t="str">
        <f t="shared" si="528"/>
        <v/>
      </c>
      <c r="AM528" s="34" t="str">
        <f t="shared" si="528"/>
        <v/>
      </c>
      <c r="AN528" s="34" t="str">
        <f t="shared" si="528"/>
        <v/>
      </c>
      <c r="AO528" s="34" t="str">
        <f t="shared" si="528"/>
        <v/>
      </c>
      <c r="AP528" s="34" t="str">
        <f t="shared" si="528"/>
        <v/>
      </c>
      <c r="AQ528" s="76" t="s">
        <v>568</v>
      </c>
      <c r="AR528" s="77"/>
      <c r="AS528" s="77"/>
      <c r="AT528" s="77"/>
      <c r="AU528" s="77"/>
      <c r="AV528" s="77"/>
      <c r="AW528" s="77"/>
      <c r="AX528" s="77"/>
      <c r="AY528" s="77"/>
      <c r="AZ528" s="77"/>
      <c r="BA528" s="77"/>
      <c r="BB528" s="77"/>
      <c r="BC528" s="77"/>
      <c r="BD528" s="77"/>
      <c r="BE528" s="77"/>
      <c r="BF528" s="77"/>
      <c r="BG528" s="77"/>
      <c r="BH528" s="77"/>
      <c r="BI528" s="77"/>
      <c r="BJ528" s="77"/>
      <c r="BK528" s="77"/>
      <c r="BL528" s="77"/>
      <c r="BM528" s="78"/>
    </row>
    <row r="529">
      <c r="A529" s="41">
        <v>2.5714285714285716</v>
      </c>
      <c r="B529" s="41" t="b">
        <v>0</v>
      </c>
      <c r="C529" s="41" t="b">
        <f t="shared" si="3"/>
        <v>0</v>
      </c>
      <c r="D529" s="42" t="s">
        <v>1565</v>
      </c>
      <c r="E529" s="43" t="s">
        <v>951</v>
      </c>
      <c r="F529" s="44" t="s">
        <v>1548</v>
      </c>
      <c r="G529" s="29" t="s">
        <v>284</v>
      </c>
      <c r="H529" s="32">
        <v>-9.8733933039839</v>
      </c>
      <c r="I529" s="32">
        <v>-4.835327283800814</v>
      </c>
      <c r="J529" s="45" t="s">
        <v>2197</v>
      </c>
      <c r="K529" s="29">
        <v>25.0</v>
      </c>
      <c r="L529" s="41">
        <v>61.0</v>
      </c>
      <c r="M529" s="46">
        <v>34.0</v>
      </c>
      <c r="N529" s="46">
        <v>7.0</v>
      </c>
      <c r="O529" s="47">
        <v>-1.2736705067112504</v>
      </c>
      <c r="P529" s="47">
        <v>-1.9454409799522345</v>
      </c>
      <c r="Q529" s="94" t="s">
        <v>69</v>
      </c>
      <c r="R529" s="47">
        <v>-2.3658496544255505</v>
      </c>
      <c r="S529" s="94" t="s">
        <v>69</v>
      </c>
      <c r="T529" s="94" t="s">
        <v>69</v>
      </c>
      <c r="U529" s="47">
        <v>-2.2551760502492333</v>
      </c>
      <c r="V529" s="94" t="s">
        <v>69</v>
      </c>
      <c r="W529" s="47">
        <v>0.04360601403607701</v>
      </c>
      <c r="X529" s="47">
        <v>-2.076862126681708</v>
      </c>
      <c r="Y529" s="50" t="s">
        <v>69</v>
      </c>
      <c r="Z529" s="50" t="s">
        <v>69</v>
      </c>
      <c r="AA529" s="50" t="s">
        <v>69</v>
      </c>
      <c r="AB529" s="50" t="s">
        <v>69</v>
      </c>
      <c r="AC529" s="34" t="str">
        <f t="shared" ref="AC529:AP529" si="529">LET(
  skater, IFERROR(INDEX(AllProj, MATCH($E529, AllProjNames, 0), MATCH(AC$2, AllProjCats, 0) + 1), ""),
  goalie, IFERROR(INDEX(AllGProj, MATCH($E529, AllGProjNames, 0), MATCH(AC$2, AllGProjCats, 0) + 1), ""),
  val, IF(skater &lt;&gt; "", skater, goalie),
  IF(OR($E529="", AC$2="", val=""), "", val * AC$1)
)</f>
        <v/>
      </c>
      <c r="AD529" s="34" t="str">
        <f t="shared" si="529"/>
        <v/>
      </c>
      <c r="AE529" s="34" t="str">
        <f t="shared" si="529"/>
        <v/>
      </c>
      <c r="AF529" s="34" t="str">
        <f t="shared" si="529"/>
        <v/>
      </c>
      <c r="AG529" s="34" t="str">
        <f t="shared" si="529"/>
        <v/>
      </c>
      <c r="AH529" s="34" t="str">
        <f t="shared" si="529"/>
        <v/>
      </c>
      <c r="AI529" s="34" t="str">
        <f t="shared" si="529"/>
        <v/>
      </c>
      <c r="AJ529" s="34" t="str">
        <f t="shared" si="529"/>
        <v/>
      </c>
      <c r="AK529" s="34" t="str">
        <f t="shared" si="529"/>
        <v/>
      </c>
      <c r="AL529" s="34" t="str">
        <f t="shared" si="529"/>
        <v/>
      </c>
      <c r="AM529" s="34" t="str">
        <f t="shared" si="529"/>
        <v/>
      </c>
      <c r="AN529" s="34" t="str">
        <f t="shared" si="529"/>
        <v/>
      </c>
      <c r="AO529" s="34" t="str">
        <f t="shared" si="529"/>
        <v/>
      </c>
      <c r="AP529" s="34" t="str">
        <f t="shared" si="529"/>
        <v/>
      </c>
      <c r="AQ529" s="76" t="s">
        <v>569</v>
      </c>
      <c r="AR529" s="77"/>
      <c r="AS529" s="77"/>
      <c r="AT529" s="77"/>
      <c r="AU529" s="77"/>
      <c r="AV529" s="77"/>
      <c r="AW529" s="77"/>
      <c r="AX529" s="77"/>
      <c r="AY529" s="77"/>
      <c r="AZ529" s="77"/>
      <c r="BA529" s="77"/>
      <c r="BB529" s="77"/>
      <c r="BC529" s="77"/>
      <c r="BD529" s="77"/>
      <c r="BE529" s="77"/>
      <c r="BF529" s="77"/>
      <c r="BG529" s="77"/>
      <c r="BH529" s="77"/>
      <c r="BI529" s="77"/>
      <c r="BJ529" s="77"/>
      <c r="BK529" s="77"/>
      <c r="BL529" s="77"/>
      <c r="BM529" s="78"/>
    </row>
    <row r="530">
      <c r="A530" s="79">
        <v>2.5714285714285716</v>
      </c>
      <c r="B530" s="79" t="b">
        <v>0</v>
      </c>
      <c r="C530" s="79" t="b">
        <f t="shared" si="3"/>
        <v>0</v>
      </c>
      <c r="D530" s="80" t="s">
        <v>1565</v>
      </c>
      <c r="E530" s="81" t="s">
        <v>943</v>
      </c>
      <c r="F530" s="82" t="s">
        <v>1416</v>
      </c>
      <c r="G530" s="35" t="s">
        <v>284</v>
      </c>
      <c r="H530" s="37">
        <v>-9.894581154048572</v>
      </c>
      <c r="I530" s="37">
        <v>-4.856515133865487</v>
      </c>
      <c r="J530" s="83" t="s">
        <v>2198</v>
      </c>
      <c r="K530" s="35">
        <v>22.6</v>
      </c>
      <c r="L530" s="79">
        <v>68.0</v>
      </c>
      <c r="M530" s="84">
        <v>29.0</v>
      </c>
      <c r="N530" s="84">
        <v>7.0</v>
      </c>
      <c r="O530" s="85">
        <v>-2.028216309698042</v>
      </c>
      <c r="P530" s="85">
        <v>-1.7830439555040773</v>
      </c>
      <c r="Q530" s="96" t="s">
        <v>69</v>
      </c>
      <c r="R530" s="85">
        <v>-1.3089430139397666</v>
      </c>
      <c r="S530" s="96" t="s">
        <v>69</v>
      </c>
      <c r="T530" s="96" t="s">
        <v>69</v>
      </c>
      <c r="U530" s="85">
        <v>-2.646213813228348</v>
      </c>
      <c r="V530" s="96" t="s">
        <v>69</v>
      </c>
      <c r="W530" s="85">
        <v>-0.5301629752702254</v>
      </c>
      <c r="X530" s="85">
        <v>-1.5980010864081131</v>
      </c>
      <c r="Y530" s="50" t="s">
        <v>69</v>
      </c>
      <c r="Z530" s="50" t="s">
        <v>69</v>
      </c>
      <c r="AA530" s="50" t="s">
        <v>69</v>
      </c>
      <c r="AB530" s="50" t="s">
        <v>69</v>
      </c>
      <c r="AC530" s="34" t="str">
        <f t="shared" ref="AC530:AP530" si="530">LET(
  skater, IFERROR(INDEX(AllProj, MATCH($E530, AllProjNames, 0), MATCH(AC$2, AllProjCats, 0) + 1), ""),
  goalie, IFERROR(INDEX(AllGProj, MATCH($E530, AllGProjNames, 0), MATCH(AC$2, AllGProjCats, 0) + 1), ""),
  val, IF(skater &lt;&gt; "", skater, goalie),
  IF(OR($E530="", AC$2="", val=""), "", val * AC$1)
)</f>
        <v/>
      </c>
      <c r="AD530" s="34" t="str">
        <f t="shared" si="530"/>
        <v/>
      </c>
      <c r="AE530" s="34" t="str">
        <f t="shared" si="530"/>
        <v/>
      </c>
      <c r="AF530" s="34" t="str">
        <f t="shared" si="530"/>
        <v/>
      </c>
      <c r="AG530" s="34" t="str">
        <f t="shared" si="530"/>
        <v/>
      </c>
      <c r="AH530" s="34" t="str">
        <f t="shared" si="530"/>
        <v/>
      </c>
      <c r="AI530" s="34" t="str">
        <f t="shared" si="530"/>
        <v/>
      </c>
      <c r="AJ530" s="34" t="str">
        <f t="shared" si="530"/>
        <v/>
      </c>
      <c r="AK530" s="34" t="str">
        <f t="shared" si="530"/>
        <v/>
      </c>
      <c r="AL530" s="34" t="str">
        <f t="shared" si="530"/>
        <v/>
      </c>
      <c r="AM530" s="34" t="str">
        <f t="shared" si="530"/>
        <v/>
      </c>
      <c r="AN530" s="34" t="str">
        <f t="shared" si="530"/>
        <v/>
      </c>
      <c r="AO530" s="34" t="str">
        <f t="shared" si="530"/>
        <v/>
      </c>
      <c r="AP530" s="34" t="str">
        <f t="shared" si="530"/>
        <v/>
      </c>
      <c r="AQ530" s="76" t="s">
        <v>570</v>
      </c>
      <c r="AR530" s="77"/>
      <c r="AS530" s="77"/>
      <c r="AT530" s="77"/>
      <c r="AU530" s="77"/>
      <c r="AV530" s="77"/>
      <c r="AW530" s="77"/>
      <c r="AX530" s="77"/>
      <c r="AY530" s="77"/>
      <c r="AZ530" s="77"/>
      <c r="BA530" s="77"/>
      <c r="BB530" s="77"/>
      <c r="BC530" s="77"/>
      <c r="BD530" s="77"/>
      <c r="BE530" s="77"/>
      <c r="BF530" s="77"/>
      <c r="BG530" s="77"/>
      <c r="BH530" s="77"/>
      <c r="BI530" s="77"/>
      <c r="BJ530" s="77"/>
      <c r="BK530" s="77"/>
      <c r="BL530" s="77"/>
      <c r="BM530" s="78"/>
    </row>
    <row r="531">
      <c r="A531" s="41">
        <v>2.5714285714285716</v>
      </c>
      <c r="B531" s="41" t="b">
        <v>0</v>
      </c>
      <c r="C531" s="41" t="b">
        <f t="shared" si="3"/>
        <v>0</v>
      </c>
      <c r="D531" s="42" t="s">
        <v>1565</v>
      </c>
      <c r="E531" s="43" t="s">
        <v>1091</v>
      </c>
      <c r="F531" s="44" t="s">
        <v>1464</v>
      </c>
      <c r="G531" s="29" t="s">
        <v>829</v>
      </c>
      <c r="H531" s="32">
        <v>-9.909954604371574</v>
      </c>
      <c r="I531" s="32">
        <v>-4.467816995643717</v>
      </c>
      <c r="J531" s="45" t="s">
        <v>2199</v>
      </c>
      <c r="K531" s="29">
        <v>27.5</v>
      </c>
      <c r="L531" s="41">
        <v>75.03875000000001</v>
      </c>
      <c r="M531" s="46">
        <v>24.0</v>
      </c>
      <c r="N531" s="46">
        <v>7.0</v>
      </c>
      <c r="O531" s="47">
        <v>-0.9731268579602996</v>
      </c>
      <c r="P531" s="47">
        <v>-1.6247285158102907</v>
      </c>
      <c r="Q531" s="47">
        <v>-0.8289976625016882</v>
      </c>
      <c r="R531" s="47">
        <v>-1.046558162153172</v>
      </c>
      <c r="S531" s="47">
        <v>-1.5754244738265</v>
      </c>
      <c r="T531" s="47">
        <v>-0.41366802641001693</v>
      </c>
      <c r="U531" s="47">
        <v>-1.3083399927590966</v>
      </c>
      <c r="V531" s="47">
        <v>0.8587772987464791</v>
      </c>
      <c r="W531" s="47">
        <v>-1.5958349845860968</v>
      </c>
      <c r="X531" s="47">
        <v>-1.4020532271108932</v>
      </c>
      <c r="Y531" s="50" t="s">
        <v>69</v>
      </c>
      <c r="Z531" s="50" t="s">
        <v>69</v>
      </c>
      <c r="AA531" s="50" t="s">
        <v>69</v>
      </c>
      <c r="AB531" s="50" t="s">
        <v>69</v>
      </c>
      <c r="AC531" s="34" t="str">
        <f t="shared" ref="AC531:AP531" si="531">LET(
  skater, IFERROR(INDEX(AllProj, MATCH($E531, AllProjNames, 0), MATCH(AC$2, AllProjCats, 0) + 1), ""),
  goalie, IFERROR(INDEX(AllGProj, MATCH($E531, AllGProjNames, 0), MATCH(AC$2, AllGProjCats, 0) + 1), ""),
  val, IF(skater &lt;&gt; "", skater, goalie),
  IF(OR($E531="", AC$2="", val=""), "", val * AC$1)
)</f>
        <v/>
      </c>
      <c r="AD531" s="34" t="str">
        <f t="shared" si="531"/>
        <v/>
      </c>
      <c r="AE531" s="34" t="str">
        <f t="shared" si="531"/>
        <v/>
      </c>
      <c r="AF531" s="34" t="str">
        <f t="shared" si="531"/>
        <v/>
      </c>
      <c r="AG531" s="34" t="str">
        <f t="shared" si="531"/>
        <v/>
      </c>
      <c r="AH531" s="34" t="str">
        <f t="shared" si="531"/>
        <v/>
      </c>
      <c r="AI531" s="34" t="str">
        <f t="shared" si="531"/>
        <v/>
      </c>
      <c r="AJ531" s="34" t="str">
        <f t="shared" si="531"/>
        <v/>
      </c>
      <c r="AK531" s="34" t="str">
        <f t="shared" si="531"/>
        <v/>
      </c>
      <c r="AL531" s="34" t="str">
        <f t="shared" si="531"/>
        <v/>
      </c>
      <c r="AM531" s="34" t="str">
        <f t="shared" si="531"/>
        <v/>
      </c>
      <c r="AN531" s="34" t="str">
        <f t="shared" si="531"/>
        <v/>
      </c>
      <c r="AO531" s="34" t="str">
        <f t="shared" si="531"/>
        <v/>
      </c>
      <c r="AP531" s="34" t="str">
        <f t="shared" si="531"/>
        <v/>
      </c>
      <c r="AQ531" s="76" t="s">
        <v>571</v>
      </c>
      <c r="AR531" s="77"/>
      <c r="AS531" s="77"/>
      <c r="AT531" s="77"/>
      <c r="AU531" s="77"/>
      <c r="AV531" s="77"/>
      <c r="AW531" s="77"/>
      <c r="AX531" s="77"/>
      <c r="AY531" s="77"/>
      <c r="AZ531" s="77"/>
      <c r="BA531" s="77"/>
      <c r="BB531" s="77"/>
      <c r="BC531" s="77"/>
      <c r="BD531" s="77"/>
      <c r="BE531" s="77"/>
      <c r="BF531" s="77"/>
      <c r="BG531" s="77"/>
      <c r="BH531" s="77"/>
      <c r="BI531" s="77"/>
      <c r="BJ531" s="77"/>
      <c r="BK531" s="77"/>
      <c r="BL531" s="77"/>
      <c r="BM531" s="78"/>
    </row>
    <row r="532">
      <c r="A532" s="79">
        <v>2.642857142857143</v>
      </c>
      <c r="B532" s="79" t="b">
        <v>0</v>
      </c>
      <c r="C532" s="79" t="b">
        <f t="shared" si="3"/>
        <v>0</v>
      </c>
      <c r="D532" s="80" t="s">
        <v>1565</v>
      </c>
      <c r="E532" s="81" t="s">
        <v>1112</v>
      </c>
      <c r="F532" s="82" t="s">
        <v>1436</v>
      </c>
      <c r="G532" s="35" t="s">
        <v>830</v>
      </c>
      <c r="H532" s="37">
        <v>-9.9233779499932</v>
      </c>
      <c r="I532" s="37">
        <v>-4.535497825080462</v>
      </c>
      <c r="J532" s="83" t="s">
        <v>2200</v>
      </c>
      <c r="K532" s="35">
        <v>33.8</v>
      </c>
      <c r="L532" s="79">
        <v>78.0</v>
      </c>
      <c r="M532" s="84">
        <v>26.0</v>
      </c>
      <c r="N532" s="84">
        <v>5.0</v>
      </c>
      <c r="O532" s="85">
        <v>-1.2988220334774767</v>
      </c>
      <c r="P532" s="85">
        <v>-1.3391587553457815</v>
      </c>
      <c r="Q532" s="85">
        <v>-1.3449156320790572</v>
      </c>
      <c r="R532" s="85">
        <v>-0.8502593477420151</v>
      </c>
      <c r="S532" s="85">
        <v>-1.031191506236056</v>
      </c>
      <c r="T532" s="85">
        <v>-0.16952108464970286</v>
      </c>
      <c r="U532" s="85">
        <v>-1.711812465874333</v>
      </c>
      <c r="V532" s="85">
        <v>0.0</v>
      </c>
      <c r="W532" s="85">
        <v>-0.8370838473277236</v>
      </c>
      <c r="X532" s="85">
        <v>-1.340613277261056</v>
      </c>
      <c r="Y532" s="50" t="s">
        <v>69</v>
      </c>
      <c r="Z532" s="50" t="s">
        <v>69</v>
      </c>
      <c r="AA532" s="50" t="s">
        <v>69</v>
      </c>
      <c r="AB532" s="50" t="s">
        <v>69</v>
      </c>
      <c r="AC532" s="34" t="str">
        <f t="shared" ref="AC532:AP532" si="532">LET(
  skater, IFERROR(INDEX(AllProj, MATCH($E532, AllProjNames, 0), MATCH(AC$2, AllProjCats, 0) + 1), ""),
  goalie, IFERROR(INDEX(AllGProj, MATCH($E532, AllGProjNames, 0), MATCH(AC$2, AllGProjCats, 0) + 1), ""),
  val, IF(skater &lt;&gt; "", skater, goalie),
  IF(OR($E532="", AC$2="", val=""), "", val * AC$1)
)</f>
        <v/>
      </c>
      <c r="AD532" s="34" t="str">
        <f t="shared" si="532"/>
        <v/>
      </c>
      <c r="AE532" s="34" t="str">
        <f t="shared" si="532"/>
        <v/>
      </c>
      <c r="AF532" s="34" t="str">
        <f t="shared" si="532"/>
        <v/>
      </c>
      <c r="AG532" s="34" t="str">
        <f t="shared" si="532"/>
        <v/>
      </c>
      <c r="AH532" s="34" t="str">
        <f t="shared" si="532"/>
        <v/>
      </c>
      <c r="AI532" s="34" t="str">
        <f t="shared" si="532"/>
        <v/>
      </c>
      <c r="AJ532" s="34" t="str">
        <f t="shared" si="532"/>
        <v/>
      </c>
      <c r="AK532" s="34" t="str">
        <f t="shared" si="532"/>
        <v/>
      </c>
      <c r="AL532" s="34" t="str">
        <f t="shared" si="532"/>
        <v/>
      </c>
      <c r="AM532" s="34" t="str">
        <f t="shared" si="532"/>
        <v/>
      </c>
      <c r="AN532" s="34" t="str">
        <f t="shared" si="532"/>
        <v/>
      </c>
      <c r="AO532" s="34" t="str">
        <f t="shared" si="532"/>
        <v/>
      </c>
      <c r="AP532" s="34" t="str">
        <f t="shared" si="532"/>
        <v/>
      </c>
      <c r="AQ532" s="76" t="s">
        <v>572</v>
      </c>
      <c r="AR532" s="77"/>
      <c r="AS532" s="77"/>
      <c r="AT532" s="77"/>
      <c r="AU532" s="77"/>
      <c r="AV532" s="77"/>
      <c r="AW532" s="77"/>
      <c r="AX532" s="77"/>
      <c r="AY532" s="77"/>
      <c r="AZ532" s="77"/>
      <c r="BA532" s="77"/>
      <c r="BB532" s="77"/>
      <c r="BC532" s="77"/>
      <c r="BD532" s="77"/>
      <c r="BE532" s="77"/>
      <c r="BF532" s="77"/>
      <c r="BG532" s="77"/>
      <c r="BH532" s="77"/>
      <c r="BI532" s="77"/>
      <c r="BJ532" s="77"/>
      <c r="BK532" s="77"/>
      <c r="BL532" s="77"/>
      <c r="BM532" s="78"/>
    </row>
    <row r="533">
      <c r="A533" s="41">
        <v>2.642857142857143</v>
      </c>
      <c r="B533" s="41" t="b">
        <v>0</v>
      </c>
      <c r="C533" s="41" t="b">
        <f t="shared" si="3"/>
        <v>0</v>
      </c>
      <c r="D533" s="42" t="s">
        <v>1565</v>
      </c>
      <c r="E533" s="43" t="s">
        <v>1150</v>
      </c>
      <c r="F533" s="44" t="s">
        <v>1548</v>
      </c>
      <c r="G533" s="29" t="s">
        <v>837</v>
      </c>
      <c r="H533" s="32">
        <v>-9.924132770658671</v>
      </c>
      <c r="I533" s="32">
        <v>-4.39427399872977</v>
      </c>
      <c r="J533" s="45" t="s">
        <v>2201</v>
      </c>
      <c r="K533" s="29">
        <v>22.7</v>
      </c>
      <c r="L533" s="41">
        <v>74.42857142857143</v>
      </c>
      <c r="M533" s="46">
        <v>34.0</v>
      </c>
      <c r="N533" s="46">
        <v>7.0</v>
      </c>
      <c r="O533" s="47">
        <v>-1.883768656829959</v>
      </c>
      <c r="P533" s="47">
        <v>-1.204700002244955</v>
      </c>
      <c r="Q533" s="47">
        <v>-0.6481529874073904</v>
      </c>
      <c r="R533" s="47">
        <v>-1.1032443174633542</v>
      </c>
      <c r="S533" s="47">
        <v>-1.334106670119056</v>
      </c>
      <c r="T533" s="47">
        <v>-0.7871777123417198</v>
      </c>
      <c r="U533" s="47">
        <v>-1.5646992623931193</v>
      </c>
      <c r="V533" s="47">
        <v>0.0</v>
      </c>
      <c r="W533" s="47">
        <v>-1.29588355799206</v>
      </c>
      <c r="X533" s="47">
        <v>-0.10239960386705785</v>
      </c>
      <c r="Y533" s="50" t="s">
        <v>69</v>
      </c>
      <c r="Z533" s="50" t="s">
        <v>69</v>
      </c>
      <c r="AA533" s="50" t="s">
        <v>69</v>
      </c>
      <c r="AB533" s="50" t="s">
        <v>69</v>
      </c>
      <c r="AC533" s="34" t="str">
        <f t="shared" ref="AC533:AP533" si="533">LET(
  skater, IFERROR(INDEX(AllProj, MATCH($E533, AllProjNames, 0), MATCH(AC$2, AllProjCats, 0) + 1), ""),
  goalie, IFERROR(INDEX(AllGProj, MATCH($E533, AllGProjNames, 0), MATCH(AC$2, AllGProjCats, 0) + 1), ""),
  val, IF(skater &lt;&gt; "", skater, goalie),
  IF(OR($E533="", AC$2="", val=""), "", val * AC$1)
)</f>
        <v/>
      </c>
      <c r="AD533" s="34" t="str">
        <f t="shared" si="533"/>
        <v/>
      </c>
      <c r="AE533" s="34" t="str">
        <f t="shared" si="533"/>
        <v/>
      </c>
      <c r="AF533" s="34" t="str">
        <f t="shared" si="533"/>
        <v/>
      </c>
      <c r="AG533" s="34" t="str">
        <f t="shared" si="533"/>
        <v/>
      </c>
      <c r="AH533" s="34" t="str">
        <f t="shared" si="533"/>
        <v/>
      </c>
      <c r="AI533" s="34" t="str">
        <f t="shared" si="533"/>
        <v/>
      </c>
      <c r="AJ533" s="34" t="str">
        <f t="shared" si="533"/>
        <v/>
      </c>
      <c r="AK533" s="34" t="str">
        <f t="shared" si="533"/>
        <v/>
      </c>
      <c r="AL533" s="34" t="str">
        <f t="shared" si="533"/>
        <v/>
      </c>
      <c r="AM533" s="34" t="str">
        <f t="shared" si="533"/>
        <v/>
      </c>
      <c r="AN533" s="34" t="str">
        <f t="shared" si="533"/>
        <v/>
      </c>
      <c r="AO533" s="34" t="str">
        <f t="shared" si="533"/>
        <v/>
      </c>
      <c r="AP533" s="34" t="str">
        <f t="shared" si="533"/>
        <v/>
      </c>
      <c r="AQ533" s="76" t="s">
        <v>573</v>
      </c>
      <c r="AR533" s="77"/>
      <c r="AS533" s="77"/>
      <c r="AT533" s="77"/>
      <c r="AU533" s="77"/>
      <c r="AV533" s="77"/>
      <c r="AW533" s="77"/>
      <c r="AX533" s="77"/>
      <c r="AY533" s="77"/>
      <c r="AZ533" s="77"/>
      <c r="BA533" s="77"/>
      <c r="BB533" s="77"/>
      <c r="BC533" s="77"/>
      <c r="BD533" s="77"/>
      <c r="BE533" s="77"/>
      <c r="BF533" s="77"/>
      <c r="BG533" s="77"/>
      <c r="BH533" s="77"/>
      <c r="BI533" s="77"/>
      <c r="BJ533" s="77"/>
      <c r="BK533" s="77"/>
      <c r="BL533" s="77"/>
      <c r="BM533" s="78"/>
    </row>
    <row r="534">
      <c r="A534" s="79">
        <v>2.5714285714285716</v>
      </c>
      <c r="B534" s="79" t="b">
        <v>0</v>
      </c>
      <c r="C534" s="79" t="b">
        <f t="shared" si="3"/>
        <v>0</v>
      </c>
      <c r="D534" s="80" t="s">
        <v>1565</v>
      </c>
      <c r="E534" s="81" t="s">
        <v>1035</v>
      </c>
      <c r="F534" s="82" t="s">
        <v>1505</v>
      </c>
      <c r="G534" s="35" t="s">
        <v>835</v>
      </c>
      <c r="H534" s="37">
        <v>-9.95380105860915</v>
      </c>
      <c r="I534" s="37">
        <v>-4.565920933696411</v>
      </c>
      <c r="J534" s="83" t="s">
        <v>2202</v>
      </c>
      <c r="K534" s="35">
        <v>30.3</v>
      </c>
      <c r="L534" s="79">
        <v>74.51083333333334</v>
      </c>
      <c r="M534" s="84">
        <v>30.0</v>
      </c>
      <c r="N534" s="84">
        <v>5.0</v>
      </c>
      <c r="O534" s="85">
        <v>-0.9143710210264189</v>
      </c>
      <c r="P534" s="85">
        <v>-1.5558633368265302</v>
      </c>
      <c r="Q534" s="85">
        <v>-0.6552697937749031</v>
      </c>
      <c r="R534" s="85">
        <v>-1.0977703147234918</v>
      </c>
      <c r="S534" s="85">
        <v>-1.4301100250000824</v>
      </c>
      <c r="T534" s="85">
        <v>-0.7856080487926383</v>
      </c>
      <c r="U534" s="85">
        <v>-0.9886576181089702</v>
      </c>
      <c r="V534" s="85">
        <v>0.0</v>
      </c>
      <c r="W534" s="85">
        <v>-0.34911768184023323</v>
      </c>
      <c r="X534" s="85">
        <v>-2.177033218515883</v>
      </c>
      <c r="Y534" s="50" t="s">
        <v>69</v>
      </c>
      <c r="Z534" s="50" t="s">
        <v>69</v>
      </c>
      <c r="AA534" s="50" t="s">
        <v>69</v>
      </c>
      <c r="AB534" s="50" t="s">
        <v>69</v>
      </c>
      <c r="AC534" s="34" t="str">
        <f t="shared" ref="AC534:AP534" si="534">LET(
  skater, IFERROR(INDEX(AllProj, MATCH($E534, AllProjNames, 0), MATCH(AC$2, AllProjCats, 0) + 1), ""),
  goalie, IFERROR(INDEX(AllGProj, MATCH($E534, AllGProjNames, 0), MATCH(AC$2, AllGProjCats, 0) + 1), ""),
  val, IF(skater &lt;&gt; "", skater, goalie),
  IF(OR($E534="", AC$2="", val=""), "", val * AC$1)
)</f>
        <v/>
      </c>
      <c r="AD534" s="34" t="str">
        <f t="shared" si="534"/>
        <v/>
      </c>
      <c r="AE534" s="34" t="str">
        <f t="shared" si="534"/>
        <v/>
      </c>
      <c r="AF534" s="34" t="str">
        <f t="shared" si="534"/>
        <v/>
      </c>
      <c r="AG534" s="34" t="str">
        <f t="shared" si="534"/>
        <v/>
      </c>
      <c r="AH534" s="34" t="str">
        <f t="shared" si="534"/>
        <v/>
      </c>
      <c r="AI534" s="34" t="str">
        <f t="shared" si="534"/>
        <v/>
      </c>
      <c r="AJ534" s="34" t="str">
        <f t="shared" si="534"/>
        <v/>
      </c>
      <c r="AK534" s="34" t="str">
        <f t="shared" si="534"/>
        <v/>
      </c>
      <c r="AL534" s="34" t="str">
        <f t="shared" si="534"/>
        <v/>
      </c>
      <c r="AM534" s="34" t="str">
        <f t="shared" si="534"/>
        <v/>
      </c>
      <c r="AN534" s="34" t="str">
        <f t="shared" si="534"/>
        <v/>
      </c>
      <c r="AO534" s="34" t="str">
        <f t="shared" si="534"/>
        <v/>
      </c>
      <c r="AP534" s="34" t="str">
        <f t="shared" si="534"/>
        <v/>
      </c>
      <c r="AQ534" s="76" t="s">
        <v>574</v>
      </c>
      <c r="AR534" s="77"/>
      <c r="AS534" s="77"/>
      <c r="AT534" s="77"/>
      <c r="AU534" s="77"/>
      <c r="AV534" s="77"/>
      <c r="AW534" s="77"/>
      <c r="AX534" s="77"/>
      <c r="AY534" s="77"/>
      <c r="AZ534" s="77"/>
      <c r="BA534" s="77"/>
      <c r="BB534" s="77"/>
      <c r="BC534" s="77"/>
      <c r="BD534" s="77"/>
      <c r="BE534" s="77"/>
      <c r="BF534" s="77"/>
      <c r="BG534" s="77"/>
      <c r="BH534" s="77"/>
      <c r="BI534" s="77"/>
      <c r="BJ534" s="77"/>
      <c r="BK534" s="77"/>
      <c r="BL534" s="77"/>
      <c r="BM534" s="78"/>
    </row>
    <row r="535">
      <c r="A535" s="41">
        <v>2.5</v>
      </c>
      <c r="B535" s="41" t="b">
        <v>0</v>
      </c>
      <c r="C535" s="41" t="b">
        <f t="shared" si="3"/>
        <v>0</v>
      </c>
      <c r="D535" s="42" t="s">
        <v>1565</v>
      </c>
      <c r="E535" s="43" t="s">
        <v>918</v>
      </c>
      <c r="F535" s="44" t="s">
        <v>1512</v>
      </c>
      <c r="G535" s="29" t="s">
        <v>832</v>
      </c>
      <c r="H535" s="32">
        <v>-9.962373476898662</v>
      </c>
      <c r="I535" s="32">
        <v>-4.520235868170805</v>
      </c>
      <c r="J535" s="45" t="s">
        <v>2203</v>
      </c>
      <c r="K535" s="29">
        <v>21.3</v>
      </c>
      <c r="L535" s="41">
        <v>80.955</v>
      </c>
      <c r="M535" s="46">
        <v>21.0</v>
      </c>
      <c r="N535" s="46">
        <v>7.0</v>
      </c>
      <c r="O535" s="47">
        <v>-0.6849282363017356</v>
      </c>
      <c r="P535" s="47">
        <v>-1.4101497297826449</v>
      </c>
      <c r="Q535" s="47">
        <v>-2.1659736277915647</v>
      </c>
      <c r="R535" s="47">
        <v>-1.1447712194270383</v>
      </c>
      <c r="S535" s="47">
        <v>-0.5813822014567911</v>
      </c>
      <c r="T535" s="47">
        <v>-0.784056037120242</v>
      </c>
      <c r="U535" s="47">
        <v>-1.169539530283629</v>
      </c>
      <c r="V535" s="47">
        <v>0.5010335552325218</v>
      </c>
      <c r="W535" s="47">
        <v>-0.9014161160205809</v>
      </c>
      <c r="X535" s="47">
        <v>-1.621190333946959</v>
      </c>
      <c r="Y535" s="50" t="s">
        <v>69</v>
      </c>
      <c r="Z535" s="50" t="s">
        <v>69</v>
      </c>
      <c r="AA535" s="50" t="s">
        <v>69</v>
      </c>
      <c r="AB535" s="50" t="s">
        <v>69</v>
      </c>
      <c r="AC535" s="34" t="str">
        <f t="shared" ref="AC535:AP535" si="535">LET(
  skater, IFERROR(INDEX(AllProj, MATCH($E535, AllProjNames, 0), MATCH(AC$2, AllProjCats, 0) + 1), ""),
  goalie, IFERROR(INDEX(AllGProj, MATCH($E535, AllGProjNames, 0), MATCH(AC$2, AllGProjCats, 0) + 1), ""),
  val, IF(skater &lt;&gt; "", skater, goalie),
  IF(OR($E535="", AC$2="", val=""), "", val * AC$1)
)</f>
        <v/>
      </c>
      <c r="AD535" s="34" t="str">
        <f t="shared" si="535"/>
        <v/>
      </c>
      <c r="AE535" s="34" t="str">
        <f t="shared" si="535"/>
        <v/>
      </c>
      <c r="AF535" s="34" t="str">
        <f t="shared" si="535"/>
        <v/>
      </c>
      <c r="AG535" s="34" t="str">
        <f t="shared" si="535"/>
        <v/>
      </c>
      <c r="AH535" s="34" t="str">
        <f t="shared" si="535"/>
        <v/>
      </c>
      <c r="AI535" s="34" t="str">
        <f t="shared" si="535"/>
        <v/>
      </c>
      <c r="AJ535" s="34" t="str">
        <f t="shared" si="535"/>
        <v/>
      </c>
      <c r="AK535" s="34" t="str">
        <f t="shared" si="535"/>
        <v/>
      </c>
      <c r="AL535" s="34" t="str">
        <f t="shared" si="535"/>
        <v/>
      </c>
      <c r="AM535" s="34" t="str">
        <f t="shared" si="535"/>
        <v/>
      </c>
      <c r="AN535" s="34" t="str">
        <f t="shared" si="535"/>
        <v/>
      </c>
      <c r="AO535" s="34" t="str">
        <f t="shared" si="535"/>
        <v/>
      </c>
      <c r="AP535" s="34" t="str">
        <f t="shared" si="535"/>
        <v/>
      </c>
      <c r="AQ535" s="76" t="s">
        <v>575</v>
      </c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 s="77"/>
      <c r="BH535" s="77"/>
      <c r="BI535" s="77"/>
      <c r="BJ535" s="77"/>
      <c r="BK535" s="77"/>
      <c r="BL535" s="77"/>
      <c r="BM535" s="78"/>
    </row>
    <row r="536">
      <c r="A536" s="79">
        <v>2.5714285714285716</v>
      </c>
      <c r="B536" s="79" t="b">
        <v>0</v>
      </c>
      <c r="C536" s="79" t="b">
        <f t="shared" si="3"/>
        <v>0</v>
      </c>
      <c r="D536" s="80" t="s">
        <v>1565</v>
      </c>
      <c r="E536" s="81" t="s">
        <v>979</v>
      </c>
      <c r="F536" s="82" t="s">
        <v>1043</v>
      </c>
      <c r="G536" s="35" t="s">
        <v>835</v>
      </c>
      <c r="H536" s="37">
        <v>-9.962885623210285</v>
      </c>
      <c r="I536" s="37">
        <v>-4.575005498297546</v>
      </c>
      <c r="J536" s="83" t="s">
        <v>2204</v>
      </c>
      <c r="K536" s="35">
        <v>20.5</v>
      </c>
      <c r="L536" s="79">
        <v>68.0</v>
      </c>
      <c r="M536" s="84">
        <v>28.0</v>
      </c>
      <c r="N536" s="84">
        <v>6.0</v>
      </c>
      <c r="O536" s="85">
        <v>-1.3994281405423823</v>
      </c>
      <c r="P536" s="85">
        <v>-1.6206469310559204</v>
      </c>
      <c r="Q536" s="96" t="s">
        <v>69</v>
      </c>
      <c r="R536" s="85">
        <v>-1.7441398659045013</v>
      </c>
      <c r="S536" s="96" t="s">
        <v>69</v>
      </c>
      <c r="T536" s="96" t="s">
        <v>69</v>
      </c>
      <c r="U536" s="85">
        <v>-0.990053875905039</v>
      </c>
      <c r="V536" s="96" t="s">
        <v>69</v>
      </c>
      <c r="W536" s="85">
        <v>-2.2514699431891327</v>
      </c>
      <c r="X536" s="85">
        <v>-1.9571468666133094</v>
      </c>
      <c r="Y536" s="50" t="s">
        <v>69</v>
      </c>
      <c r="Z536" s="50" t="s">
        <v>69</v>
      </c>
      <c r="AA536" s="50" t="s">
        <v>69</v>
      </c>
      <c r="AB536" s="50" t="s">
        <v>69</v>
      </c>
      <c r="AC536" s="34" t="str">
        <f t="shared" ref="AC536:AP536" si="536">LET(
  skater, IFERROR(INDEX(AllProj, MATCH($E536, AllProjNames, 0), MATCH(AC$2, AllProjCats, 0) + 1), ""),
  goalie, IFERROR(INDEX(AllGProj, MATCH($E536, AllGProjNames, 0), MATCH(AC$2, AllGProjCats, 0) + 1), ""),
  val, IF(skater &lt;&gt; "", skater, goalie),
  IF(OR($E536="", AC$2="", val=""), "", val * AC$1)
)</f>
        <v/>
      </c>
      <c r="AD536" s="34" t="str">
        <f t="shared" si="536"/>
        <v/>
      </c>
      <c r="AE536" s="34" t="str">
        <f t="shared" si="536"/>
        <v/>
      </c>
      <c r="AF536" s="34" t="str">
        <f t="shared" si="536"/>
        <v/>
      </c>
      <c r="AG536" s="34" t="str">
        <f t="shared" si="536"/>
        <v/>
      </c>
      <c r="AH536" s="34" t="str">
        <f t="shared" si="536"/>
        <v/>
      </c>
      <c r="AI536" s="34" t="str">
        <f t="shared" si="536"/>
        <v/>
      </c>
      <c r="AJ536" s="34" t="str">
        <f t="shared" si="536"/>
        <v/>
      </c>
      <c r="AK536" s="34" t="str">
        <f t="shared" si="536"/>
        <v/>
      </c>
      <c r="AL536" s="34" t="str">
        <f t="shared" si="536"/>
        <v/>
      </c>
      <c r="AM536" s="34" t="str">
        <f t="shared" si="536"/>
        <v/>
      </c>
      <c r="AN536" s="34" t="str">
        <f t="shared" si="536"/>
        <v/>
      </c>
      <c r="AO536" s="34" t="str">
        <f t="shared" si="536"/>
        <v/>
      </c>
      <c r="AP536" s="34" t="str">
        <f t="shared" si="536"/>
        <v/>
      </c>
      <c r="AQ536" s="76" t="s">
        <v>576</v>
      </c>
      <c r="AR536" s="77"/>
      <c r="AS536" s="77"/>
      <c r="AT536" s="77"/>
      <c r="AU536" s="77"/>
      <c r="AV536" s="77"/>
      <c r="AW536" s="77"/>
      <c r="AX536" s="77"/>
      <c r="AY536" s="77"/>
      <c r="AZ536" s="77"/>
      <c r="BA536" s="77"/>
      <c r="BB536" s="77"/>
      <c r="BC536" s="77"/>
      <c r="BD536" s="77"/>
      <c r="BE536" s="77"/>
      <c r="BF536" s="77"/>
      <c r="BG536" s="77"/>
      <c r="BH536" s="77"/>
      <c r="BI536" s="77"/>
      <c r="BJ536" s="77"/>
      <c r="BK536" s="77"/>
      <c r="BL536" s="77"/>
      <c r="BM536" s="78"/>
    </row>
    <row r="537">
      <c r="A537" s="41">
        <v>2.642857142857143</v>
      </c>
      <c r="B537" s="41" t="b">
        <v>0</v>
      </c>
      <c r="C537" s="41" t="b">
        <f t="shared" si="3"/>
        <v>0</v>
      </c>
      <c r="D537" s="42" t="s">
        <v>1565</v>
      </c>
      <c r="E537" s="43" t="s">
        <v>1137</v>
      </c>
      <c r="F537" s="44" t="s">
        <v>1426</v>
      </c>
      <c r="G537" s="29" t="s">
        <v>837</v>
      </c>
      <c r="H537" s="32">
        <v>-9.967723469447302</v>
      </c>
      <c r="I537" s="32">
        <v>-4.437864697518401</v>
      </c>
      <c r="J537" s="45" t="s">
        <v>2205</v>
      </c>
      <c r="K537" s="29">
        <v>29.7</v>
      </c>
      <c r="L537" s="41">
        <v>79.71428571428571</v>
      </c>
      <c r="M537" s="46">
        <v>23.0</v>
      </c>
      <c r="N537" s="46">
        <v>6.0</v>
      </c>
      <c r="O537" s="47">
        <v>-2.1539739435291736</v>
      </c>
      <c r="P537" s="47">
        <v>-1.6206469310559204</v>
      </c>
      <c r="Q537" s="47">
        <v>-2.104083760555991</v>
      </c>
      <c r="R537" s="47">
        <v>-0.35861519434330563</v>
      </c>
      <c r="S537" s="47">
        <v>-1.72461069241107</v>
      </c>
      <c r="T537" s="47">
        <v>-0.16952108464970286</v>
      </c>
      <c r="U537" s="47">
        <v>-2.109276246246942</v>
      </c>
      <c r="V537" s="47">
        <v>0.0</v>
      </c>
      <c r="W537" s="47">
        <v>-0.23683821645139116</v>
      </c>
      <c r="X537" s="47">
        <v>0.5098425997961935</v>
      </c>
      <c r="Y537" s="50" t="s">
        <v>69</v>
      </c>
      <c r="Z537" s="50" t="s">
        <v>69</v>
      </c>
      <c r="AA537" s="50" t="s">
        <v>69</v>
      </c>
      <c r="AB537" s="50" t="s">
        <v>69</v>
      </c>
      <c r="AC537" s="34" t="str">
        <f t="shared" ref="AC537:AP537" si="537">LET(
  skater, IFERROR(INDEX(AllProj, MATCH($E537, AllProjNames, 0), MATCH(AC$2, AllProjCats, 0) + 1), ""),
  goalie, IFERROR(INDEX(AllGProj, MATCH($E537, AllGProjNames, 0), MATCH(AC$2, AllGProjCats, 0) + 1), ""),
  val, IF(skater &lt;&gt; "", skater, goalie),
  IF(OR($E537="", AC$2="", val=""), "", val * AC$1)
)</f>
        <v/>
      </c>
      <c r="AD537" s="34" t="str">
        <f t="shared" si="537"/>
        <v/>
      </c>
      <c r="AE537" s="34" t="str">
        <f t="shared" si="537"/>
        <v/>
      </c>
      <c r="AF537" s="34" t="str">
        <f t="shared" si="537"/>
        <v/>
      </c>
      <c r="AG537" s="34" t="str">
        <f t="shared" si="537"/>
        <v/>
      </c>
      <c r="AH537" s="34" t="str">
        <f t="shared" si="537"/>
        <v/>
      </c>
      <c r="AI537" s="34" t="str">
        <f t="shared" si="537"/>
        <v/>
      </c>
      <c r="AJ537" s="34" t="str">
        <f t="shared" si="537"/>
        <v/>
      </c>
      <c r="AK537" s="34" t="str">
        <f t="shared" si="537"/>
        <v/>
      </c>
      <c r="AL537" s="34" t="str">
        <f t="shared" si="537"/>
        <v/>
      </c>
      <c r="AM537" s="34" t="str">
        <f t="shared" si="537"/>
        <v/>
      </c>
      <c r="AN537" s="34" t="str">
        <f t="shared" si="537"/>
        <v/>
      </c>
      <c r="AO537" s="34" t="str">
        <f t="shared" si="537"/>
        <v/>
      </c>
      <c r="AP537" s="34" t="str">
        <f t="shared" si="537"/>
        <v/>
      </c>
      <c r="AQ537" s="76" t="s">
        <v>577</v>
      </c>
      <c r="AR537" s="77"/>
      <c r="AS537" s="77"/>
      <c r="AT537" s="77"/>
      <c r="AU537" s="77"/>
      <c r="AV537" s="77"/>
      <c r="AW537" s="77"/>
      <c r="AX537" s="77"/>
      <c r="AY537" s="77"/>
      <c r="AZ537" s="77"/>
      <c r="BA537" s="77"/>
      <c r="BB537" s="77"/>
      <c r="BC537" s="77"/>
      <c r="BD537" s="77"/>
      <c r="BE537" s="77"/>
      <c r="BF537" s="77"/>
      <c r="BG537" s="77"/>
      <c r="BH537" s="77"/>
      <c r="BI537" s="77"/>
      <c r="BJ537" s="77"/>
      <c r="BK537" s="77"/>
      <c r="BL537" s="77"/>
      <c r="BM537" s="78"/>
    </row>
    <row r="538">
      <c r="A538" s="79">
        <v>2.5714285714285716</v>
      </c>
      <c r="B538" s="79" t="b">
        <v>0</v>
      </c>
      <c r="C538" s="79" t="b">
        <f t="shared" si="3"/>
        <v>0</v>
      </c>
      <c r="D538" s="80" t="s">
        <v>1565</v>
      </c>
      <c r="E538" s="81" t="s">
        <v>984</v>
      </c>
      <c r="F538" s="82" t="s">
        <v>1439</v>
      </c>
      <c r="G538" s="35" t="s">
        <v>284</v>
      </c>
      <c r="H538" s="37">
        <v>-9.996215270707205</v>
      </c>
      <c r="I538" s="37">
        <v>-4.95814925052412</v>
      </c>
      <c r="J538" s="83" t="s">
        <v>2206</v>
      </c>
      <c r="K538" s="35">
        <v>28.6</v>
      </c>
      <c r="L538" s="79">
        <v>80.04666666666667</v>
      </c>
      <c r="M538" s="84">
        <v>25.0</v>
      </c>
      <c r="N538" s="84">
        <v>6.0</v>
      </c>
      <c r="O538" s="85">
        <v>-1.335964460474144</v>
      </c>
      <c r="P538" s="85">
        <v>-1.0478985957284723</v>
      </c>
      <c r="Q538" s="85">
        <v>-0.4834241832651602</v>
      </c>
      <c r="R538" s="85">
        <v>-1.179297315924981</v>
      </c>
      <c r="S538" s="85">
        <v>-1.4804146633993351</v>
      </c>
      <c r="T538" s="85">
        <v>0.15087085079887932</v>
      </c>
      <c r="U538" s="85">
        <v>-1.7249193435367023</v>
      </c>
      <c r="V538" s="85">
        <v>0.0</v>
      </c>
      <c r="W538" s="85">
        <v>-1.1328395173862775</v>
      </c>
      <c r="X538" s="85">
        <v>-1.762328041791014</v>
      </c>
      <c r="Y538" s="50" t="s">
        <v>69</v>
      </c>
      <c r="Z538" s="50" t="s">
        <v>69</v>
      </c>
      <c r="AA538" s="50" t="s">
        <v>69</v>
      </c>
      <c r="AB538" s="50" t="s">
        <v>69</v>
      </c>
      <c r="AC538" s="34" t="str">
        <f t="shared" ref="AC538:AP538" si="538">LET(
  skater, IFERROR(INDEX(AllProj, MATCH($E538, AllProjNames, 0), MATCH(AC$2, AllProjCats, 0) + 1), ""),
  goalie, IFERROR(INDEX(AllGProj, MATCH($E538, AllGProjNames, 0), MATCH(AC$2, AllGProjCats, 0) + 1), ""),
  val, IF(skater &lt;&gt; "", skater, goalie),
  IF(OR($E538="", AC$2="", val=""), "", val * AC$1)
)</f>
        <v/>
      </c>
      <c r="AD538" s="34" t="str">
        <f t="shared" si="538"/>
        <v/>
      </c>
      <c r="AE538" s="34" t="str">
        <f t="shared" si="538"/>
        <v/>
      </c>
      <c r="AF538" s="34" t="str">
        <f t="shared" si="538"/>
        <v/>
      </c>
      <c r="AG538" s="34" t="str">
        <f t="shared" si="538"/>
        <v/>
      </c>
      <c r="AH538" s="34" t="str">
        <f t="shared" si="538"/>
        <v/>
      </c>
      <c r="AI538" s="34" t="str">
        <f t="shared" si="538"/>
        <v/>
      </c>
      <c r="AJ538" s="34" t="str">
        <f t="shared" si="538"/>
        <v/>
      </c>
      <c r="AK538" s="34" t="str">
        <f t="shared" si="538"/>
        <v/>
      </c>
      <c r="AL538" s="34" t="str">
        <f t="shared" si="538"/>
        <v/>
      </c>
      <c r="AM538" s="34" t="str">
        <f t="shared" si="538"/>
        <v/>
      </c>
      <c r="AN538" s="34" t="str">
        <f t="shared" si="538"/>
        <v/>
      </c>
      <c r="AO538" s="34" t="str">
        <f t="shared" si="538"/>
        <v/>
      </c>
      <c r="AP538" s="34" t="str">
        <f t="shared" si="538"/>
        <v/>
      </c>
      <c r="AQ538" s="76" t="s">
        <v>578</v>
      </c>
      <c r="AR538" s="77"/>
      <c r="AS538" s="77"/>
      <c r="AT538" s="77"/>
      <c r="AU538" s="77"/>
      <c r="AV538" s="77"/>
      <c r="AW538" s="77"/>
      <c r="AX538" s="77"/>
      <c r="AY538" s="77"/>
      <c r="AZ538" s="77"/>
      <c r="BA538" s="77"/>
      <c r="BB538" s="77"/>
      <c r="BC538" s="77"/>
      <c r="BD538" s="77"/>
      <c r="BE538" s="77"/>
      <c r="BF538" s="77"/>
      <c r="BG538" s="77"/>
      <c r="BH538" s="77"/>
      <c r="BI538" s="77"/>
      <c r="BJ538" s="77"/>
      <c r="BK538" s="77"/>
      <c r="BL538" s="77"/>
      <c r="BM538" s="78"/>
    </row>
    <row r="539">
      <c r="A539" s="41">
        <v>2.5714285714285716</v>
      </c>
      <c r="B539" s="41" t="b">
        <v>0</v>
      </c>
      <c r="C539" s="41" t="b">
        <f t="shared" si="3"/>
        <v>0</v>
      </c>
      <c r="D539" s="42" t="s">
        <v>1565</v>
      </c>
      <c r="E539" s="43" t="s">
        <v>1032</v>
      </c>
      <c r="F539" s="44" t="s">
        <v>1436</v>
      </c>
      <c r="G539" s="29" t="s">
        <v>836</v>
      </c>
      <c r="H539" s="32">
        <v>-10.000288979544479</v>
      </c>
      <c r="I539" s="32">
        <v>-4.5581513708166215</v>
      </c>
      <c r="J539" s="45" t="s">
        <v>2207</v>
      </c>
      <c r="K539" s="29">
        <v>34.0</v>
      </c>
      <c r="L539" s="41">
        <v>77.35714285714286</v>
      </c>
      <c r="M539" s="46">
        <v>26.0</v>
      </c>
      <c r="N539" s="46">
        <v>5.0</v>
      </c>
      <c r="O539" s="47">
        <v>-1.1101855827307792</v>
      </c>
      <c r="P539" s="47">
        <v>-1.3990909905587918</v>
      </c>
      <c r="Q539" s="47">
        <v>-0.9002951191839905</v>
      </c>
      <c r="R539" s="47">
        <v>-1.372002149632616</v>
      </c>
      <c r="S539" s="47">
        <v>-0.935068494049936</v>
      </c>
      <c r="T539" s="47">
        <v>-0.7871777123417198</v>
      </c>
      <c r="U539" s="47">
        <v>-1.1096654269339448</v>
      </c>
      <c r="V539" s="47">
        <v>0.0</v>
      </c>
      <c r="W539" s="47">
        <v>-0.6156428451056543</v>
      </c>
      <c r="X539" s="47">
        <v>-1.771160659007047</v>
      </c>
      <c r="Y539" s="50" t="s">
        <v>69</v>
      </c>
      <c r="Z539" s="50" t="s">
        <v>69</v>
      </c>
      <c r="AA539" s="50" t="s">
        <v>69</v>
      </c>
      <c r="AB539" s="50" t="s">
        <v>69</v>
      </c>
      <c r="AC539" s="34" t="str">
        <f t="shared" ref="AC539:AP539" si="539">LET(
  skater, IFERROR(INDEX(AllProj, MATCH($E539, AllProjNames, 0), MATCH(AC$2, AllProjCats, 0) + 1), ""),
  goalie, IFERROR(INDEX(AllGProj, MATCH($E539, AllGProjNames, 0), MATCH(AC$2, AllGProjCats, 0) + 1), ""),
  val, IF(skater &lt;&gt; "", skater, goalie),
  IF(OR($E539="", AC$2="", val=""), "", val * AC$1)
)</f>
        <v/>
      </c>
      <c r="AD539" s="34" t="str">
        <f t="shared" si="539"/>
        <v/>
      </c>
      <c r="AE539" s="34" t="str">
        <f t="shared" si="539"/>
        <v/>
      </c>
      <c r="AF539" s="34" t="str">
        <f t="shared" si="539"/>
        <v/>
      </c>
      <c r="AG539" s="34" t="str">
        <f t="shared" si="539"/>
        <v/>
      </c>
      <c r="AH539" s="34" t="str">
        <f t="shared" si="539"/>
        <v/>
      </c>
      <c r="AI539" s="34" t="str">
        <f t="shared" si="539"/>
        <v/>
      </c>
      <c r="AJ539" s="34" t="str">
        <f t="shared" si="539"/>
        <v/>
      </c>
      <c r="AK539" s="34" t="str">
        <f t="shared" si="539"/>
        <v/>
      </c>
      <c r="AL539" s="34" t="str">
        <f t="shared" si="539"/>
        <v/>
      </c>
      <c r="AM539" s="34" t="str">
        <f t="shared" si="539"/>
        <v/>
      </c>
      <c r="AN539" s="34" t="str">
        <f t="shared" si="539"/>
        <v/>
      </c>
      <c r="AO539" s="34" t="str">
        <f t="shared" si="539"/>
        <v/>
      </c>
      <c r="AP539" s="34" t="str">
        <f t="shared" si="539"/>
        <v/>
      </c>
      <c r="AQ539" s="76" t="s">
        <v>579</v>
      </c>
      <c r="AR539" s="77"/>
      <c r="AS539" s="77"/>
      <c r="AT539" s="77"/>
      <c r="AU539" s="77"/>
      <c r="AV539" s="77"/>
      <c r="AW539" s="77"/>
      <c r="AX539" s="77"/>
      <c r="AY539" s="77"/>
      <c r="AZ539" s="77"/>
      <c r="BA539" s="77"/>
      <c r="BB539" s="77"/>
      <c r="BC539" s="77"/>
      <c r="BD539" s="77"/>
      <c r="BE539" s="77"/>
      <c r="BF539" s="77"/>
      <c r="BG539" s="77"/>
      <c r="BH539" s="77"/>
      <c r="BI539" s="77"/>
      <c r="BJ539" s="77"/>
      <c r="BK539" s="77"/>
      <c r="BL539" s="77"/>
      <c r="BM539" s="78"/>
    </row>
    <row r="540">
      <c r="A540" s="79">
        <v>2.642857142857143</v>
      </c>
      <c r="B540" s="79" t="b">
        <v>0</v>
      </c>
      <c r="C540" s="79" t="b">
        <f t="shared" si="3"/>
        <v>0</v>
      </c>
      <c r="D540" s="80" t="s">
        <v>1565</v>
      </c>
      <c r="E540" s="81" t="s">
        <v>1127</v>
      </c>
      <c r="F540" s="82" t="s">
        <v>1517</v>
      </c>
      <c r="G540" s="35" t="s">
        <v>837</v>
      </c>
      <c r="H540" s="37">
        <v>-10.001360744313676</v>
      </c>
      <c r="I540" s="37">
        <v>-4.471501972384774</v>
      </c>
      <c r="J540" s="83" t="s">
        <v>2208</v>
      </c>
      <c r="K540" s="35">
        <v>21.6</v>
      </c>
      <c r="L540" s="79">
        <v>76.0</v>
      </c>
      <c r="M540" s="84">
        <v>18.0</v>
      </c>
      <c r="N540" s="84">
        <v>6.0</v>
      </c>
      <c r="O540" s="85">
        <v>-2.2797315773603057</v>
      </c>
      <c r="P540" s="85">
        <v>-1.864242467728156</v>
      </c>
      <c r="Q540" s="96" t="s">
        <v>69</v>
      </c>
      <c r="R540" s="85">
        <v>-1.5576269293481866</v>
      </c>
      <c r="S540" s="96" t="s">
        <v>69</v>
      </c>
      <c r="T540" s="96" t="s">
        <v>69</v>
      </c>
      <c r="U540" s="85">
        <v>-1.8871405086218314</v>
      </c>
      <c r="V540" s="96" t="s">
        <v>69</v>
      </c>
      <c r="W540" s="85">
        <v>-1.8621267004455702</v>
      </c>
      <c r="X540" s="85">
        <v>-0.550492560809624</v>
      </c>
      <c r="Y540" s="50" t="s">
        <v>69</v>
      </c>
      <c r="Z540" s="50" t="s">
        <v>69</v>
      </c>
      <c r="AA540" s="50" t="s">
        <v>69</v>
      </c>
      <c r="AB540" s="50" t="s">
        <v>69</v>
      </c>
      <c r="AC540" s="34" t="str">
        <f t="shared" ref="AC540:AP540" si="540">LET(
  skater, IFERROR(INDEX(AllProj, MATCH($E540, AllProjNames, 0), MATCH(AC$2, AllProjCats, 0) + 1), ""),
  goalie, IFERROR(INDEX(AllGProj, MATCH($E540, AllGProjNames, 0), MATCH(AC$2, AllGProjCats, 0) + 1), ""),
  val, IF(skater &lt;&gt; "", skater, goalie),
  IF(OR($E540="", AC$2="", val=""), "", val * AC$1)
)</f>
        <v/>
      </c>
      <c r="AD540" s="34" t="str">
        <f t="shared" si="540"/>
        <v/>
      </c>
      <c r="AE540" s="34" t="str">
        <f t="shared" si="540"/>
        <v/>
      </c>
      <c r="AF540" s="34" t="str">
        <f t="shared" si="540"/>
        <v/>
      </c>
      <c r="AG540" s="34" t="str">
        <f t="shared" si="540"/>
        <v/>
      </c>
      <c r="AH540" s="34" t="str">
        <f t="shared" si="540"/>
        <v/>
      </c>
      <c r="AI540" s="34" t="str">
        <f t="shared" si="540"/>
        <v/>
      </c>
      <c r="AJ540" s="34" t="str">
        <f t="shared" si="540"/>
        <v/>
      </c>
      <c r="AK540" s="34" t="str">
        <f t="shared" si="540"/>
        <v/>
      </c>
      <c r="AL540" s="34" t="str">
        <f t="shared" si="540"/>
        <v/>
      </c>
      <c r="AM540" s="34" t="str">
        <f t="shared" si="540"/>
        <v/>
      </c>
      <c r="AN540" s="34" t="str">
        <f t="shared" si="540"/>
        <v/>
      </c>
      <c r="AO540" s="34" t="str">
        <f t="shared" si="540"/>
        <v/>
      </c>
      <c r="AP540" s="34" t="str">
        <f t="shared" si="540"/>
        <v/>
      </c>
      <c r="AQ540" s="76" t="s">
        <v>580</v>
      </c>
      <c r="AR540" s="77"/>
      <c r="AS540" s="77"/>
      <c r="AT540" s="77"/>
      <c r="AU540" s="77"/>
      <c r="AV540" s="77"/>
      <c r="AW540" s="77"/>
      <c r="AX540" s="77"/>
      <c r="AY540" s="77"/>
      <c r="AZ540" s="77"/>
      <c r="BA540" s="77"/>
      <c r="BB540" s="77"/>
      <c r="BC540" s="77"/>
      <c r="BD540" s="77"/>
      <c r="BE540" s="77"/>
      <c r="BF540" s="77"/>
      <c r="BG540" s="77"/>
      <c r="BH540" s="77"/>
      <c r="BI540" s="77"/>
      <c r="BJ540" s="77"/>
      <c r="BK540" s="77"/>
      <c r="BL540" s="77"/>
      <c r="BM540" s="78"/>
    </row>
    <row r="541">
      <c r="A541" s="41">
        <v>2.642857142857143</v>
      </c>
      <c r="B541" s="41" t="b">
        <v>0</v>
      </c>
      <c r="C541" s="41" t="b">
        <f t="shared" si="3"/>
        <v>0</v>
      </c>
      <c r="D541" s="42" t="s">
        <v>1565</v>
      </c>
      <c r="E541" s="43" t="s">
        <v>1177</v>
      </c>
      <c r="F541" s="44" t="s">
        <v>1498</v>
      </c>
      <c r="G541" s="29" t="s">
        <v>837</v>
      </c>
      <c r="H541" s="32">
        <v>-10.013207210223593</v>
      </c>
      <c r="I541" s="32">
        <v>-4.4833484382946915</v>
      </c>
      <c r="J541" s="45" t="s">
        <v>2209</v>
      </c>
      <c r="K541" s="29">
        <v>28.3</v>
      </c>
      <c r="L541" s="41">
        <v>76.71428571428571</v>
      </c>
      <c r="M541" s="46">
        <v>28.0</v>
      </c>
      <c r="N541" s="46">
        <v>7.0</v>
      </c>
      <c r="O541" s="47">
        <v>-2.243800824837125</v>
      </c>
      <c r="P541" s="47">
        <v>-1.0058581956450399</v>
      </c>
      <c r="Q541" s="47">
        <v>1.0081764998769274</v>
      </c>
      <c r="R541" s="47">
        <v>-1.504337518903525</v>
      </c>
      <c r="S541" s="47">
        <v>-1.6265985574421018</v>
      </c>
      <c r="T541" s="47">
        <v>-0.7871777123417198</v>
      </c>
      <c r="U541" s="47">
        <v>-2.1881410051670995</v>
      </c>
      <c r="V541" s="47">
        <v>0.0</v>
      </c>
      <c r="W541" s="47">
        <v>-1.7836725733363412</v>
      </c>
      <c r="X541" s="47">
        <v>0.11820267757243175</v>
      </c>
      <c r="Y541" s="50" t="s">
        <v>69</v>
      </c>
      <c r="Z541" s="50" t="s">
        <v>69</v>
      </c>
      <c r="AA541" s="50" t="s">
        <v>69</v>
      </c>
      <c r="AB541" s="50" t="s">
        <v>69</v>
      </c>
      <c r="AC541" s="34" t="str">
        <f t="shared" ref="AC541:AP541" si="541">LET(
  skater, IFERROR(INDEX(AllProj, MATCH($E541, AllProjNames, 0), MATCH(AC$2, AllProjCats, 0) + 1), ""),
  goalie, IFERROR(INDEX(AllGProj, MATCH($E541, AllGProjNames, 0), MATCH(AC$2, AllGProjCats, 0) + 1), ""),
  val, IF(skater &lt;&gt; "", skater, goalie),
  IF(OR($E541="", AC$2="", val=""), "", val * AC$1)
)</f>
        <v/>
      </c>
      <c r="AD541" s="34" t="str">
        <f t="shared" si="541"/>
        <v/>
      </c>
      <c r="AE541" s="34" t="str">
        <f t="shared" si="541"/>
        <v/>
      </c>
      <c r="AF541" s="34" t="str">
        <f t="shared" si="541"/>
        <v/>
      </c>
      <c r="AG541" s="34" t="str">
        <f t="shared" si="541"/>
        <v/>
      </c>
      <c r="AH541" s="34" t="str">
        <f t="shared" si="541"/>
        <v/>
      </c>
      <c r="AI541" s="34" t="str">
        <f t="shared" si="541"/>
        <v/>
      </c>
      <c r="AJ541" s="34" t="str">
        <f t="shared" si="541"/>
        <v/>
      </c>
      <c r="AK541" s="34" t="str">
        <f t="shared" si="541"/>
        <v/>
      </c>
      <c r="AL541" s="34" t="str">
        <f t="shared" si="541"/>
        <v/>
      </c>
      <c r="AM541" s="34" t="str">
        <f t="shared" si="541"/>
        <v/>
      </c>
      <c r="AN541" s="34" t="str">
        <f t="shared" si="541"/>
        <v/>
      </c>
      <c r="AO541" s="34" t="str">
        <f t="shared" si="541"/>
        <v/>
      </c>
      <c r="AP541" s="34" t="str">
        <f t="shared" si="541"/>
        <v/>
      </c>
      <c r="AQ541" s="76" t="s">
        <v>581</v>
      </c>
      <c r="AR541" s="77"/>
      <c r="AS541" s="77"/>
      <c r="AT541" s="77"/>
      <c r="AU541" s="77"/>
      <c r="AV541" s="77"/>
      <c r="AW541" s="77"/>
      <c r="AX541" s="77"/>
      <c r="AY541" s="77"/>
      <c r="AZ541" s="77"/>
      <c r="BA541" s="77"/>
      <c r="BB541" s="77"/>
      <c r="BC541" s="77"/>
      <c r="BD541" s="77"/>
      <c r="BE541" s="77"/>
      <c r="BF541" s="77"/>
      <c r="BG541" s="77"/>
      <c r="BH541" s="77"/>
      <c r="BI541" s="77"/>
      <c r="BJ541" s="77"/>
      <c r="BK541" s="77"/>
      <c r="BL541" s="77"/>
      <c r="BM541" s="78"/>
    </row>
    <row r="542">
      <c r="A542" s="79">
        <v>2.642857142857143</v>
      </c>
      <c r="B542" s="79" t="b">
        <v>0</v>
      </c>
      <c r="C542" s="79" t="b">
        <f t="shared" si="3"/>
        <v>0</v>
      </c>
      <c r="D542" s="80" t="s">
        <v>1565</v>
      </c>
      <c r="E542" s="81" t="s">
        <v>1136</v>
      </c>
      <c r="F542" s="82" t="s">
        <v>1454</v>
      </c>
      <c r="G542" s="35" t="s">
        <v>837</v>
      </c>
      <c r="H542" s="37">
        <v>-10.017338070440012</v>
      </c>
      <c r="I542" s="37">
        <v>-4.4874792985111105</v>
      </c>
      <c r="J542" s="83" t="s">
        <v>2210</v>
      </c>
      <c r="K542" s="35">
        <v>25.4</v>
      </c>
      <c r="L542" s="79">
        <v>72.14285714285714</v>
      </c>
      <c r="M542" s="84">
        <v>25.0</v>
      </c>
      <c r="N542" s="84">
        <v>6.0</v>
      </c>
      <c r="O542" s="85">
        <v>-2.024623234445724</v>
      </c>
      <c r="P542" s="85">
        <v>-1.7296849331853972</v>
      </c>
      <c r="Q542" s="85">
        <v>-2.1027761791651742</v>
      </c>
      <c r="R542" s="85">
        <v>-0.4385493100102976</v>
      </c>
      <c r="S542" s="85">
        <v>-1.7106089588440747</v>
      </c>
      <c r="T542" s="85">
        <v>-0.16952108464970286</v>
      </c>
      <c r="U542" s="85">
        <v>-1.8772824137568116</v>
      </c>
      <c r="V542" s="85">
        <v>0.0</v>
      </c>
      <c r="W542" s="85">
        <v>-0.33988244310231885</v>
      </c>
      <c r="X542" s="85">
        <v>0.3755904867194893</v>
      </c>
      <c r="Y542" s="50" t="s">
        <v>69</v>
      </c>
      <c r="Z542" s="50" t="s">
        <v>69</v>
      </c>
      <c r="AA542" s="50" t="s">
        <v>69</v>
      </c>
      <c r="AB542" s="50" t="s">
        <v>69</v>
      </c>
      <c r="AC542" s="34" t="str">
        <f t="shared" ref="AC542:AP542" si="542">LET(
  skater, IFERROR(INDEX(AllProj, MATCH($E542, AllProjNames, 0), MATCH(AC$2, AllProjCats, 0) + 1), ""),
  goalie, IFERROR(INDEX(AllGProj, MATCH($E542, AllGProjNames, 0), MATCH(AC$2, AllGProjCats, 0) + 1), ""),
  val, IF(skater &lt;&gt; "", skater, goalie),
  IF(OR($E542="", AC$2="", val=""), "", val * AC$1)
)</f>
        <v/>
      </c>
      <c r="AD542" s="34" t="str">
        <f t="shared" si="542"/>
        <v/>
      </c>
      <c r="AE542" s="34" t="str">
        <f t="shared" si="542"/>
        <v/>
      </c>
      <c r="AF542" s="34" t="str">
        <f t="shared" si="542"/>
        <v/>
      </c>
      <c r="AG542" s="34" t="str">
        <f t="shared" si="542"/>
        <v/>
      </c>
      <c r="AH542" s="34" t="str">
        <f t="shared" si="542"/>
        <v/>
      </c>
      <c r="AI542" s="34" t="str">
        <f t="shared" si="542"/>
        <v/>
      </c>
      <c r="AJ542" s="34" t="str">
        <f t="shared" si="542"/>
        <v/>
      </c>
      <c r="AK542" s="34" t="str">
        <f t="shared" si="542"/>
        <v/>
      </c>
      <c r="AL542" s="34" t="str">
        <f t="shared" si="542"/>
        <v/>
      </c>
      <c r="AM542" s="34" t="str">
        <f t="shared" si="542"/>
        <v/>
      </c>
      <c r="AN542" s="34" t="str">
        <f t="shared" si="542"/>
        <v/>
      </c>
      <c r="AO542" s="34" t="str">
        <f t="shared" si="542"/>
        <v/>
      </c>
      <c r="AP542" s="34" t="str">
        <f t="shared" si="542"/>
        <v/>
      </c>
      <c r="AQ542" s="76" t="s">
        <v>582</v>
      </c>
      <c r="AR542" s="77"/>
      <c r="AS542" s="77"/>
      <c r="AT542" s="77"/>
      <c r="AU542" s="77"/>
      <c r="AV542" s="77"/>
      <c r="AW542" s="77"/>
      <c r="AX542" s="77"/>
      <c r="AY542" s="77"/>
      <c r="AZ542" s="77"/>
      <c r="BA542" s="77"/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8"/>
    </row>
    <row r="543">
      <c r="A543" s="41">
        <v>2.642857142857143</v>
      </c>
      <c r="B543" s="41" t="b">
        <v>0</v>
      </c>
      <c r="C543" s="41" t="b">
        <f t="shared" si="3"/>
        <v>0</v>
      </c>
      <c r="D543" s="42" t="s">
        <v>1565</v>
      </c>
      <c r="E543" s="43" t="s">
        <v>1124</v>
      </c>
      <c r="F543" s="44" t="s">
        <v>930</v>
      </c>
      <c r="G543" s="29" t="s">
        <v>837</v>
      </c>
      <c r="H543" s="32">
        <v>-10.023490641024509</v>
      </c>
      <c r="I543" s="32">
        <v>-4.493631869095608</v>
      </c>
      <c r="J543" s="45" t="s">
        <v>2211</v>
      </c>
      <c r="K543" s="29">
        <v>35.9</v>
      </c>
      <c r="L543" s="41">
        <v>75.42857142857143</v>
      </c>
      <c r="M543" s="46">
        <v>29.0</v>
      </c>
      <c r="N543" s="46">
        <v>7.0</v>
      </c>
      <c r="O543" s="47">
        <v>-2.322848480388122</v>
      </c>
      <c r="P543" s="47">
        <v>-1.780723998011961</v>
      </c>
      <c r="Q543" s="47">
        <v>-0.33883560457636086</v>
      </c>
      <c r="R543" s="47">
        <v>-0.28756264708375695</v>
      </c>
      <c r="S543" s="47">
        <v>-1.72461069241107</v>
      </c>
      <c r="T543" s="47">
        <v>-0.16952108464970286</v>
      </c>
      <c r="U543" s="47">
        <v>-2.2978944613309857</v>
      </c>
      <c r="V543" s="47">
        <v>0.0</v>
      </c>
      <c r="W543" s="47">
        <v>-0.6613101728259515</v>
      </c>
      <c r="X543" s="47">
        <v>-0.4401834997465996</v>
      </c>
      <c r="Y543" s="50" t="s">
        <v>69</v>
      </c>
      <c r="Z543" s="50" t="s">
        <v>69</v>
      </c>
      <c r="AA543" s="50" t="s">
        <v>69</v>
      </c>
      <c r="AB543" s="50" t="s">
        <v>69</v>
      </c>
      <c r="AC543" s="34" t="str">
        <f t="shared" ref="AC543:AP543" si="543">LET(
  skater, IFERROR(INDEX(AllProj, MATCH($E543, AllProjNames, 0), MATCH(AC$2, AllProjCats, 0) + 1), ""),
  goalie, IFERROR(INDEX(AllGProj, MATCH($E543, AllGProjNames, 0), MATCH(AC$2, AllGProjCats, 0) + 1), ""),
  val, IF(skater &lt;&gt; "", skater, goalie),
  IF(OR($E543="", AC$2="", val=""), "", val * AC$1)
)</f>
        <v/>
      </c>
      <c r="AD543" s="34" t="str">
        <f t="shared" si="543"/>
        <v/>
      </c>
      <c r="AE543" s="34" t="str">
        <f t="shared" si="543"/>
        <v/>
      </c>
      <c r="AF543" s="34" t="str">
        <f t="shared" si="543"/>
        <v/>
      </c>
      <c r="AG543" s="34" t="str">
        <f t="shared" si="543"/>
        <v/>
      </c>
      <c r="AH543" s="34" t="str">
        <f t="shared" si="543"/>
        <v/>
      </c>
      <c r="AI543" s="34" t="str">
        <f t="shared" si="543"/>
        <v/>
      </c>
      <c r="AJ543" s="34" t="str">
        <f t="shared" si="543"/>
        <v/>
      </c>
      <c r="AK543" s="34" t="str">
        <f t="shared" si="543"/>
        <v/>
      </c>
      <c r="AL543" s="34" t="str">
        <f t="shared" si="543"/>
        <v/>
      </c>
      <c r="AM543" s="34" t="str">
        <f t="shared" si="543"/>
        <v/>
      </c>
      <c r="AN543" s="34" t="str">
        <f t="shared" si="543"/>
        <v/>
      </c>
      <c r="AO543" s="34" t="str">
        <f t="shared" si="543"/>
        <v/>
      </c>
      <c r="AP543" s="34" t="str">
        <f t="shared" si="543"/>
        <v/>
      </c>
      <c r="AQ543" s="76" t="s">
        <v>583</v>
      </c>
      <c r="AR543" s="77"/>
      <c r="AS543" s="77"/>
      <c r="AT543" s="77"/>
      <c r="AU543" s="77"/>
      <c r="AV543" s="77"/>
      <c r="AW543" s="77"/>
      <c r="AX543" s="77"/>
      <c r="AY543" s="77"/>
      <c r="AZ543" s="77"/>
      <c r="BA543" s="77"/>
      <c r="BB543" s="77"/>
      <c r="BC543" s="77"/>
      <c r="BD543" s="77"/>
      <c r="BE543" s="77"/>
      <c r="BF543" s="77"/>
      <c r="BG543" s="77"/>
      <c r="BH543" s="77"/>
      <c r="BI543" s="77"/>
      <c r="BJ543" s="77"/>
      <c r="BK543" s="77"/>
      <c r="BL543" s="77"/>
      <c r="BM543" s="78"/>
    </row>
    <row r="544">
      <c r="A544" s="79">
        <v>2.5714285714285716</v>
      </c>
      <c r="B544" s="79" t="b">
        <v>0</v>
      </c>
      <c r="C544" s="79" t="b">
        <f t="shared" si="3"/>
        <v>0</v>
      </c>
      <c r="D544" s="80" t="s">
        <v>1565</v>
      </c>
      <c r="E544" s="81" t="s">
        <v>1075</v>
      </c>
      <c r="F544" s="82" t="s">
        <v>1512</v>
      </c>
      <c r="G544" s="35" t="s">
        <v>830</v>
      </c>
      <c r="H544" s="37">
        <v>-10.034469611250326</v>
      </c>
      <c r="I544" s="37">
        <v>-4.646589486337588</v>
      </c>
      <c r="J544" s="83" t="s">
        <v>2212</v>
      </c>
      <c r="K544" s="35">
        <v>30.3</v>
      </c>
      <c r="L544" s="79">
        <v>78.71604166666667</v>
      </c>
      <c r="M544" s="84">
        <v>21.0</v>
      </c>
      <c r="N544" s="84">
        <v>7.0</v>
      </c>
      <c r="O544" s="85">
        <v>-0.5541717193842748</v>
      </c>
      <c r="P544" s="85">
        <v>-1.2734708142052562</v>
      </c>
      <c r="Q544" s="85">
        <v>-1.1459516581443487</v>
      </c>
      <c r="R544" s="85">
        <v>-1.6268334359896481</v>
      </c>
      <c r="S544" s="85">
        <v>-1.2807431966282603</v>
      </c>
      <c r="T544" s="85">
        <v>0.04261031143960721</v>
      </c>
      <c r="U544" s="85">
        <v>-1.2192914436901765</v>
      </c>
      <c r="V544" s="85">
        <v>0.3320497468099519</v>
      </c>
      <c r="W544" s="85">
        <v>-1.6005218704898794</v>
      </c>
      <c r="X544" s="85">
        <v>-1.7081455309680402</v>
      </c>
      <c r="Y544" s="50" t="s">
        <v>69</v>
      </c>
      <c r="Z544" s="50" t="s">
        <v>69</v>
      </c>
      <c r="AA544" s="50" t="s">
        <v>69</v>
      </c>
      <c r="AB544" s="50" t="s">
        <v>69</v>
      </c>
      <c r="AC544" s="34" t="str">
        <f t="shared" ref="AC544:AP544" si="544">LET(
  skater, IFERROR(INDEX(AllProj, MATCH($E544, AllProjNames, 0), MATCH(AC$2, AllProjCats, 0) + 1), ""),
  goalie, IFERROR(INDEX(AllGProj, MATCH($E544, AllGProjNames, 0), MATCH(AC$2, AllGProjCats, 0) + 1), ""),
  val, IF(skater &lt;&gt; "", skater, goalie),
  IF(OR($E544="", AC$2="", val=""), "", val * AC$1)
)</f>
        <v/>
      </c>
      <c r="AD544" s="34" t="str">
        <f t="shared" si="544"/>
        <v/>
      </c>
      <c r="AE544" s="34" t="str">
        <f t="shared" si="544"/>
        <v/>
      </c>
      <c r="AF544" s="34" t="str">
        <f t="shared" si="544"/>
        <v/>
      </c>
      <c r="AG544" s="34" t="str">
        <f t="shared" si="544"/>
        <v/>
      </c>
      <c r="AH544" s="34" t="str">
        <f t="shared" si="544"/>
        <v/>
      </c>
      <c r="AI544" s="34" t="str">
        <f t="shared" si="544"/>
        <v/>
      </c>
      <c r="AJ544" s="34" t="str">
        <f t="shared" si="544"/>
        <v/>
      </c>
      <c r="AK544" s="34" t="str">
        <f t="shared" si="544"/>
        <v/>
      </c>
      <c r="AL544" s="34" t="str">
        <f t="shared" si="544"/>
        <v/>
      </c>
      <c r="AM544" s="34" t="str">
        <f t="shared" si="544"/>
        <v/>
      </c>
      <c r="AN544" s="34" t="str">
        <f t="shared" si="544"/>
        <v/>
      </c>
      <c r="AO544" s="34" t="str">
        <f t="shared" si="544"/>
        <v/>
      </c>
      <c r="AP544" s="34" t="str">
        <f t="shared" si="544"/>
        <v/>
      </c>
      <c r="AQ544" s="76" t="s">
        <v>584</v>
      </c>
      <c r="AR544" s="77"/>
      <c r="AS544" s="77"/>
      <c r="AT544" s="77"/>
      <c r="AU544" s="77"/>
      <c r="AV544" s="77"/>
      <c r="AW544" s="77"/>
      <c r="AX544" s="77"/>
      <c r="AY544" s="77"/>
      <c r="AZ544" s="77"/>
      <c r="BA544" s="77"/>
      <c r="BB544" s="77"/>
      <c r="BC544" s="77"/>
      <c r="BD544" s="77"/>
      <c r="BE544" s="77"/>
      <c r="BF544" s="77"/>
      <c r="BG544" s="77"/>
      <c r="BH544" s="77"/>
      <c r="BI544" s="77"/>
      <c r="BJ544" s="77"/>
      <c r="BK544" s="77"/>
      <c r="BL544" s="77"/>
      <c r="BM544" s="78"/>
    </row>
    <row r="545">
      <c r="A545" s="41">
        <v>2.5714285714285716</v>
      </c>
      <c r="B545" s="41" t="b">
        <v>0</v>
      </c>
      <c r="C545" s="41" t="b">
        <f t="shared" si="3"/>
        <v>0</v>
      </c>
      <c r="D545" s="42" t="s">
        <v>1565</v>
      </c>
      <c r="E545" s="43" t="s">
        <v>1079</v>
      </c>
      <c r="F545" s="44" t="s">
        <v>1710</v>
      </c>
      <c r="G545" s="29" t="s">
        <v>832</v>
      </c>
      <c r="H545" s="32">
        <v>-10.05702126397562</v>
      </c>
      <c r="I545" s="32">
        <v>-4.6148836552477634</v>
      </c>
      <c r="J545" s="45" t="s">
        <v>2213</v>
      </c>
      <c r="K545" s="29">
        <v>20.5</v>
      </c>
      <c r="L545" s="41">
        <v>78.11764705882354</v>
      </c>
      <c r="M545" s="46">
        <v>23.0</v>
      </c>
      <c r="N545" s="46">
        <v>6.0</v>
      </c>
      <c r="O545" s="47">
        <v>-0.4481716106858508</v>
      </c>
      <c r="P545" s="47">
        <v>-0.1763100501753102</v>
      </c>
      <c r="Q545" s="47">
        <v>-3.513484518872601</v>
      </c>
      <c r="R545" s="47">
        <v>-2.131283942469621</v>
      </c>
      <c r="S545" s="47">
        <v>0.21451470841217787</v>
      </c>
      <c r="T545" s="47">
        <v>-0.7801438106182772</v>
      </c>
      <c r="U545" s="47">
        <v>-0.11898506746886967</v>
      </c>
      <c r="V545" s="47">
        <v>0.0</v>
      </c>
      <c r="W545" s="47">
        <v>-2.020031999421564</v>
      </c>
      <c r="X545" s="47">
        <v>-1.0831249726757053</v>
      </c>
      <c r="Y545" s="50" t="s">
        <v>69</v>
      </c>
      <c r="Z545" s="50" t="s">
        <v>69</v>
      </c>
      <c r="AA545" s="50" t="s">
        <v>69</v>
      </c>
      <c r="AB545" s="50" t="s">
        <v>69</v>
      </c>
      <c r="AC545" s="34" t="str">
        <f t="shared" ref="AC545:AP545" si="545">LET(
  skater, IFERROR(INDEX(AllProj, MATCH($E545, AllProjNames, 0), MATCH(AC$2, AllProjCats, 0) + 1), ""),
  goalie, IFERROR(INDEX(AllGProj, MATCH($E545, AllGProjNames, 0), MATCH(AC$2, AllGProjCats, 0) + 1), ""),
  val, IF(skater &lt;&gt; "", skater, goalie),
  IF(OR($E545="", AC$2="", val=""), "", val * AC$1)
)</f>
        <v/>
      </c>
      <c r="AD545" s="34" t="str">
        <f t="shared" si="545"/>
        <v/>
      </c>
      <c r="AE545" s="34" t="str">
        <f t="shared" si="545"/>
        <v/>
      </c>
      <c r="AF545" s="34" t="str">
        <f t="shared" si="545"/>
        <v/>
      </c>
      <c r="AG545" s="34" t="str">
        <f t="shared" si="545"/>
        <v/>
      </c>
      <c r="AH545" s="34" t="str">
        <f t="shared" si="545"/>
        <v/>
      </c>
      <c r="AI545" s="34" t="str">
        <f t="shared" si="545"/>
        <v/>
      </c>
      <c r="AJ545" s="34" t="str">
        <f t="shared" si="545"/>
        <v/>
      </c>
      <c r="AK545" s="34" t="str">
        <f t="shared" si="545"/>
        <v/>
      </c>
      <c r="AL545" s="34" t="str">
        <f t="shared" si="545"/>
        <v/>
      </c>
      <c r="AM545" s="34" t="str">
        <f t="shared" si="545"/>
        <v/>
      </c>
      <c r="AN545" s="34" t="str">
        <f t="shared" si="545"/>
        <v/>
      </c>
      <c r="AO545" s="34" t="str">
        <f t="shared" si="545"/>
        <v/>
      </c>
      <c r="AP545" s="34" t="str">
        <f t="shared" si="545"/>
        <v/>
      </c>
      <c r="AQ545" s="76" t="s">
        <v>585</v>
      </c>
      <c r="AR545" s="77"/>
      <c r="AS545" s="77"/>
      <c r="AT545" s="77"/>
      <c r="AU545" s="77"/>
      <c r="AV545" s="77"/>
      <c r="AW545" s="77"/>
      <c r="AX545" s="77"/>
      <c r="AY545" s="77"/>
      <c r="AZ545" s="77"/>
      <c r="BA545" s="77"/>
      <c r="BB545" s="77"/>
      <c r="BC545" s="77"/>
      <c r="BD545" s="77"/>
      <c r="BE545" s="77"/>
      <c r="BF545" s="77"/>
      <c r="BG545" s="77"/>
      <c r="BH545" s="77"/>
      <c r="BI545" s="77"/>
      <c r="BJ545" s="77"/>
      <c r="BK545" s="77"/>
      <c r="BL545" s="77"/>
      <c r="BM545" s="78"/>
    </row>
    <row r="546">
      <c r="A546" s="79">
        <v>2.642857142857143</v>
      </c>
      <c r="B546" s="79" t="b">
        <v>0</v>
      </c>
      <c r="C546" s="79" t="b">
        <f t="shared" si="3"/>
        <v>0</v>
      </c>
      <c r="D546" s="80" t="s">
        <v>1565</v>
      </c>
      <c r="E546" s="81" t="s">
        <v>1147</v>
      </c>
      <c r="F546" s="82" t="s">
        <v>1498</v>
      </c>
      <c r="G546" s="35" t="s">
        <v>284</v>
      </c>
      <c r="H546" s="37">
        <v>-10.16875398769387</v>
      </c>
      <c r="I546" s="37">
        <v>-5.130687967510785</v>
      </c>
      <c r="J546" s="83" t="s">
        <v>2214</v>
      </c>
      <c r="K546" s="35">
        <v>29.4</v>
      </c>
      <c r="L546" s="79">
        <v>79.87428571428572</v>
      </c>
      <c r="M546" s="84">
        <v>28.0</v>
      </c>
      <c r="N546" s="84">
        <v>7.0</v>
      </c>
      <c r="O546" s="85">
        <v>-0.42253550661780626</v>
      </c>
      <c r="P546" s="85">
        <v>-0.7013700699435571</v>
      </c>
      <c r="Q546" s="85">
        <v>-0.6582164967704787</v>
      </c>
      <c r="R546" s="85">
        <v>-1.9134806943572855</v>
      </c>
      <c r="S546" s="85">
        <v>-0.8715133297180727</v>
      </c>
      <c r="T546" s="85">
        <v>-0.7851233871795357</v>
      </c>
      <c r="U546" s="85">
        <v>-0.834435404763355</v>
      </c>
      <c r="V546" s="85">
        <v>0.0</v>
      </c>
      <c r="W546" s="85">
        <v>-2.376789474858166</v>
      </c>
      <c r="X546" s="85">
        <v>-1.6052896234856129</v>
      </c>
      <c r="Y546" s="50" t="s">
        <v>69</v>
      </c>
      <c r="Z546" s="50" t="s">
        <v>69</v>
      </c>
      <c r="AA546" s="50" t="s">
        <v>69</v>
      </c>
      <c r="AB546" s="50" t="s">
        <v>69</v>
      </c>
      <c r="AC546" s="34" t="str">
        <f t="shared" ref="AC546:AP546" si="546">LET(
  skater, IFERROR(INDEX(AllProj, MATCH($E546, AllProjNames, 0), MATCH(AC$2, AllProjCats, 0) + 1), ""),
  goalie, IFERROR(INDEX(AllGProj, MATCH($E546, AllGProjNames, 0), MATCH(AC$2, AllGProjCats, 0) + 1), ""),
  val, IF(skater &lt;&gt; "", skater, goalie),
  IF(OR($E546="", AC$2="", val=""), "", val * AC$1)
)</f>
        <v/>
      </c>
      <c r="AD546" s="34" t="str">
        <f t="shared" si="546"/>
        <v/>
      </c>
      <c r="AE546" s="34" t="str">
        <f t="shared" si="546"/>
        <v/>
      </c>
      <c r="AF546" s="34" t="str">
        <f t="shared" si="546"/>
        <v/>
      </c>
      <c r="AG546" s="34" t="str">
        <f t="shared" si="546"/>
        <v/>
      </c>
      <c r="AH546" s="34" t="str">
        <f t="shared" si="546"/>
        <v/>
      </c>
      <c r="AI546" s="34" t="str">
        <f t="shared" si="546"/>
        <v/>
      </c>
      <c r="AJ546" s="34" t="str">
        <f t="shared" si="546"/>
        <v/>
      </c>
      <c r="AK546" s="34" t="str">
        <f t="shared" si="546"/>
        <v/>
      </c>
      <c r="AL546" s="34" t="str">
        <f t="shared" si="546"/>
        <v/>
      </c>
      <c r="AM546" s="34" t="str">
        <f t="shared" si="546"/>
        <v/>
      </c>
      <c r="AN546" s="34" t="str">
        <f t="shared" si="546"/>
        <v/>
      </c>
      <c r="AO546" s="34" t="str">
        <f t="shared" si="546"/>
        <v/>
      </c>
      <c r="AP546" s="34" t="str">
        <f t="shared" si="546"/>
        <v/>
      </c>
      <c r="AQ546" s="76" t="s">
        <v>586</v>
      </c>
      <c r="AR546" s="77"/>
      <c r="AS546" s="77"/>
      <c r="AT546" s="77"/>
      <c r="AU546" s="77"/>
      <c r="AV546" s="77"/>
      <c r="AW546" s="77"/>
      <c r="AX546" s="77"/>
      <c r="AY546" s="77"/>
      <c r="AZ546" s="77"/>
      <c r="BA546" s="77"/>
      <c r="BB546" s="77"/>
      <c r="BC546" s="77"/>
      <c r="BD546" s="77"/>
      <c r="BE546" s="77"/>
      <c r="BF546" s="77"/>
      <c r="BG546" s="77"/>
      <c r="BH546" s="77"/>
      <c r="BI546" s="77"/>
      <c r="BJ546" s="77"/>
      <c r="BK546" s="77"/>
      <c r="BL546" s="77"/>
      <c r="BM546" s="78"/>
    </row>
    <row r="547">
      <c r="A547" s="41">
        <v>2.642857142857143</v>
      </c>
      <c r="B547" s="41" t="b">
        <v>0</v>
      </c>
      <c r="C547" s="41" t="b">
        <f t="shared" si="3"/>
        <v>0</v>
      </c>
      <c r="D547" s="42" t="s">
        <v>1565</v>
      </c>
      <c r="E547" s="43" t="s">
        <v>1161</v>
      </c>
      <c r="F547" s="44" t="s">
        <v>1706</v>
      </c>
      <c r="G547" s="29" t="s">
        <v>837</v>
      </c>
      <c r="H547" s="32">
        <v>-10.174465160514808</v>
      </c>
      <c r="I547" s="32">
        <v>-4.644606388585907</v>
      </c>
      <c r="J547" s="45" t="s">
        <v>2215</v>
      </c>
      <c r="K547" s="29">
        <v>22.2</v>
      </c>
      <c r="L547" s="41">
        <v>77.6025</v>
      </c>
      <c r="M547" s="46">
        <v>31.0</v>
      </c>
      <c r="N547" s="46">
        <v>7.0</v>
      </c>
      <c r="O547" s="47">
        <v>-1.8414847158774217</v>
      </c>
      <c r="P547" s="47">
        <v>-1.1685170000052791</v>
      </c>
      <c r="Q547" s="47">
        <v>-3.061367155072359</v>
      </c>
      <c r="R547" s="47">
        <v>-0.14927116380455452</v>
      </c>
      <c r="S547" s="47">
        <v>-1.1117168761105818</v>
      </c>
      <c r="T547" s="47">
        <v>-0.7561115714871612</v>
      </c>
      <c r="U547" s="47">
        <v>-0.9561999086658329</v>
      </c>
      <c r="V547" s="47">
        <v>0.0</v>
      </c>
      <c r="W547" s="47">
        <v>-1.1611221529095737</v>
      </c>
      <c r="X547" s="47">
        <v>0.03132538341795385</v>
      </c>
      <c r="Y547" s="50" t="s">
        <v>69</v>
      </c>
      <c r="Z547" s="50" t="s">
        <v>69</v>
      </c>
      <c r="AA547" s="50" t="s">
        <v>69</v>
      </c>
      <c r="AB547" s="50" t="s">
        <v>69</v>
      </c>
      <c r="AC547" s="34" t="str">
        <f t="shared" ref="AC547:AP547" si="547">LET(
  skater, IFERROR(INDEX(AllProj, MATCH($E547, AllProjNames, 0), MATCH(AC$2, AllProjCats, 0) + 1), ""),
  goalie, IFERROR(INDEX(AllGProj, MATCH($E547, AllGProjNames, 0), MATCH(AC$2, AllGProjCats, 0) + 1), ""),
  val, IF(skater &lt;&gt; "", skater, goalie),
  IF(OR($E547="", AC$2="", val=""), "", val * AC$1)
)</f>
        <v/>
      </c>
      <c r="AD547" s="34" t="str">
        <f t="shared" si="547"/>
        <v/>
      </c>
      <c r="AE547" s="34" t="str">
        <f t="shared" si="547"/>
        <v/>
      </c>
      <c r="AF547" s="34" t="str">
        <f t="shared" si="547"/>
        <v/>
      </c>
      <c r="AG547" s="34" t="str">
        <f t="shared" si="547"/>
        <v/>
      </c>
      <c r="AH547" s="34" t="str">
        <f t="shared" si="547"/>
        <v/>
      </c>
      <c r="AI547" s="34" t="str">
        <f t="shared" si="547"/>
        <v/>
      </c>
      <c r="AJ547" s="34" t="str">
        <f t="shared" si="547"/>
        <v/>
      </c>
      <c r="AK547" s="34" t="str">
        <f t="shared" si="547"/>
        <v/>
      </c>
      <c r="AL547" s="34" t="str">
        <f t="shared" si="547"/>
        <v/>
      </c>
      <c r="AM547" s="34" t="str">
        <f t="shared" si="547"/>
        <v/>
      </c>
      <c r="AN547" s="34" t="str">
        <f t="shared" si="547"/>
        <v/>
      </c>
      <c r="AO547" s="34" t="str">
        <f t="shared" si="547"/>
        <v/>
      </c>
      <c r="AP547" s="34" t="str">
        <f t="shared" si="547"/>
        <v/>
      </c>
      <c r="AQ547" s="76" t="s">
        <v>587</v>
      </c>
      <c r="AR547" s="77"/>
      <c r="AS547" s="77"/>
      <c r="AT547" s="77"/>
      <c r="AU547" s="77"/>
      <c r="AV547" s="77"/>
      <c r="AW547" s="77"/>
      <c r="AX547" s="77"/>
      <c r="AY547" s="77"/>
      <c r="AZ547" s="77"/>
      <c r="BA547" s="77"/>
      <c r="BB547" s="77"/>
      <c r="BC547" s="77"/>
      <c r="BD547" s="77"/>
      <c r="BE547" s="77"/>
      <c r="BF547" s="77"/>
      <c r="BG547" s="77"/>
      <c r="BH547" s="77"/>
      <c r="BI547" s="77"/>
      <c r="BJ547" s="77"/>
      <c r="BK547" s="77"/>
      <c r="BL547" s="77"/>
      <c r="BM547" s="78"/>
    </row>
    <row r="548">
      <c r="A548" s="79">
        <v>2.642857142857143</v>
      </c>
      <c r="B548" s="79" t="b">
        <v>0</v>
      </c>
      <c r="C548" s="79" t="b">
        <f t="shared" si="3"/>
        <v>0</v>
      </c>
      <c r="D548" s="80" t="s">
        <v>1565</v>
      </c>
      <c r="E548" s="81" t="s">
        <v>1178</v>
      </c>
      <c r="F548" s="82" t="s">
        <v>1299</v>
      </c>
      <c r="G548" s="35" t="s">
        <v>284</v>
      </c>
      <c r="H548" s="37">
        <v>-10.184553389756775</v>
      </c>
      <c r="I548" s="37">
        <v>-5.14648736957369</v>
      </c>
      <c r="J548" s="83" t="s">
        <v>2216</v>
      </c>
      <c r="K548" s="35">
        <v>26.2</v>
      </c>
      <c r="L548" s="79">
        <v>74.2</v>
      </c>
      <c r="M548" s="84">
        <v>31.0</v>
      </c>
      <c r="N548" s="84">
        <v>7.0</v>
      </c>
      <c r="O548" s="85">
        <v>-1.8420950116279666</v>
      </c>
      <c r="P548" s="85">
        <v>-1.7538124911034092</v>
      </c>
      <c r="Q548" s="85">
        <v>-3.357729307148248</v>
      </c>
      <c r="R548" s="85">
        <v>-0.21473378614271976</v>
      </c>
      <c r="S548" s="85">
        <v>-1.5145846889061378</v>
      </c>
      <c r="T548" s="85">
        <v>0.44813554304231407</v>
      </c>
      <c r="U548" s="85">
        <v>-2.0923203230791083</v>
      </c>
      <c r="V548" s="85">
        <v>0.5104219867267361</v>
      </c>
      <c r="W548" s="85">
        <v>0.7632762606231249</v>
      </c>
      <c r="X548" s="85">
        <v>-1.131111572141358</v>
      </c>
      <c r="Y548" s="50" t="s">
        <v>69</v>
      </c>
      <c r="Z548" s="50" t="s">
        <v>69</v>
      </c>
      <c r="AA548" s="50" t="s">
        <v>69</v>
      </c>
      <c r="AB548" s="50" t="s">
        <v>69</v>
      </c>
      <c r="AC548" s="34" t="str">
        <f t="shared" ref="AC548:AP548" si="548">LET(
  skater, IFERROR(INDEX(AllProj, MATCH($E548, AllProjNames, 0), MATCH(AC$2, AllProjCats, 0) + 1), ""),
  goalie, IFERROR(INDEX(AllGProj, MATCH($E548, AllGProjNames, 0), MATCH(AC$2, AllGProjCats, 0) + 1), ""),
  val, IF(skater &lt;&gt; "", skater, goalie),
  IF(OR($E548="", AC$2="", val=""), "", val * AC$1)
)</f>
        <v/>
      </c>
      <c r="AD548" s="34" t="str">
        <f t="shared" si="548"/>
        <v/>
      </c>
      <c r="AE548" s="34" t="str">
        <f t="shared" si="548"/>
        <v/>
      </c>
      <c r="AF548" s="34" t="str">
        <f t="shared" si="548"/>
        <v/>
      </c>
      <c r="AG548" s="34" t="str">
        <f t="shared" si="548"/>
        <v/>
      </c>
      <c r="AH548" s="34" t="str">
        <f t="shared" si="548"/>
        <v/>
      </c>
      <c r="AI548" s="34" t="str">
        <f t="shared" si="548"/>
        <v/>
      </c>
      <c r="AJ548" s="34" t="str">
        <f t="shared" si="548"/>
        <v/>
      </c>
      <c r="AK548" s="34" t="str">
        <f t="shared" si="548"/>
        <v/>
      </c>
      <c r="AL548" s="34" t="str">
        <f t="shared" si="548"/>
        <v/>
      </c>
      <c r="AM548" s="34" t="str">
        <f t="shared" si="548"/>
        <v/>
      </c>
      <c r="AN548" s="34" t="str">
        <f t="shared" si="548"/>
        <v/>
      </c>
      <c r="AO548" s="34" t="str">
        <f t="shared" si="548"/>
        <v/>
      </c>
      <c r="AP548" s="34" t="str">
        <f t="shared" si="548"/>
        <v/>
      </c>
      <c r="AQ548" s="76" t="s">
        <v>588</v>
      </c>
      <c r="AR548" s="77"/>
      <c r="AS548" s="77"/>
      <c r="AT548" s="77"/>
      <c r="AU548" s="77"/>
      <c r="AV548" s="77"/>
      <c r="AW548" s="77"/>
      <c r="AX548" s="77"/>
      <c r="AY548" s="77"/>
      <c r="AZ548" s="77"/>
      <c r="BA548" s="77"/>
      <c r="BB548" s="77"/>
      <c r="BC548" s="77"/>
      <c r="BD548" s="77"/>
      <c r="BE548" s="77"/>
      <c r="BF548" s="77"/>
      <c r="BG548" s="77"/>
      <c r="BH548" s="77"/>
      <c r="BI548" s="77"/>
      <c r="BJ548" s="77"/>
      <c r="BK548" s="77"/>
      <c r="BL548" s="77"/>
      <c r="BM548" s="78"/>
    </row>
    <row r="549">
      <c r="A549" s="41">
        <v>2.642857142857143</v>
      </c>
      <c r="B549" s="41" t="b">
        <v>0</v>
      </c>
      <c r="C549" s="41" t="b">
        <f t="shared" si="3"/>
        <v>0</v>
      </c>
      <c r="D549" s="42" t="s">
        <v>1565</v>
      </c>
      <c r="E549" s="43" t="s">
        <v>1241</v>
      </c>
      <c r="F549" s="44" t="s">
        <v>1299</v>
      </c>
      <c r="G549" s="29" t="s">
        <v>837</v>
      </c>
      <c r="H549" s="32">
        <v>-10.19428364414703</v>
      </c>
      <c r="I549" s="32">
        <v>-4.664424872218128</v>
      </c>
      <c r="J549" s="45" t="s">
        <v>2217</v>
      </c>
      <c r="K549" s="29">
        <v>20.3</v>
      </c>
      <c r="L549" s="41">
        <v>79.75999999999999</v>
      </c>
      <c r="M549" s="46">
        <v>31.0</v>
      </c>
      <c r="N549" s="46">
        <v>7.0</v>
      </c>
      <c r="O549" s="47">
        <v>-2.1392804556944673</v>
      </c>
      <c r="P549" s="47">
        <v>-0.9896795939076899</v>
      </c>
      <c r="Q549" s="47">
        <v>-1.5633662133068613</v>
      </c>
      <c r="R549" s="47">
        <v>-1.1031570799892034</v>
      </c>
      <c r="S549" s="47">
        <v>-1.2064881350118357</v>
      </c>
      <c r="T549" s="47">
        <v>-0.7461077086809396</v>
      </c>
      <c r="U549" s="47">
        <v>-1.4990948576486371</v>
      </c>
      <c r="V549" s="47">
        <v>0.0</v>
      </c>
      <c r="W549" s="47">
        <v>-0.9099245154887852</v>
      </c>
      <c r="X549" s="47">
        <v>-0.03718508441860866</v>
      </c>
      <c r="Y549" s="50" t="s">
        <v>69</v>
      </c>
      <c r="Z549" s="50" t="s">
        <v>69</v>
      </c>
      <c r="AA549" s="50" t="s">
        <v>69</v>
      </c>
      <c r="AB549" s="50" t="s">
        <v>69</v>
      </c>
      <c r="AC549" s="34" t="str">
        <f t="shared" ref="AC549:AP549" si="549">LET(
  skater, IFERROR(INDEX(AllProj, MATCH($E549, AllProjNames, 0), MATCH(AC$2, AllProjCats, 0) + 1), ""),
  goalie, IFERROR(INDEX(AllGProj, MATCH($E549, AllGProjNames, 0), MATCH(AC$2, AllGProjCats, 0) + 1), ""),
  val, IF(skater &lt;&gt; "", skater, goalie),
  IF(OR($E549="", AC$2="", val=""), "", val * AC$1)
)</f>
        <v/>
      </c>
      <c r="AD549" s="34" t="str">
        <f t="shared" si="549"/>
        <v/>
      </c>
      <c r="AE549" s="34" t="str">
        <f t="shared" si="549"/>
        <v/>
      </c>
      <c r="AF549" s="34" t="str">
        <f t="shared" si="549"/>
        <v/>
      </c>
      <c r="AG549" s="34" t="str">
        <f t="shared" si="549"/>
        <v/>
      </c>
      <c r="AH549" s="34" t="str">
        <f t="shared" si="549"/>
        <v/>
      </c>
      <c r="AI549" s="34" t="str">
        <f t="shared" si="549"/>
        <v/>
      </c>
      <c r="AJ549" s="34" t="str">
        <f t="shared" si="549"/>
        <v/>
      </c>
      <c r="AK549" s="34" t="str">
        <f t="shared" si="549"/>
        <v/>
      </c>
      <c r="AL549" s="34" t="str">
        <f t="shared" si="549"/>
        <v/>
      </c>
      <c r="AM549" s="34" t="str">
        <f t="shared" si="549"/>
        <v/>
      </c>
      <c r="AN549" s="34" t="str">
        <f t="shared" si="549"/>
        <v/>
      </c>
      <c r="AO549" s="34" t="str">
        <f t="shared" si="549"/>
        <v/>
      </c>
      <c r="AP549" s="34" t="str">
        <f t="shared" si="549"/>
        <v/>
      </c>
      <c r="AQ549" s="76" t="s">
        <v>589</v>
      </c>
      <c r="AR549" s="77"/>
      <c r="AS549" s="77"/>
      <c r="AT549" s="77"/>
      <c r="AU549" s="77"/>
      <c r="AV549" s="77"/>
      <c r="AW549" s="77"/>
      <c r="AX549" s="77"/>
      <c r="AY549" s="77"/>
      <c r="AZ549" s="77"/>
      <c r="BA549" s="77"/>
      <c r="BB549" s="77"/>
      <c r="BC549" s="77"/>
      <c r="BD549" s="77"/>
      <c r="BE549" s="77"/>
      <c r="BF549" s="77"/>
      <c r="BG549" s="77"/>
      <c r="BH549" s="77"/>
      <c r="BI549" s="77"/>
      <c r="BJ549" s="77"/>
      <c r="BK549" s="77"/>
      <c r="BL549" s="77"/>
      <c r="BM549" s="78"/>
    </row>
    <row r="550">
      <c r="A550" s="79">
        <v>2.5714285714285716</v>
      </c>
      <c r="B550" s="79" t="b">
        <v>0</v>
      </c>
      <c r="C550" s="79" t="b">
        <f t="shared" si="3"/>
        <v>0</v>
      </c>
      <c r="D550" s="80" t="s">
        <v>1565</v>
      </c>
      <c r="E550" s="81" t="s">
        <v>1088</v>
      </c>
      <c r="F550" s="82" t="s">
        <v>1505</v>
      </c>
      <c r="G550" s="35" t="s">
        <v>284</v>
      </c>
      <c r="H550" s="37">
        <v>-10.200250531937153</v>
      </c>
      <c r="I550" s="37">
        <v>-5.1621845117540675</v>
      </c>
      <c r="J550" s="83" t="s">
        <v>2218</v>
      </c>
      <c r="K550" s="35">
        <v>30.0</v>
      </c>
      <c r="L550" s="79">
        <v>79.85714285714286</v>
      </c>
      <c r="M550" s="84">
        <v>30.0</v>
      </c>
      <c r="N550" s="84">
        <v>5.0</v>
      </c>
      <c r="O550" s="85">
        <v>-1.5395580753827864</v>
      </c>
      <c r="P550" s="85">
        <v>-1.7227250607090476</v>
      </c>
      <c r="Q550" s="85">
        <v>-1.9207319391760405</v>
      </c>
      <c r="R550" s="85">
        <v>-0.7405226358633785</v>
      </c>
      <c r="S550" s="85">
        <v>-1.5752588676964516</v>
      </c>
      <c r="T550" s="85">
        <v>0.44813554304231407</v>
      </c>
      <c r="U550" s="85">
        <v>-2.038955169543135</v>
      </c>
      <c r="V550" s="85">
        <v>1.434897226446013</v>
      </c>
      <c r="W550" s="85">
        <v>-1.6162257050285835</v>
      </c>
      <c r="X550" s="85">
        <v>-0.9293058480260573</v>
      </c>
      <c r="Y550" s="50" t="s">
        <v>69</v>
      </c>
      <c r="Z550" s="50" t="s">
        <v>69</v>
      </c>
      <c r="AA550" s="50" t="s">
        <v>69</v>
      </c>
      <c r="AB550" s="50" t="s">
        <v>69</v>
      </c>
      <c r="AC550" s="34" t="str">
        <f t="shared" ref="AC550:AP550" si="550">LET(
  skater, IFERROR(INDEX(AllProj, MATCH($E550, AllProjNames, 0), MATCH(AC$2, AllProjCats, 0) + 1), ""),
  goalie, IFERROR(INDEX(AllGProj, MATCH($E550, AllGProjNames, 0), MATCH(AC$2, AllGProjCats, 0) + 1), ""),
  val, IF(skater &lt;&gt; "", skater, goalie),
  IF(OR($E550="", AC$2="", val=""), "", val * AC$1)
)</f>
        <v/>
      </c>
      <c r="AD550" s="34" t="str">
        <f t="shared" si="550"/>
        <v/>
      </c>
      <c r="AE550" s="34" t="str">
        <f t="shared" si="550"/>
        <v/>
      </c>
      <c r="AF550" s="34" t="str">
        <f t="shared" si="550"/>
        <v/>
      </c>
      <c r="AG550" s="34" t="str">
        <f t="shared" si="550"/>
        <v/>
      </c>
      <c r="AH550" s="34" t="str">
        <f t="shared" si="550"/>
        <v/>
      </c>
      <c r="AI550" s="34" t="str">
        <f t="shared" si="550"/>
        <v/>
      </c>
      <c r="AJ550" s="34" t="str">
        <f t="shared" si="550"/>
        <v/>
      </c>
      <c r="AK550" s="34" t="str">
        <f t="shared" si="550"/>
        <v/>
      </c>
      <c r="AL550" s="34" t="str">
        <f t="shared" si="550"/>
        <v/>
      </c>
      <c r="AM550" s="34" t="str">
        <f t="shared" si="550"/>
        <v/>
      </c>
      <c r="AN550" s="34" t="str">
        <f t="shared" si="550"/>
        <v/>
      </c>
      <c r="AO550" s="34" t="str">
        <f t="shared" si="550"/>
        <v/>
      </c>
      <c r="AP550" s="34" t="str">
        <f t="shared" si="550"/>
        <v/>
      </c>
      <c r="AQ550" s="76" t="s">
        <v>590</v>
      </c>
      <c r="AR550" s="77"/>
      <c r="AS550" s="77"/>
      <c r="AT550" s="77"/>
      <c r="AU550" s="77"/>
      <c r="AV550" s="77"/>
      <c r="AW550" s="77"/>
      <c r="AX550" s="77"/>
      <c r="AY550" s="77"/>
      <c r="AZ550" s="77"/>
      <c r="BA550" s="77"/>
      <c r="BB550" s="77"/>
      <c r="BC550" s="77"/>
      <c r="BD550" s="77"/>
      <c r="BE550" s="77"/>
      <c r="BF550" s="77"/>
      <c r="BG550" s="77"/>
      <c r="BH550" s="77"/>
      <c r="BI550" s="77"/>
      <c r="BJ550" s="77"/>
      <c r="BK550" s="77"/>
      <c r="BL550" s="77"/>
      <c r="BM550" s="78"/>
    </row>
    <row r="551">
      <c r="A551" s="41">
        <v>2.5714285714285716</v>
      </c>
      <c r="B551" s="41" t="b">
        <v>0</v>
      </c>
      <c r="C551" s="41" t="b">
        <f t="shared" si="3"/>
        <v>0</v>
      </c>
      <c r="D551" s="42" t="s">
        <v>1565</v>
      </c>
      <c r="E551" s="43" t="s">
        <v>995</v>
      </c>
      <c r="F551" s="44" t="s">
        <v>1473</v>
      </c>
      <c r="G551" s="29" t="s">
        <v>837</v>
      </c>
      <c r="H551" s="32">
        <v>-10.203101492179101</v>
      </c>
      <c r="I551" s="32">
        <v>-4.6732427202502</v>
      </c>
      <c r="J551" s="45" t="s">
        <v>2219</v>
      </c>
      <c r="K551" s="29">
        <v>31.9</v>
      </c>
      <c r="L551" s="41">
        <v>76.0</v>
      </c>
      <c r="M551" s="46">
        <v>25.0</v>
      </c>
      <c r="N551" s="46">
        <v>6.0</v>
      </c>
      <c r="O551" s="47">
        <v>-2.1899046960523543</v>
      </c>
      <c r="P551" s="47">
        <v>-1.2448138173330423</v>
      </c>
      <c r="Q551" s="47">
        <v>-2.1104888150735466</v>
      </c>
      <c r="R551" s="47">
        <v>-1.7441398659045013</v>
      </c>
      <c r="S551" s="47">
        <v>-1.533253666995465</v>
      </c>
      <c r="T551" s="47">
        <v>-0.16952108464970286</v>
      </c>
      <c r="U551" s="47">
        <v>-1.655146676131701</v>
      </c>
      <c r="V551" s="47">
        <v>0.0</v>
      </c>
      <c r="W551" s="47">
        <v>-1.1414025924495923</v>
      </c>
      <c r="X551" s="47">
        <v>1.585569722410805</v>
      </c>
      <c r="Y551" s="50" t="s">
        <v>69</v>
      </c>
      <c r="Z551" s="50" t="s">
        <v>69</v>
      </c>
      <c r="AA551" s="50" t="s">
        <v>69</v>
      </c>
      <c r="AB551" s="50" t="s">
        <v>69</v>
      </c>
      <c r="AC551" s="34" t="str">
        <f t="shared" ref="AC551:AP551" si="551">LET(
  skater, IFERROR(INDEX(AllProj, MATCH($E551, AllProjNames, 0), MATCH(AC$2, AllProjCats, 0) + 1), ""),
  goalie, IFERROR(INDEX(AllGProj, MATCH($E551, AllGProjNames, 0), MATCH(AC$2, AllGProjCats, 0) + 1), ""),
  val, IF(skater &lt;&gt; "", skater, goalie),
  IF(OR($E551="", AC$2="", val=""), "", val * AC$1)
)</f>
        <v/>
      </c>
      <c r="AD551" s="34" t="str">
        <f t="shared" si="551"/>
        <v/>
      </c>
      <c r="AE551" s="34" t="str">
        <f t="shared" si="551"/>
        <v/>
      </c>
      <c r="AF551" s="34" t="str">
        <f t="shared" si="551"/>
        <v/>
      </c>
      <c r="AG551" s="34" t="str">
        <f t="shared" si="551"/>
        <v/>
      </c>
      <c r="AH551" s="34" t="str">
        <f t="shared" si="551"/>
        <v/>
      </c>
      <c r="AI551" s="34" t="str">
        <f t="shared" si="551"/>
        <v/>
      </c>
      <c r="AJ551" s="34" t="str">
        <f t="shared" si="551"/>
        <v/>
      </c>
      <c r="AK551" s="34" t="str">
        <f t="shared" si="551"/>
        <v/>
      </c>
      <c r="AL551" s="34" t="str">
        <f t="shared" si="551"/>
        <v/>
      </c>
      <c r="AM551" s="34" t="str">
        <f t="shared" si="551"/>
        <v/>
      </c>
      <c r="AN551" s="34" t="str">
        <f t="shared" si="551"/>
        <v/>
      </c>
      <c r="AO551" s="34" t="str">
        <f t="shared" si="551"/>
        <v/>
      </c>
      <c r="AP551" s="34" t="str">
        <f t="shared" si="551"/>
        <v/>
      </c>
      <c r="AQ551" s="76" t="s">
        <v>591</v>
      </c>
      <c r="AR551" s="77"/>
      <c r="AS551" s="77"/>
      <c r="AT551" s="77"/>
      <c r="AU551" s="77"/>
      <c r="AV551" s="77"/>
      <c r="AW551" s="77"/>
      <c r="AX551" s="77"/>
      <c r="AY551" s="77"/>
      <c r="AZ551" s="77"/>
      <c r="BA551" s="77"/>
      <c r="BB551" s="77"/>
      <c r="BC551" s="77"/>
      <c r="BD551" s="77"/>
      <c r="BE551" s="77"/>
      <c r="BF551" s="77"/>
      <c r="BG551" s="77"/>
      <c r="BH551" s="77"/>
      <c r="BI551" s="77"/>
      <c r="BJ551" s="77"/>
      <c r="BK551" s="77"/>
      <c r="BL551" s="77"/>
      <c r="BM551" s="78"/>
    </row>
    <row r="552">
      <c r="A552" s="79">
        <v>2.642857142857143</v>
      </c>
      <c r="B552" s="79" t="b">
        <v>0</v>
      </c>
      <c r="C552" s="79" t="b">
        <f t="shared" si="3"/>
        <v>0</v>
      </c>
      <c r="D552" s="80" t="s">
        <v>1565</v>
      </c>
      <c r="E552" s="81" t="s">
        <v>1230</v>
      </c>
      <c r="F552" s="82" t="s">
        <v>854</v>
      </c>
      <c r="G552" s="35" t="s">
        <v>284</v>
      </c>
      <c r="H552" s="37">
        <v>-10.219640166455576</v>
      </c>
      <c r="I552" s="37">
        <v>-5.181574146272491</v>
      </c>
      <c r="J552" s="83" t="s">
        <v>2220</v>
      </c>
      <c r="K552" s="35">
        <v>22.4</v>
      </c>
      <c r="L552" s="79">
        <v>74.8</v>
      </c>
      <c r="M552" s="84">
        <v>16.0</v>
      </c>
      <c r="N552" s="84">
        <v>6.0</v>
      </c>
      <c r="O552" s="85">
        <v>-1.0976098193476658</v>
      </c>
      <c r="P552" s="85">
        <v>-1.5556881212766573</v>
      </c>
      <c r="Q552" s="85">
        <v>-1.0668947455249338</v>
      </c>
      <c r="R552" s="85">
        <v>-1.3213772097101877</v>
      </c>
      <c r="S552" s="85">
        <v>-1.2578862401778874</v>
      </c>
      <c r="T552" s="85">
        <v>-0.7871777123417198</v>
      </c>
      <c r="U552" s="85">
        <v>-1.8963413971625167</v>
      </c>
      <c r="V552" s="85">
        <v>0.0</v>
      </c>
      <c r="W552" s="85">
        <v>0.28950700945306374</v>
      </c>
      <c r="X552" s="85">
        <v>-1.526171930367074</v>
      </c>
      <c r="Y552" s="50" t="s">
        <v>69</v>
      </c>
      <c r="Z552" s="50" t="s">
        <v>69</v>
      </c>
      <c r="AA552" s="50" t="s">
        <v>69</v>
      </c>
      <c r="AB552" s="50" t="s">
        <v>69</v>
      </c>
      <c r="AC552" s="34" t="str">
        <f t="shared" ref="AC552:AP552" si="552">LET(
  skater, IFERROR(INDEX(AllProj, MATCH($E552, AllProjNames, 0), MATCH(AC$2, AllProjCats, 0) + 1), ""),
  goalie, IFERROR(INDEX(AllGProj, MATCH($E552, AllGProjNames, 0), MATCH(AC$2, AllGProjCats, 0) + 1), ""),
  val, IF(skater &lt;&gt; "", skater, goalie),
  IF(OR($E552="", AC$2="", val=""), "", val * AC$1)
)</f>
        <v/>
      </c>
      <c r="AD552" s="34" t="str">
        <f t="shared" si="552"/>
        <v/>
      </c>
      <c r="AE552" s="34" t="str">
        <f t="shared" si="552"/>
        <v/>
      </c>
      <c r="AF552" s="34" t="str">
        <f t="shared" si="552"/>
        <v/>
      </c>
      <c r="AG552" s="34" t="str">
        <f t="shared" si="552"/>
        <v/>
      </c>
      <c r="AH552" s="34" t="str">
        <f t="shared" si="552"/>
        <v/>
      </c>
      <c r="AI552" s="34" t="str">
        <f t="shared" si="552"/>
        <v/>
      </c>
      <c r="AJ552" s="34" t="str">
        <f t="shared" si="552"/>
        <v/>
      </c>
      <c r="AK552" s="34" t="str">
        <f t="shared" si="552"/>
        <v/>
      </c>
      <c r="AL552" s="34" t="str">
        <f t="shared" si="552"/>
        <v/>
      </c>
      <c r="AM552" s="34" t="str">
        <f t="shared" si="552"/>
        <v/>
      </c>
      <c r="AN552" s="34" t="str">
        <f t="shared" si="552"/>
        <v/>
      </c>
      <c r="AO552" s="34" t="str">
        <f t="shared" si="552"/>
        <v/>
      </c>
      <c r="AP552" s="34" t="str">
        <f t="shared" si="552"/>
        <v/>
      </c>
      <c r="AQ552" s="76" t="s">
        <v>592</v>
      </c>
      <c r="AR552" s="77"/>
      <c r="AS552" s="77"/>
      <c r="AT552" s="77"/>
      <c r="AU552" s="77"/>
      <c r="AV552" s="77"/>
      <c r="AW552" s="77"/>
      <c r="AX552" s="77"/>
      <c r="AY552" s="77"/>
      <c r="AZ552" s="77"/>
      <c r="BA552" s="77"/>
      <c r="BB552" s="77"/>
      <c r="BC552" s="77"/>
      <c r="BD552" s="77"/>
      <c r="BE552" s="77"/>
      <c r="BF552" s="77"/>
      <c r="BG552" s="77"/>
      <c r="BH552" s="77"/>
      <c r="BI552" s="77"/>
      <c r="BJ552" s="77"/>
      <c r="BK552" s="77"/>
      <c r="BL552" s="77"/>
      <c r="BM552" s="78"/>
    </row>
    <row r="553">
      <c r="A553" s="41">
        <v>2.5714285714285716</v>
      </c>
      <c r="B553" s="41" t="b">
        <v>0</v>
      </c>
      <c r="C553" s="41" t="b">
        <f t="shared" si="3"/>
        <v>0</v>
      </c>
      <c r="D553" s="42" t="s">
        <v>1565</v>
      </c>
      <c r="E553" s="43" t="s">
        <v>1082</v>
      </c>
      <c r="F553" s="44" t="s">
        <v>1498</v>
      </c>
      <c r="G553" s="29" t="s">
        <v>832</v>
      </c>
      <c r="H553" s="32">
        <v>-10.221515680327983</v>
      </c>
      <c r="I553" s="32">
        <v>-4.779378071600125</v>
      </c>
      <c r="J553" s="45" t="s">
        <v>2221</v>
      </c>
      <c r="K553" s="29">
        <v>28.6</v>
      </c>
      <c r="L553" s="41">
        <v>75.53583333333334</v>
      </c>
      <c r="M553" s="46">
        <v>28.0</v>
      </c>
      <c r="N553" s="46">
        <v>7.0</v>
      </c>
      <c r="O553" s="47">
        <v>-0.9018146967386892</v>
      </c>
      <c r="P553" s="47">
        <v>-1.4163946379004164</v>
      </c>
      <c r="Q553" s="47">
        <v>-1.053554826906057</v>
      </c>
      <c r="R553" s="47">
        <v>-1.9078124281850177</v>
      </c>
      <c r="S553" s="47">
        <v>-1.2327368823416702</v>
      </c>
      <c r="T553" s="47">
        <v>-0.7854211285152791</v>
      </c>
      <c r="U553" s="47">
        <v>-1.3536354977927445</v>
      </c>
      <c r="V553" s="47">
        <v>0.0</v>
      </c>
      <c r="W553" s="47">
        <v>-0.3344525547014921</v>
      </c>
      <c r="X553" s="47">
        <v>-1.2356930272466156</v>
      </c>
      <c r="Y553" s="50" t="s">
        <v>69</v>
      </c>
      <c r="Z553" s="50" t="s">
        <v>69</v>
      </c>
      <c r="AA553" s="50" t="s">
        <v>69</v>
      </c>
      <c r="AB553" s="50" t="s">
        <v>69</v>
      </c>
      <c r="AC553" s="34" t="str">
        <f t="shared" ref="AC553:AP553" si="553">LET(
  skater, IFERROR(INDEX(AllProj, MATCH($E553, AllProjNames, 0), MATCH(AC$2, AllProjCats, 0) + 1), ""),
  goalie, IFERROR(INDEX(AllGProj, MATCH($E553, AllGProjNames, 0), MATCH(AC$2, AllGProjCats, 0) + 1), ""),
  val, IF(skater &lt;&gt; "", skater, goalie),
  IF(OR($E553="", AC$2="", val=""), "", val * AC$1)
)</f>
        <v/>
      </c>
      <c r="AD553" s="34" t="str">
        <f t="shared" si="553"/>
        <v/>
      </c>
      <c r="AE553" s="34" t="str">
        <f t="shared" si="553"/>
        <v/>
      </c>
      <c r="AF553" s="34" t="str">
        <f t="shared" si="553"/>
        <v/>
      </c>
      <c r="AG553" s="34" t="str">
        <f t="shared" si="553"/>
        <v/>
      </c>
      <c r="AH553" s="34" t="str">
        <f t="shared" si="553"/>
        <v/>
      </c>
      <c r="AI553" s="34" t="str">
        <f t="shared" si="553"/>
        <v/>
      </c>
      <c r="AJ553" s="34" t="str">
        <f t="shared" si="553"/>
        <v/>
      </c>
      <c r="AK553" s="34" t="str">
        <f t="shared" si="553"/>
        <v/>
      </c>
      <c r="AL553" s="34" t="str">
        <f t="shared" si="553"/>
        <v/>
      </c>
      <c r="AM553" s="34" t="str">
        <f t="shared" si="553"/>
        <v/>
      </c>
      <c r="AN553" s="34" t="str">
        <f t="shared" si="553"/>
        <v/>
      </c>
      <c r="AO553" s="34" t="str">
        <f t="shared" si="553"/>
        <v/>
      </c>
      <c r="AP553" s="34" t="str">
        <f t="shared" si="553"/>
        <v/>
      </c>
      <c r="AQ553" s="76" t="s">
        <v>593</v>
      </c>
      <c r="AR553" s="77"/>
      <c r="AS553" s="77"/>
      <c r="AT553" s="77"/>
      <c r="AU553" s="77"/>
      <c r="AV553" s="77"/>
      <c r="AW553" s="77"/>
      <c r="AX553" s="77"/>
      <c r="AY553" s="77"/>
      <c r="AZ553" s="77"/>
      <c r="BA553" s="77"/>
      <c r="BB553" s="77"/>
      <c r="BC553" s="77"/>
      <c r="BD553" s="77"/>
      <c r="BE553" s="77"/>
      <c r="BF553" s="77"/>
      <c r="BG553" s="77"/>
      <c r="BH553" s="77"/>
      <c r="BI553" s="77"/>
      <c r="BJ553" s="77"/>
      <c r="BK553" s="77"/>
      <c r="BL553" s="77"/>
      <c r="BM553" s="78"/>
    </row>
    <row r="554">
      <c r="A554" s="79">
        <v>2.642857142857143</v>
      </c>
      <c r="B554" s="79" t="b">
        <v>0</v>
      </c>
      <c r="C554" s="79" t="b">
        <f t="shared" si="3"/>
        <v>0</v>
      </c>
      <c r="D554" s="80" t="s">
        <v>1565</v>
      </c>
      <c r="E554" s="81" t="s">
        <v>1187</v>
      </c>
      <c r="F554" s="82" t="s">
        <v>930</v>
      </c>
      <c r="G554" s="35" t="s">
        <v>837</v>
      </c>
      <c r="H554" s="37">
        <v>-10.250207457239679</v>
      </c>
      <c r="I554" s="37">
        <v>-4.7203486853107774</v>
      </c>
      <c r="J554" s="83" t="s">
        <v>2222</v>
      </c>
      <c r="K554" s="35">
        <v>34.5</v>
      </c>
      <c r="L554" s="79">
        <v>70.8</v>
      </c>
      <c r="M554" s="84">
        <v>29.0</v>
      </c>
      <c r="N554" s="84">
        <v>7.0</v>
      </c>
      <c r="O554" s="85">
        <v>-2.330034630892758</v>
      </c>
      <c r="P554" s="85">
        <v>-1.7830439555040773</v>
      </c>
      <c r="Q554" s="85">
        <v>-0.9802057658628406</v>
      </c>
      <c r="R554" s="85">
        <v>-0.07795763266808917</v>
      </c>
      <c r="S554" s="85">
        <v>-1.72461069241107</v>
      </c>
      <c r="T554" s="85">
        <v>-0.7871777123417198</v>
      </c>
      <c r="U554" s="85">
        <v>-2.241374717438206</v>
      </c>
      <c r="V554" s="85">
        <v>0.0</v>
      </c>
      <c r="W554" s="85">
        <v>-0.5055728757285266</v>
      </c>
      <c r="X554" s="85">
        <v>0.17977052560760845</v>
      </c>
      <c r="Y554" s="50" t="s">
        <v>69</v>
      </c>
      <c r="Z554" s="50" t="s">
        <v>69</v>
      </c>
      <c r="AA554" s="50" t="s">
        <v>69</v>
      </c>
      <c r="AB554" s="50" t="s">
        <v>69</v>
      </c>
      <c r="AC554" s="34" t="str">
        <f t="shared" ref="AC554:AP554" si="554">LET(
  skater, IFERROR(INDEX(AllProj, MATCH($E554, AllProjNames, 0), MATCH(AC$2, AllProjCats, 0) + 1), ""),
  goalie, IFERROR(INDEX(AllGProj, MATCH($E554, AllGProjNames, 0), MATCH(AC$2, AllGProjCats, 0) + 1), ""),
  val, IF(skater &lt;&gt; "", skater, goalie),
  IF(OR($E554="", AC$2="", val=""), "", val * AC$1)
)</f>
        <v/>
      </c>
      <c r="AD554" s="34" t="str">
        <f t="shared" si="554"/>
        <v/>
      </c>
      <c r="AE554" s="34" t="str">
        <f t="shared" si="554"/>
        <v/>
      </c>
      <c r="AF554" s="34" t="str">
        <f t="shared" si="554"/>
        <v/>
      </c>
      <c r="AG554" s="34" t="str">
        <f t="shared" si="554"/>
        <v/>
      </c>
      <c r="AH554" s="34" t="str">
        <f t="shared" si="554"/>
        <v/>
      </c>
      <c r="AI554" s="34" t="str">
        <f t="shared" si="554"/>
        <v/>
      </c>
      <c r="AJ554" s="34" t="str">
        <f t="shared" si="554"/>
        <v/>
      </c>
      <c r="AK554" s="34" t="str">
        <f t="shared" si="554"/>
        <v/>
      </c>
      <c r="AL554" s="34" t="str">
        <f t="shared" si="554"/>
        <v/>
      </c>
      <c r="AM554" s="34" t="str">
        <f t="shared" si="554"/>
        <v/>
      </c>
      <c r="AN554" s="34" t="str">
        <f t="shared" si="554"/>
        <v/>
      </c>
      <c r="AO554" s="34" t="str">
        <f t="shared" si="554"/>
        <v/>
      </c>
      <c r="AP554" s="34" t="str">
        <f t="shared" si="554"/>
        <v/>
      </c>
      <c r="AQ554" s="76" t="s">
        <v>594</v>
      </c>
      <c r="AR554" s="77"/>
      <c r="AS554" s="77"/>
      <c r="AT554" s="77"/>
      <c r="AU554" s="77"/>
      <c r="AV554" s="77"/>
      <c r="AW554" s="77"/>
      <c r="AX554" s="77"/>
      <c r="AY554" s="77"/>
      <c r="AZ554" s="77"/>
      <c r="BA554" s="77"/>
      <c r="BB554" s="77"/>
      <c r="BC554" s="77"/>
      <c r="BD554" s="77"/>
      <c r="BE554" s="77"/>
      <c r="BF554" s="77"/>
      <c r="BG554" s="77"/>
      <c r="BH554" s="77"/>
      <c r="BI554" s="77"/>
      <c r="BJ554" s="77"/>
      <c r="BK554" s="77"/>
      <c r="BL554" s="77"/>
      <c r="BM554" s="78"/>
    </row>
    <row r="555">
      <c r="A555" s="41">
        <v>2.5714285714285716</v>
      </c>
      <c r="B555" s="41" t="b">
        <v>0</v>
      </c>
      <c r="C555" s="41" t="b">
        <f t="shared" si="3"/>
        <v>0</v>
      </c>
      <c r="D555" s="42" t="s">
        <v>1565</v>
      </c>
      <c r="E555" s="43" t="s">
        <v>1061</v>
      </c>
      <c r="F555" s="44" t="s">
        <v>1498</v>
      </c>
      <c r="G555" s="29" t="s">
        <v>837</v>
      </c>
      <c r="H555" s="32">
        <v>-10.267531539060597</v>
      </c>
      <c r="I555" s="32">
        <v>-4.737672767131696</v>
      </c>
      <c r="J555" s="45" t="s">
        <v>2223</v>
      </c>
      <c r="K555" s="29">
        <v>25.6</v>
      </c>
      <c r="L555" s="41">
        <v>77.14285714285714</v>
      </c>
      <c r="M555" s="46">
        <v>28.0</v>
      </c>
      <c r="N555" s="46">
        <v>7.0</v>
      </c>
      <c r="O555" s="47">
        <v>-2.3551861576589848</v>
      </c>
      <c r="P555" s="47">
        <v>-1.3445719894940533</v>
      </c>
      <c r="Q555" s="47">
        <v>0.3570337021721005</v>
      </c>
      <c r="R555" s="47">
        <v>-1.5132190873109685</v>
      </c>
      <c r="S555" s="47">
        <v>-1.7106089588440747</v>
      </c>
      <c r="T555" s="47">
        <v>-0.7871777123417198</v>
      </c>
      <c r="U555" s="47">
        <v>-2.310381381493344</v>
      </c>
      <c r="V555" s="47">
        <v>0.0</v>
      </c>
      <c r="W555" s="47">
        <v>-0.5377741965569418</v>
      </c>
      <c r="X555" s="47">
        <v>-0.06564575753260907</v>
      </c>
      <c r="Y555" s="50" t="s">
        <v>69</v>
      </c>
      <c r="Z555" s="50" t="s">
        <v>69</v>
      </c>
      <c r="AA555" s="50" t="s">
        <v>69</v>
      </c>
      <c r="AB555" s="50" t="s">
        <v>69</v>
      </c>
      <c r="AC555" s="34" t="str">
        <f t="shared" ref="AC555:AP555" si="555">LET(
  skater, IFERROR(INDEX(AllProj, MATCH($E555, AllProjNames, 0), MATCH(AC$2, AllProjCats, 0) + 1), ""),
  goalie, IFERROR(INDEX(AllGProj, MATCH($E555, AllGProjNames, 0), MATCH(AC$2, AllGProjCats, 0) + 1), ""),
  val, IF(skater &lt;&gt; "", skater, goalie),
  IF(OR($E555="", AC$2="", val=""), "", val * AC$1)
)</f>
        <v/>
      </c>
      <c r="AD555" s="34" t="str">
        <f t="shared" si="555"/>
        <v/>
      </c>
      <c r="AE555" s="34" t="str">
        <f t="shared" si="555"/>
        <v/>
      </c>
      <c r="AF555" s="34" t="str">
        <f t="shared" si="555"/>
        <v/>
      </c>
      <c r="AG555" s="34" t="str">
        <f t="shared" si="555"/>
        <v/>
      </c>
      <c r="AH555" s="34" t="str">
        <f t="shared" si="555"/>
        <v/>
      </c>
      <c r="AI555" s="34" t="str">
        <f t="shared" si="555"/>
        <v/>
      </c>
      <c r="AJ555" s="34" t="str">
        <f t="shared" si="555"/>
        <v/>
      </c>
      <c r="AK555" s="34" t="str">
        <f t="shared" si="555"/>
        <v/>
      </c>
      <c r="AL555" s="34" t="str">
        <f t="shared" si="555"/>
        <v/>
      </c>
      <c r="AM555" s="34" t="str">
        <f t="shared" si="555"/>
        <v/>
      </c>
      <c r="AN555" s="34" t="str">
        <f t="shared" si="555"/>
        <v/>
      </c>
      <c r="AO555" s="34" t="str">
        <f t="shared" si="555"/>
        <v/>
      </c>
      <c r="AP555" s="34" t="str">
        <f t="shared" si="555"/>
        <v/>
      </c>
      <c r="AQ555" s="76" t="s">
        <v>595</v>
      </c>
      <c r="AR555" s="77"/>
      <c r="AS555" s="77"/>
      <c r="AT555" s="77"/>
      <c r="AU555" s="77"/>
      <c r="AV555" s="77"/>
      <c r="AW555" s="77"/>
      <c r="AX555" s="77"/>
      <c r="AY555" s="77"/>
      <c r="AZ555" s="77"/>
      <c r="BA555" s="77"/>
      <c r="BB555" s="77"/>
      <c r="BC555" s="77"/>
      <c r="BD555" s="77"/>
      <c r="BE555" s="77"/>
      <c r="BF555" s="77"/>
      <c r="BG555" s="77"/>
      <c r="BH555" s="77"/>
      <c r="BI555" s="77"/>
      <c r="BJ555" s="77"/>
      <c r="BK555" s="77"/>
      <c r="BL555" s="77"/>
      <c r="BM555" s="78"/>
    </row>
    <row r="556">
      <c r="A556" s="79">
        <v>2.642857142857143</v>
      </c>
      <c r="B556" s="79" t="b">
        <v>0</v>
      </c>
      <c r="C556" s="79" t="b">
        <f t="shared" si="3"/>
        <v>0</v>
      </c>
      <c r="D556" s="80" t="s">
        <v>1565</v>
      </c>
      <c r="E556" s="81" t="s">
        <v>1203</v>
      </c>
      <c r="F556" s="82" t="s">
        <v>1464</v>
      </c>
      <c r="G556" s="35" t="s">
        <v>837</v>
      </c>
      <c r="H556" s="37">
        <v>-10.303834053148238</v>
      </c>
      <c r="I556" s="37">
        <v>-4.773975281219337</v>
      </c>
      <c r="J556" s="83" t="s">
        <v>2224</v>
      </c>
      <c r="K556" s="35">
        <v>31.8</v>
      </c>
      <c r="L556" s="79">
        <v>76.85714285714286</v>
      </c>
      <c r="M556" s="84">
        <v>24.0</v>
      </c>
      <c r="N556" s="84">
        <v>7.0</v>
      </c>
      <c r="O556" s="85">
        <v>-2.2186492980708987</v>
      </c>
      <c r="P556" s="85">
        <v>-1.553368163784541</v>
      </c>
      <c r="Q556" s="85">
        <v>-0.799255463382659</v>
      </c>
      <c r="R556" s="85">
        <v>-1.4599296768663073</v>
      </c>
      <c r="S556" s="85">
        <v>-1.7152762033664064</v>
      </c>
      <c r="T556" s="85">
        <v>-0.16952108464970286</v>
      </c>
      <c r="U556" s="85">
        <v>-1.6794633101320828</v>
      </c>
      <c r="V556" s="85">
        <v>0.0</v>
      </c>
      <c r="W556" s="85">
        <v>-2.1648191162326706</v>
      </c>
      <c r="X556" s="85">
        <v>1.456448263337032</v>
      </c>
      <c r="Y556" s="50" t="s">
        <v>69</v>
      </c>
      <c r="Z556" s="50" t="s">
        <v>69</v>
      </c>
      <c r="AA556" s="50" t="s">
        <v>69</v>
      </c>
      <c r="AB556" s="50" t="s">
        <v>69</v>
      </c>
      <c r="AC556" s="34" t="str">
        <f t="shared" ref="AC556:AP556" si="556">LET(
  skater, IFERROR(INDEX(AllProj, MATCH($E556, AllProjNames, 0), MATCH(AC$2, AllProjCats, 0) + 1), ""),
  goalie, IFERROR(INDEX(AllGProj, MATCH($E556, AllGProjNames, 0), MATCH(AC$2, AllGProjCats, 0) + 1), ""),
  val, IF(skater &lt;&gt; "", skater, goalie),
  IF(OR($E556="", AC$2="", val=""), "", val * AC$1)
)</f>
        <v/>
      </c>
      <c r="AD556" s="34" t="str">
        <f t="shared" si="556"/>
        <v/>
      </c>
      <c r="AE556" s="34" t="str">
        <f t="shared" si="556"/>
        <v/>
      </c>
      <c r="AF556" s="34" t="str">
        <f t="shared" si="556"/>
        <v/>
      </c>
      <c r="AG556" s="34" t="str">
        <f t="shared" si="556"/>
        <v/>
      </c>
      <c r="AH556" s="34" t="str">
        <f t="shared" si="556"/>
        <v/>
      </c>
      <c r="AI556" s="34" t="str">
        <f t="shared" si="556"/>
        <v/>
      </c>
      <c r="AJ556" s="34" t="str">
        <f t="shared" si="556"/>
        <v/>
      </c>
      <c r="AK556" s="34" t="str">
        <f t="shared" si="556"/>
        <v/>
      </c>
      <c r="AL556" s="34" t="str">
        <f t="shared" si="556"/>
        <v/>
      </c>
      <c r="AM556" s="34" t="str">
        <f t="shared" si="556"/>
        <v/>
      </c>
      <c r="AN556" s="34" t="str">
        <f t="shared" si="556"/>
        <v/>
      </c>
      <c r="AO556" s="34" t="str">
        <f t="shared" si="556"/>
        <v/>
      </c>
      <c r="AP556" s="34" t="str">
        <f t="shared" si="556"/>
        <v/>
      </c>
      <c r="AQ556" s="76" t="s">
        <v>596</v>
      </c>
      <c r="AR556" s="77"/>
      <c r="AS556" s="77"/>
      <c r="AT556" s="77"/>
      <c r="AU556" s="77"/>
      <c r="AV556" s="77"/>
      <c r="AW556" s="77"/>
      <c r="AX556" s="77"/>
      <c r="AY556" s="77"/>
      <c r="AZ556" s="77"/>
      <c r="BA556" s="77"/>
      <c r="BB556" s="77"/>
      <c r="BC556" s="77"/>
      <c r="BD556" s="77"/>
      <c r="BE556" s="77"/>
      <c r="BF556" s="77"/>
      <c r="BG556" s="77"/>
      <c r="BH556" s="77"/>
      <c r="BI556" s="77"/>
      <c r="BJ556" s="77"/>
      <c r="BK556" s="77"/>
      <c r="BL556" s="77"/>
      <c r="BM556" s="78"/>
    </row>
    <row r="557">
      <c r="A557" s="41">
        <v>2.642857142857143</v>
      </c>
      <c r="B557" s="41" t="b">
        <v>0</v>
      </c>
      <c r="C557" s="41" t="b">
        <f t="shared" si="3"/>
        <v>0</v>
      </c>
      <c r="D557" s="42" t="s">
        <v>1565</v>
      </c>
      <c r="E557" s="43" t="s">
        <v>1195</v>
      </c>
      <c r="F557" s="44" t="s">
        <v>1548</v>
      </c>
      <c r="G557" s="29" t="s">
        <v>284</v>
      </c>
      <c r="H557" s="32">
        <v>-10.322031950444275</v>
      </c>
      <c r="I557" s="32">
        <v>-5.28396593026119</v>
      </c>
      <c r="J557" s="45" t="s">
        <v>2225</v>
      </c>
      <c r="K557" s="29">
        <v>25.1</v>
      </c>
      <c r="L557" s="41">
        <v>76.28571428571429</v>
      </c>
      <c r="M557" s="46">
        <v>34.0</v>
      </c>
      <c r="N557" s="46">
        <v>7.0</v>
      </c>
      <c r="O557" s="47">
        <v>-1.7407702895125976</v>
      </c>
      <c r="P557" s="47">
        <v>-1.9732804698576327</v>
      </c>
      <c r="Q557" s="47">
        <v>-1.3074148714055536</v>
      </c>
      <c r="R557" s="47">
        <v>-1.2556536034951054</v>
      </c>
      <c r="S557" s="47">
        <v>-1.6872727362324154</v>
      </c>
      <c r="T557" s="47">
        <v>-0.16952108464970286</v>
      </c>
      <c r="U557" s="47">
        <v>-2.0415839948404733</v>
      </c>
      <c r="V557" s="47">
        <v>0.5545786537428234</v>
      </c>
      <c r="W557" s="47">
        <v>0.72159018711434</v>
      </c>
      <c r="X557" s="47">
        <v>-1.422703741307958</v>
      </c>
      <c r="Y557" s="50" t="s">
        <v>69</v>
      </c>
      <c r="Z557" s="50" t="s">
        <v>69</v>
      </c>
      <c r="AA557" s="50" t="s">
        <v>69</v>
      </c>
      <c r="AB557" s="50" t="s">
        <v>69</v>
      </c>
      <c r="AC557" s="34" t="str">
        <f t="shared" ref="AC557:AP557" si="557">LET(
  skater, IFERROR(INDEX(AllProj, MATCH($E557, AllProjNames, 0), MATCH(AC$2, AllProjCats, 0) + 1), ""),
  goalie, IFERROR(INDEX(AllGProj, MATCH($E557, AllGProjNames, 0), MATCH(AC$2, AllGProjCats, 0) + 1), ""),
  val, IF(skater &lt;&gt; "", skater, goalie),
  IF(OR($E557="", AC$2="", val=""), "", val * AC$1)
)</f>
        <v/>
      </c>
      <c r="AD557" s="34" t="str">
        <f t="shared" si="557"/>
        <v/>
      </c>
      <c r="AE557" s="34" t="str">
        <f t="shared" si="557"/>
        <v/>
      </c>
      <c r="AF557" s="34" t="str">
        <f t="shared" si="557"/>
        <v/>
      </c>
      <c r="AG557" s="34" t="str">
        <f t="shared" si="557"/>
        <v/>
      </c>
      <c r="AH557" s="34" t="str">
        <f t="shared" si="557"/>
        <v/>
      </c>
      <c r="AI557" s="34" t="str">
        <f t="shared" si="557"/>
        <v/>
      </c>
      <c r="AJ557" s="34" t="str">
        <f t="shared" si="557"/>
        <v/>
      </c>
      <c r="AK557" s="34" t="str">
        <f t="shared" si="557"/>
        <v/>
      </c>
      <c r="AL557" s="34" t="str">
        <f t="shared" si="557"/>
        <v/>
      </c>
      <c r="AM557" s="34" t="str">
        <f t="shared" si="557"/>
        <v/>
      </c>
      <c r="AN557" s="34" t="str">
        <f t="shared" si="557"/>
        <v/>
      </c>
      <c r="AO557" s="34" t="str">
        <f t="shared" si="557"/>
        <v/>
      </c>
      <c r="AP557" s="34" t="str">
        <f t="shared" si="557"/>
        <v/>
      </c>
      <c r="AQ557" s="76" t="s">
        <v>597</v>
      </c>
      <c r="AR557" s="77"/>
      <c r="AS557" s="77"/>
      <c r="AT557" s="77"/>
      <c r="AU557" s="77"/>
      <c r="AV557" s="77"/>
      <c r="AW557" s="77"/>
      <c r="AX557" s="77"/>
      <c r="AY557" s="77"/>
      <c r="AZ557" s="77"/>
      <c r="BA557" s="77"/>
      <c r="BB557" s="77"/>
      <c r="BC557" s="77"/>
      <c r="BD557" s="77"/>
      <c r="BE557" s="77"/>
      <c r="BF557" s="77"/>
      <c r="BG557" s="77"/>
      <c r="BH557" s="77"/>
      <c r="BI557" s="77"/>
      <c r="BJ557" s="77"/>
      <c r="BK557" s="77"/>
      <c r="BL557" s="77"/>
      <c r="BM557" s="78"/>
    </row>
    <row r="558">
      <c r="A558" s="79">
        <v>2.7142857142857144</v>
      </c>
      <c r="B558" s="79" t="b">
        <v>0</v>
      </c>
      <c r="C558" s="79" t="b">
        <f t="shared" si="3"/>
        <v>0</v>
      </c>
      <c r="D558" s="80" t="s">
        <v>1565</v>
      </c>
      <c r="E558" s="81" t="s">
        <v>1303</v>
      </c>
      <c r="F558" s="82" t="s">
        <v>1710</v>
      </c>
      <c r="G558" s="35" t="s">
        <v>837</v>
      </c>
      <c r="H558" s="37">
        <v>-10.347742745638355</v>
      </c>
      <c r="I558" s="37">
        <v>-4.817883973709454</v>
      </c>
      <c r="J558" s="83" t="s">
        <v>2226</v>
      </c>
      <c r="K558" s="35">
        <v>26.2</v>
      </c>
      <c r="L558" s="79">
        <v>78.55555555555556</v>
      </c>
      <c r="M558" s="84">
        <v>23.0</v>
      </c>
      <c r="N558" s="84">
        <v>6.0</v>
      </c>
      <c r="O558" s="85">
        <v>-2.2461962083386706</v>
      </c>
      <c r="P558" s="85">
        <v>-1.432988147249161</v>
      </c>
      <c r="Q558" s="85">
        <v>-3.1712269534666397</v>
      </c>
      <c r="R558" s="85">
        <v>0.3296076731401544</v>
      </c>
      <c r="S558" s="85">
        <v>-1.6646032628382323</v>
      </c>
      <c r="T558" s="85">
        <v>-0.16952108464970286</v>
      </c>
      <c r="U558" s="85">
        <v>-2.246486322183031</v>
      </c>
      <c r="V558" s="85">
        <v>0.0</v>
      </c>
      <c r="W558" s="85">
        <v>-0.23735864183851735</v>
      </c>
      <c r="X558" s="85">
        <v>0.4910302017854454</v>
      </c>
      <c r="Y558" s="50" t="s">
        <v>69</v>
      </c>
      <c r="Z558" s="50" t="s">
        <v>69</v>
      </c>
      <c r="AA558" s="50" t="s">
        <v>69</v>
      </c>
      <c r="AB558" s="50" t="s">
        <v>69</v>
      </c>
      <c r="AC558" s="34" t="str">
        <f t="shared" ref="AC558:AP558" si="558">LET(
  skater, IFERROR(INDEX(AllProj, MATCH($E558, AllProjNames, 0), MATCH(AC$2, AllProjCats, 0) + 1), ""),
  goalie, IFERROR(INDEX(AllGProj, MATCH($E558, AllGProjNames, 0), MATCH(AC$2, AllGProjCats, 0) + 1), ""),
  val, IF(skater &lt;&gt; "", skater, goalie),
  IF(OR($E558="", AC$2="", val=""), "", val * AC$1)
)</f>
        <v/>
      </c>
      <c r="AD558" s="34" t="str">
        <f t="shared" si="558"/>
        <v/>
      </c>
      <c r="AE558" s="34" t="str">
        <f t="shared" si="558"/>
        <v/>
      </c>
      <c r="AF558" s="34" t="str">
        <f t="shared" si="558"/>
        <v/>
      </c>
      <c r="AG558" s="34" t="str">
        <f t="shared" si="558"/>
        <v/>
      </c>
      <c r="AH558" s="34" t="str">
        <f t="shared" si="558"/>
        <v/>
      </c>
      <c r="AI558" s="34" t="str">
        <f t="shared" si="558"/>
        <v/>
      </c>
      <c r="AJ558" s="34" t="str">
        <f t="shared" si="558"/>
        <v/>
      </c>
      <c r="AK558" s="34" t="str">
        <f t="shared" si="558"/>
        <v/>
      </c>
      <c r="AL558" s="34" t="str">
        <f t="shared" si="558"/>
        <v/>
      </c>
      <c r="AM558" s="34" t="str">
        <f t="shared" si="558"/>
        <v/>
      </c>
      <c r="AN558" s="34" t="str">
        <f t="shared" si="558"/>
        <v/>
      </c>
      <c r="AO558" s="34" t="str">
        <f t="shared" si="558"/>
        <v/>
      </c>
      <c r="AP558" s="34" t="str">
        <f t="shared" si="558"/>
        <v/>
      </c>
      <c r="AQ558" s="76" t="s">
        <v>598</v>
      </c>
      <c r="AR558" s="77"/>
      <c r="AS558" s="77"/>
      <c r="AT558" s="77"/>
      <c r="AU558" s="77"/>
      <c r="AV558" s="77"/>
      <c r="AW558" s="77"/>
      <c r="AX558" s="77"/>
      <c r="AY558" s="77"/>
      <c r="AZ558" s="77"/>
      <c r="BA558" s="77"/>
      <c r="BB558" s="77"/>
      <c r="BC558" s="77"/>
      <c r="BD558" s="77"/>
      <c r="BE558" s="77"/>
      <c r="BF558" s="77"/>
      <c r="BG558" s="77"/>
      <c r="BH558" s="77"/>
      <c r="BI558" s="77"/>
      <c r="BJ558" s="77"/>
      <c r="BK558" s="77"/>
      <c r="BL558" s="77"/>
      <c r="BM558" s="78"/>
    </row>
    <row r="559">
      <c r="A559" s="41">
        <v>2.642857142857143</v>
      </c>
      <c r="B559" s="41" t="b">
        <v>0</v>
      </c>
      <c r="C559" s="41" t="b">
        <f t="shared" si="3"/>
        <v>0</v>
      </c>
      <c r="D559" s="42" t="s">
        <v>1565</v>
      </c>
      <c r="E559" s="43" t="s">
        <v>1253</v>
      </c>
      <c r="F559" s="44" t="s">
        <v>1043</v>
      </c>
      <c r="G559" s="29" t="s">
        <v>832</v>
      </c>
      <c r="H559" s="32">
        <v>-10.366302199216117</v>
      </c>
      <c r="I559" s="32">
        <v>-4.924164590488259</v>
      </c>
      <c r="J559" s="45" t="s">
        <v>2227</v>
      </c>
      <c r="K559" s="29">
        <v>27.1</v>
      </c>
      <c r="L559" s="41">
        <v>69.71428571428571</v>
      </c>
      <c r="M559" s="46">
        <v>28.0</v>
      </c>
      <c r="N559" s="46">
        <v>6.0</v>
      </c>
      <c r="O559" s="47">
        <v>-1.442545043570199</v>
      </c>
      <c r="P559" s="47">
        <v>-2.214556049037752</v>
      </c>
      <c r="Q559" s="47">
        <v>-0.929525645468777</v>
      </c>
      <c r="R559" s="47">
        <v>-1.7619030027193883</v>
      </c>
      <c r="S559" s="47">
        <v>-1.6919399807547475</v>
      </c>
      <c r="T559" s="47">
        <v>-0.7871777123417198</v>
      </c>
      <c r="U559" s="47">
        <v>-2.164481577491052</v>
      </c>
      <c r="V559" s="47">
        <v>0.0</v>
      </c>
      <c r="W559" s="47">
        <v>2.274279329604457</v>
      </c>
      <c r="X559" s="47">
        <v>-1.6484525174369384</v>
      </c>
      <c r="Y559" s="50" t="s">
        <v>69</v>
      </c>
      <c r="Z559" s="50" t="s">
        <v>69</v>
      </c>
      <c r="AA559" s="50" t="s">
        <v>69</v>
      </c>
      <c r="AB559" s="50" t="s">
        <v>69</v>
      </c>
      <c r="AC559" s="34" t="str">
        <f t="shared" ref="AC559:AP559" si="559">LET(
  skater, IFERROR(INDEX(AllProj, MATCH($E559, AllProjNames, 0), MATCH(AC$2, AllProjCats, 0) + 1), ""),
  goalie, IFERROR(INDEX(AllGProj, MATCH($E559, AllGProjNames, 0), MATCH(AC$2, AllGProjCats, 0) + 1), ""),
  val, IF(skater &lt;&gt; "", skater, goalie),
  IF(OR($E559="", AC$2="", val=""), "", val * AC$1)
)</f>
        <v/>
      </c>
      <c r="AD559" s="34" t="str">
        <f t="shared" si="559"/>
        <v/>
      </c>
      <c r="AE559" s="34" t="str">
        <f t="shared" si="559"/>
        <v/>
      </c>
      <c r="AF559" s="34" t="str">
        <f t="shared" si="559"/>
        <v/>
      </c>
      <c r="AG559" s="34" t="str">
        <f t="shared" si="559"/>
        <v/>
      </c>
      <c r="AH559" s="34" t="str">
        <f t="shared" si="559"/>
        <v/>
      </c>
      <c r="AI559" s="34" t="str">
        <f t="shared" si="559"/>
        <v/>
      </c>
      <c r="AJ559" s="34" t="str">
        <f t="shared" si="559"/>
        <v/>
      </c>
      <c r="AK559" s="34" t="str">
        <f t="shared" si="559"/>
        <v/>
      </c>
      <c r="AL559" s="34" t="str">
        <f t="shared" si="559"/>
        <v/>
      </c>
      <c r="AM559" s="34" t="str">
        <f t="shared" si="559"/>
        <v/>
      </c>
      <c r="AN559" s="34" t="str">
        <f t="shared" si="559"/>
        <v/>
      </c>
      <c r="AO559" s="34" t="str">
        <f t="shared" si="559"/>
        <v/>
      </c>
      <c r="AP559" s="34" t="str">
        <f t="shared" si="559"/>
        <v/>
      </c>
      <c r="AQ559" s="76" t="s">
        <v>599</v>
      </c>
      <c r="AR559" s="77"/>
      <c r="AS559" s="77"/>
      <c r="AT559" s="77"/>
      <c r="AU559" s="77"/>
      <c r="AV559" s="77"/>
      <c r="AW559" s="77"/>
      <c r="AX559" s="77"/>
      <c r="AY559" s="77"/>
      <c r="AZ559" s="77"/>
      <c r="BA559" s="77"/>
      <c r="BB559" s="77"/>
      <c r="BC559" s="77"/>
      <c r="BD559" s="77"/>
      <c r="BE559" s="77"/>
      <c r="BF559" s="77"/>
      <c r="BG559" s="77"/>
      <c r="BH559" s="77"/>
      <c r="BI559" s="77"/>
      <c r="BJ559" s="77"/>
      <c r="BK559" s="77"/>
      <c r="BL559" s="77"/>
      <c r="BM559" s="78"/>
    </row>
    <row r="560">
      <c r="A560" s="79">
        <v>2.642857142857143</v>
      </c>
      <c r="B560" s="79" t="b">
        <v>0</v>
      </c>
      <c r="C560" s="79" t="b">
        <f t="shared" si="3"/>
        <v>0</v>
      </c>
      <c r="D560" s="80" t="s">
        <v>1565</v>
      </c>
      <c r="E560" s="81" t="s">
        <v>1209</v>
      </c>
      <c r="F560" s="82" t="s">
        <v>1706</v>
      </c>
      <c r="G560" s="35" t="s">
        <v>835</v>
      </c>
      <c r="H560" s="37">
        <v>-10.367861916430275</v>
      </c>
      <c r="I560" s="37">
        <v>-4.979981791517536</v>
      </c>
      <c r="J560" s="83" t="s">
        <v>2228</v>
      </c>
      <c r="K560" s="35">
        <v>30.9</v>
      </c>
      <c r="L560" s="79">
        <v>76.0</v>
      </c>
      <c r="M560" s="84">
        <v>31.0</v>
      </c>
      <c r="N560" s="84">
        <v>7.0</v>
      </c>
      <c r="O560" s="85">
        <v>-1.5201554690202688</v>
      </c>
      <c r="P560" s="85">
        <v>-1.9649286228860134</v>
      </c>
      <c r="Q560" s="85">
        <v>-2.249860446504287</v>
      </c>
      <c r="R560" s="85">
        <v>-0.18986539460187787</v>
      </c>
      <c r="S560" s="85">
        <v>-1.72461069241107</v>
      </c>
      <c r="T560" s="85">
        <v>-0.16952108464970286</v>
      </c>
      <c r="U560" s="85">
        <v>-1.977309216320545</v>
      </c>
      <c r="V560" s="85">
        <v>0.0</v>
      </c>
      <c r="W560" s="85">
        <v>1.1173736940235859</v>
      </c>
      <c r="X560" s="85">
        <v>-1.6889846840600962</v>
      </c>
      <c r="Y560" s="50" t="s">
        <v>69</v>
      </c>
      <c r="Z560" s="50" t="s">
        <v>69</v>
      </c>
      <c r="AA560" s="50" t="s">
        <v>69</v>
      </c>
      <c r="AB560" s="50" t="s">
        <v>69</v>
      </c>
      <c r="AC560" s="34" t="str">
        <f t="shared" ref="AC560:AP560" si="560">LET(
  skater, IFERROR(INDEX(AllProj, MATCH($E560, AllProjNames, 0), MATCH(AC$2, AllProjCats, 0) + 1), ""),
  goalie, IFERROR(INDEX(AllGProj, MATCH($E560, AllGProjNames, 0), MATCH(AC$2, AllGProjCats, 0) + 1), ""),
  val, IF(skater &lt;&gt; "", skater, goalie),
  IF(OR($E560="", AC$2="", val=""), "", val * AC$1)
)</f>
        <v/>
      </c>
      <c r="AD560" s="34" t="str">
        <f t="shared" si="560"/>
        <v/>
      </c>
      <c r="AE560" s="34" t="str">
        <f t="shared" si="560"/>
        <v/>
      </c>
      <c r="AF560" s="34" t="str">
        <f t="shared" si="560"/>
        <v/>
      </c>
      <c r="AG560" s="34" t="str">
        <f t="shared" si="560"/>
        <v/>
      </c>
      <c r="AH560" s="34" t="str">
        <f t="shared" si="560"/>
        <v/>
      </c>
      <c r="AI560" s="34" t="str">
        <f t="shared" si="560"/>
        <v/>
      </c>
      <c r="AJ560" s="34" t="str">
        <f t="shared" si="560"/>
        <v/>
      </c>
      <c r="AK560" s="34" t="str">
        <f t="shared" si="560"/>
        <v/>
      </c>
      <c r="AL560" s="34" t="str">
        <f t="shared" si="560"/>
        <v/>
      </c>
      <c r="AM560" s="34" t="str">
        <f t="shared" si="560"/>
        <v/>
      </c>
      <c r="AN560" s="34" t="str">
        <f t="shared" si="560"/>
        <v/>
      </c>
      <c r="AO560" s="34" t="str">
        <f t="shared" si="560"/>
        <v/>
      </c>
      <c r="AP560" s="34" t="str">
        <f t="shared" si="560"/>
        <v/>
      </c>
      <c r="AQ560" s="76" t="s">
        <v>600</v>
      </c>
      <c r="AR560" s="77"/>
      <c r="AS560" s="77"/>
      <c r="AT560" s="77"/>
      <c r="AU560" s="77"/>
      <c r="AV560" s="77"/>
      <c r="AW560" s="77"/>
      <c r="AX560" s="77"/>
      <c r="AY560" s="77"/>
      <c r="AZ560" s="77"/>
      <c r="BA560" s="77"/>
      <c r="BB560" s="77"/>
      <c r="BC560" s="77"/>
      <c r="BD560" s="77"/>
      <c r="BE560" s="77"/>
      <c r="BF560" s="77"/>
      <c r="BG560" s="77"/>
      <c r="BH560" s="77"/>
      <c r="BI560" s="77"/>
      <c r="BJ560" s="77"/>
      <c r="BK560" s="77"/>
      <c r="BL560" s="77"/>
      <c r="BM560" s="78"/>
    </row>
    <row r="561">
      <c r="A561" s="41">
        <v>2.642857142857143</v>
      </c>
      <c r="B561" s="41" t="b">
        <v>0</v>
      </c>
      <c r="C561" s="41" t="b">
        <f t="shared" si="3"/>
        <v>0</v>
      </c>
      <c r="D561" s="42" t="s">
        <v>1565</v>
      </c>
      <c r="E561" s="43" t="s">
        <v>1220</v>
      </c>
      <c r="F561" s="44" t="s">
        <v>1473</v>
      </c>
      <c r="G561" s="29" t="s">
        <v>829</v>
      </c>
      <c r="H561" s="32">
        <v>-10.405210847723769</v>
      </c>
      <c r="I561" s="32">
        <v>-4.963073238995912</v>
      </c>
      <c r="J561" s="45" t="s">
        <v>2229</v>
      </c>
      <c r="K561" s="29">
        <v>21.7</v>
      </c>
      <c r="L561" s="41">
        <v>78.58382352941176</v>
      </c>
      <c r="M561" s="46">
        <v>25.0</v>
      </c>
      <c r="N561" s="46">
        <v>6.0</v>
      </c>
      <c r="O561" s="47">
        <v>-0.36118961428803825</v>
      </c>
      <c r="P561" s="47">
        <v>-0.6381991124256309</v>
      </c>
      <c r="Q561" s="47">
        <v>-2.9152726153566375</v>
      </c>
      <c r="R561" s="47">
        <v>-1.2176462599054534</v>
      </c>
      <c r="S561" s="47">
        <v>-0.057153164604958034</v>
      </c>
      <c r="T561" s="47">
        <v>-0.7871777123417198</v>
      </c>
      <c r="U561" s="47">
        <v>-1.042473913919586</v>
      </c>
      <c r="V561" s="47">
        <v>0.0</v>
      </c>
      <c r="W561" s="47">
        <v>-2.0248152792100402</v>
      </c>
      <c r="X561" s="47">
        <v>-1.3612831756717045</v>
      </c>
      <c r="Y561" s="50" t="s">
        <v>69</v>
      </c>
      <c r="Z561" s="50" t="s">
        <v>69</v>
      </c>
      <c r="AA561" s="50" t="s">
        <v>69</v>
      </c>
      <c r="AB561" s="50" t="s">
        <v>69</v>
      </c>
      <c r="AC561" s="34" t="str">
        <f t="shared" ref="AC561:AP561" si="561">LET(
  skater, IFERROR(INDEX(AllProj, MATCH($E561, AllProjNames, 0), MATCH(AC$2, AllProjCats, 0) + 1), ""),
  goalie, IFERROR(INDEX(AllGProj, MATCH($E561, AllGProjNames, 0), MATCH(AC$2, AllGProjCats, 0) + 1), ""),
  val, IF(skater &lt;&gt; "", skater, goalie),
  IF(OR($E561="", AC$2="", val=""), "", val * AC$1)
)</f>
        <v/>
      </c>
      <c r="AD561" s="34" t="str">
        <f t="shared" si="561"/>
        <v/>
      </c>
      <c r="AE561" s="34" t="str">
        <f t="shared" si="561"/>
        <v/>
      </c>
      <c r="AF561" s="34" t="str">
        <f t="shared" si="561"/>
        <v/>
      </c>
      <c r="AG561" s="34" t="str">
        <f t="shared" si="561"/>
        <v/>
      </c>
      <c r="AH561" s="34" t="str">
        <f t="shared" si="561"/>
        <v/>
      </c>
      <c r="AI561" s="34" t="str">
        <f t="shared" si="561"/>
        <v/>
      </c>
      <c r="AJ561" s="34" t="str">
        <f t="shared" si="561"/>
        <v/>
      </c>
      <c r="AK561" s="34" t="str">
        <f t="shared" si="561"/>
        <v/>
      </c>
      <c r="AL561" s="34" t="str">
        <f t="shared" si="561"/>
        <v/>
      </c>
      <c r="AM561" s="34" t="str">
        <f t="shared" si="561"/>
        <v/>
      </c>
      <c r="AN561" s="34" t="str">
        <f t="shared" si="561"/>
        <v/>
      </c>
      <c r="AO561" s="34" t="str">
        <f t="shared" si="561"/>
        <v/>
      </c>
      <c r="AP561" s="34" t="str">
        <f t="shared" si="561"/>
        <v/>
      </c>
      <c r="AQ561" s="76" t="s">
        <v>601</v>
      </c>
      <c r="AR561" s="77"/>
      <c r="AS561" s="77"/>
      <c r="AT561" s="77"/>
      <c r="AU561" s="77"/>
      <c r="AV561" s="77"/>
      <c r="AW561" s="77"/>
      <c r="AX561" s="77"/>
      <c r="AY561" s="77"/>
      <c r="AZ561" s="77"/>
      <c r="BA561" s="77"/>
      <c r="BB561" s="77"/>
      <c r="BC561" s="77"/>
      <c r="BD561" s="77"/>
      <c r="BE561" s="77"/>
      <c r="BF561" s="77"/>
      <c r="BG561" s="77"/>
      <c r="BH561" s="77"/>
      <c r="BI561" s="77"/>
      <c r="BJ561" s="77"/>
      <c r="BK561" s="77"/>
      <c r="BL561" s="77"/>
      <c r="BM561" s="78"/>
    </row>
    <row r="562">
      <c r="A562" s="79">
        <v>2.7142857142857144</v>
      </c>
      <c r="B562" s="79" t="b">
        <v>0</v>
      </c>
      <c r="C562" s="79" t="b">
        <f t="shared" si="3"/>
        <v>0</v>
      </c>
      <c r="D562" s="80" t="s">
        <v>1565</v>
      </c>
      <c r="E562" s="81" t="s">
        <v>1306</v>
      </c>
      <c r="F562" s="82" t="s">
        <v>1779</v>
      </c>
      <c r="G562" s="35" t="s">
        <v>837</v>
      </c>
      <c r="H562" s="37">
        <v>-10.409382514102044</v>
      </c>
      <c r="I562" s="37">
        <v>-4.879523742173142</v>
      </c>
      <c r="J562" s="83" t="s">
        <v>2230</v>
      </c>
      <c r="K562" s="35">
        <v>36.9</v>
      </c>
      <c r="L562" s="79">
        <v>71.8</v>
      </c>
      <c r="M562" s="84">
        <v>27.0</v>
      </c>
      <c r="N562" s="84">
        <v>6.0</v>
      </c>
      <c r="O562" s="85">
        <v>-2.3853679897784565</v>
      </c>
      <c r="P562" s="85">
        <v>-2.033135373154239</v>
      </c>
      <c r="Q562" s="85">
        <v>-3.1907011829932483</v>
      </c>
      <c r="R562" s="85">
        <v>-0.06552343689766801</v>
      </c>
      <c r="S562" s="85">
        <v>-1.72461069241107</v>
      </c>
      <c r="T562" s="85">
        <v>-0.16952108464970286</v>
      </c>
      <c r="U562" s="85">
        <v>-2.4281527548141124</v>
      </c>
      <c r="V562" s="85">
        <v>0.0</v>
      </c>
      <c r="W562" s="85">
        <v>1.7837653916036196</v>
      </c>
      <c r="X562" s="85">
        <v>-0.19613539100716368</v>
      </c>
      <c r="Y562" s="50" t="s">
        <v>69</v>
      </c>
      <c r="Z562" s="50" t="s">
        <v>69</v>
      </c>
      <c r="AA562" s="50" t="s">
        <v>69</v>
      </c>
      <c r="AB562" s="50" t="s">
        <v>69</v>
      </c>
      <c r="AC562" s="34" t="str">
        <f t="shared" ref="AC562:AP562" si="562">LET(
  skater, IFERROR(INDEX(AllProj, MATCH($E562, AllProjNames, 0), MATCH(AC$2, AllProjCats, 0) + 1), ""),
  goalie, IFERROR(INDEX(AllGProj, MATCH($E562, AllGProjNames, 0), MATCH(AC$2, AllGProjCats, 0) + 1), ""),
  val, IF(skater &lt;&gt; "", skater, goalie),
  IF(OR($E562="", AC$2="", val=""), "", val * AC$1)
)</f>
        <v/>
      </c>
      <c r="AD562" s="34" t="str">
        <f t="shared" si="562"/>
        <v/>
      </c>
      <c r="AE562" s="34" t="str">
        <f t="shared" si="562"/>
        <v/>
      </c>
      <c r="AF562" s="34" t="str">
        <f t="shared" si="562"/>
        <v/>
      </c>
      <c r="AG562" s="34" t="str">
        <f t="shared" si="562"/>
        <v/>
      </c>
      <c r="AH562" s="34" t="str">
        <f t="shared" si="562"/>
        <v/>
      </c>
      <c r="AI562" s="34" t="str">
        <f t="shared" si="562"/>
        <v/>
      </c>
      <c r="AJ562" s="34" t="str">
        <f t="shared" si="562"/>
        <v/>
      </c>
      <c r="AK562" s="34" t="str">
        <f t="shared" si="562"/>
        <v/>
      </c>
      <c r="AL562" s="34" t="str">
        <f t="shared" si="562"/>
        <v/>
      </c>
      <c r="AM562" s="34" t="str">
        <f t="shared" si="562"/>
        <v/>
      </c>
      <c r="AN562" s="34" t="str">
        <f t="shared" si="562"/>
        <v/>
      </c>
      <c r="AO562" s="34" t="str">
        <f t="shared" si="562"/>
        <v/>
      </c>
      <c r="AP562" s="34" t="str">
        <f t="shared" si="562"/>
        <v/>
      </c>
      <c r="AQ562" s="76" t="s">
        <v>602</v>
      </c>
      <c r="AR562" s="77"/>
      <c r="AS562" s="77"/>
      <c r="AT562" s="77"/>
      <c r="AU562" s="77"/>
      <c r="AV562" s="77"/>
      <c r="AW562" s="77"/>
      <c r="AX562" s="77"/>
      <c r="AY562" s="77"/>
      <c r="AZ562" s="77"/>
      <c r="BA562" s="77"/>
      <c r="BB562" s="77"/>
      <c r="BC562" s="77"/>
      <c r="BD562" s="77"/>
      <c r="BE562" s="77"/>
      <c r="BF562" s="77"/>
      <c r="BG562" s="77"/>
      <c r="BH562" s="77"/>
      <c r="BI562" s="77"/>
      <c r="BJ562" s="77"/>
      <c r="BK562" s="77"/>
      <c r="BL562" s="77"/>
      <c r="BM562" s="78"/>
    </row>
    <row r="563">
      <c r="A563" s="41">
        <v>2.5714285714285716</v>
      </c>
      <c r="B563" s="41" t="b">
        <v>0</v>
      </c>
      <c r="C563" s="41" t="b">
        <f t="shared" si="3"/>
        <v>0</v>
      </c>
      <c r="D563" s="42" t="s">
        <v>1565</v>
      </c>
      <c r="E563" s="43" t="s">
        <v>1018</v>
      </c>
      <c r="F563" s="44" t="s">
        <v>1517</v>
      </c>
      <c r="G563" s="29" t="s">
        <v>832</v>
      </c>
      <c r="H563" s="32">
        <v>-10.421907852511731</v>
      </c>
      <c r="I563" s="32">
        <v>-4.979770243783874</v>
      </c>
      <c r="J563" s="45" t="s">
        <v>2231</v>
      </c>
      <c r="K563" s="29">
        <v>21.6</v>
      </c>
      <c r="L563" s="41">
        <v>79.84676470588235</v>
      </c>
      <c r="M563" s="46">
        <v>18.0</v>
      </c>
      <c r="N563" s="46">
        <v>6.0</v>
      </c>
      <c r="O563" s="47">
        <v>-0.32210353314186</v>
      </c>
      <c r="P563" s="47">
        <v>-1.2167944934671027</v>
      </c>
      <c r="Q563" s="47">
        <v>-1.986581757510818</v>
      </c>
      <c r="R563" s="47">
        <v>-1.6252785205438567</v>
      </c>
      <c r="S563" s="47">
        <v>-0.7321620705035047</v>
      </c>
      <c r="T563" s="47">
        <v>-0.7819254730726583</v>
      </c>
      <c r="U563" s="47">
        <v>-0.7534957780125876</v>
      </c>
      <c r="V563" s="47">
        <v>0.0</v>
      </c>
      <c r="W563" s="47">
        <v>-1.2825055460426527</v>
      </c>
      <c r="X563" s="47">
        <v>-1.7210606802166892</v>
      </c>
      <c r="Y563" s="50" t="s">
        <v>69</v>
      </c>
      <c r="Z563" s="50" t="s">
        <v>69</v>
      </c>
      <c r="AA563" s="50" t="s">
        <v>69</v>
      </c>
      <c r="AB563" s="50" t="s">
        <v>69</v>
      </c>
      <c r="AC563" s="34" t="str">
        <f t="shared" ref="AC563:AP563" si="563">LET(
  skater, IFERROR(INDEX(AllProj, MATCH($E563, AllProjNames, 0), MATCH(AC$2, AllProjCats, 0) + 1), ""),
  goalie, IFERROR(INDEX(AllGProj, MATCH($E563, AllGProjNames, 0), MATCH(AC$2, AllGProjCats, 0) + 1), ""),
  val, IF(skater &lt;&gt; "", skater, goalie),
  IF(OR($E563="", AC$2="", val=""), "", val * AC$1)
)</f>
        <v/>
      </c>
      <c r="AD563" s="34" t="str">
        <f t="shared" si="563"/>
        <v/>
      </c>
      <c r="AE563" s="34" t="str">
        <f t="shared" si="563"/>
        <v/>
      </c>
      <c r="AF563" s="34" t="str">
        <f t="shared" si="563"/>
        <v/>
      </c>
      <c r="AG563" s="34" t="str">
        <f t="shared" si="563"/>
        <v/>
      </c>
      <c r="AH563" s="34" t="str">
        <f t="shared" si="563"/>
        <v/>
      </c>
      <c r="AI563" s="34" t="str">
        <f t="shared" si="563"/>
        <v/>
      </c>
      <c r="AJ563" s="34" t="str">
        <f t="shared" si="563"/>
        <v/>
      </c>
      <c r="AK563" s="34" t="str">
        <f t="shared" si="563"/>
        <v/>
      </c>
      <c r="AL563" s="34" t="str">
        <f t="shared" si="563"/>
        <v/>
      </c>
      <c r="AM563" s="34" t="str">
        <f t="shared" si="563"/>
        <v/>
      </c>
      <c r="AN563" s="34" t="str">
        <f t="shared" si="563"/>
        <v/>
      </c>
      <c r="AO563" s="34" t="str">
        <f t="shared" si="563"/>
        <v/>
      </c>
      <c r="AP563" s="34" t="str">
        <f t="shared" si="563"/>
        <v/>
      </c>
      <c r="AQ563" s="76" t="s">
        <v>603</v>
      </c>
      <c r="AR563" s="77"/>
      <c r="AS563" s="77"/>
      <c r="AT563" s="77"/>
      <c r="AU563" s="77"/>
      <c r="AV563" s="77"/>
      <c r="AW563" s="77"/>
      <c r="AX563" s="77"/>
      <c r="AY563" s="77"/>
      <c r="AZ563" s="77"/>
      <c r="BA563" s="77"/>
      <c r="BB563" s="77"/>
      <c r="BC563" s="77"/>
      <c r="BD563" s="77"/>
      <c r="BE563" s="77"/>
      <c r="BF563" s="77"/>
      <c r="BG563" s="77"/>
      <c r="BH563" s="77"/>
      <c r="BI563" s="77"/>
      <c r="BJ563" s="77"/>
      <c r="BK563" s="77"/>
      <c r="BL563" s="77"/>
      <c r="BM563" s="78"/>
    </row>
    <row r="564">
      <c r="A564" s="79">
        <v>2.642857142857143</v>
      </c>
      <c r="B564" s="79" t="b">
        <v>0</v>
      </c>
      <c r="C564" s="79" t="b">
        <f t="shared" si="3"/>
        <v>0</v>
      </c>
      <c r="D564" s="80" t="s">
        <v>1565</v>
      </c>
      <c r="E564" s="81" t="s">
        <v>1198</v>
      </c>
      <c r="F564" s="82" t="s">
        <v>1563</v>
      </c>
      <c r="G564" s="35" t="s">
        <v>829</v>
      </c>
      <c r="H564" s="37">
        <v>-10.54117324133024</v>
      </c>
      <c r="I564" s="37">
        <v>-5.099035632602383</v>
      </c>
      <c r="J564" s="83" t="s">
        <v>2232</v>
      </c>
      <c r="K564" s="35">
        <v>34.8</v>
      </c>
      <c r="L564" s="79">
        <v>74.85714285714286</v>
      </c>
      <c r="M564" s="84">
        <v>29.0</v>
      </c>
      <c r="N564" s="84">
        <v>6.0</v>
      </c>
      <c r="O564" s="85">
        <v>-1.4784757960933796</v>
      </c>
      <c r="P564" s="85">
        <v>-1.9361611499837683</v>
      </c>
      <c r="Q564" s="85">
        <v>-1.1890267586837984</v>
      </c>
      <c r="R564" s="85">
        <v>-1.7441398659045013</v>
      </c>
      <c r="S564" s="85">
        <v>-1.6966072252770792</v>
      </c>
      <c r="T564" s="85">
        <v>-0.16952108464970286</v>
      </c>
      <c r="U564" s="85">
        <v>-1.8891121275948355</v>
      </c>
      <c r="V564" s="85">
        <v>0.4199975769806451</v>
      </c>
      <c r="W564" s="85">
        <v>-0.5658771674617402</v>
      </c>
      <c r="X564" s="85">
        <v>-0.2922496426620785</v>
      </c>
      <c r="Y564" s="50" t="s">
        <v>69</v>
      </c>
      <c r="Z564" s="50" t="s">
        <v>69</v>
      </c>
      <c r="AA564" s="50" t="s">
        <v>69</v>
      </c>
      <c r="AB564" s="50" t="s">
        <v>69</v>
      </c>
      <c r="AC564" s="34" t="str">
        <f t="shared" ref="AC564:AP564" si="564">LET(
  skater, IFERROR(INDEX(AllProj, MATCH($E564, AllProjNames, 0), MATCH(AC$2, AllProjCats, 0) + 1), ""),
  goalie, IFERROR(INDEX(AllGProj, MATCH($E564, AllGProjNames, 0), MATCH(AC$2, AllGProjCats, 0) + 1), ""),
  val, IF(skater &lt;&gt; "", skater, goalie),
  IF(OR($E564="", AC$2="", val=""), "", val * AC$1)
)</f>
        <v/>
      </c>
      <c r="AD564" s="34" t="str">
        <f t="shared" si="564"/>
        <v/>
      </c>
      <c r="AE564" s="34" t="str">
        <f t="shared" si="564"/>
        <v/>
      </c>
      <c r="AF564" s="34" t="str">
        <f t="shared" si="564"/>
        <v/>
      </c>
      <c r="AG564" s="34" t="str">
        <f t="shared" si="564"/>
        <v/>
      </c>
      <c r="AH564" s="34" t="str">
        <f t="shared" si="564"/>
        <v/>
      </c>
      <c r="AI564" s="34" t="str">
        <f t="shared" si="564"/>
        <v/>
      </c>
      <c r="AJ564" s="34" t="str">
        <f t="shared" si="564"/>
        <v/>
      </c>
      <c r="AK564" s="34" t="str">
        <f t="shared" si="564"/>
        <v/>
      </c>
      <c r="AL564" s="34" t="str">
        <f t="shared" si="564"/>
        <v/>
      </c>
      <c r="AM564" s="34" t="str">
        <f t="shared" si="564"/>
        <v/>
      </c>
      <c r="AN564" s="34" t="str">
        <f t="shared" si="564"/>
        <v/>
      </c>
      <c r="AO564" s="34" t="str">
        <f t="shared" si="564"/>
        <v/>
      </c>
      <c r="AP564" s="34" t="str">
        <f t="shared" si="564"/>
        <v/>
      </c>
      <c r="AQ564" s="76" t="s">
        <v>604</v>
      </c>
      <c r="AR564" s="77"/>
      <c r="AS564" s="77"/>
      <c r="AT564" s="77"/>
      <c r="AU564" s="77"/>
      <c r="AV564" s="77"/>
      <c r="AW564" s="77"/>
      <c r="AX564" s="77"/>
      <c r="AY564" s="77"/>
      <c r="AZ564" s="77"/>
      <c r="BA564" s="77"/>
      <c r="BB564" s="77"/>
      <c r="BC564" s="77"/>
      <c r="BD564" s="77"/>
      <c r="BE564" s="77"/>
      <c r="BF564" s="77"/>
      <c r="BG564" s="77"/>
      <c r="BH564" s="77"/>
      <c r="BI564" s="77"/>
      <c r="BJ564" s="77"/>
      <c r="BK564" s="77"/>
      <c r="BL564" s="77"/>
      <c r="BM564" s="78"/>
    </row>
    <row r="565">
      <c r="A565" s="41">
        <v>3.2857142857142856</v>
      </c>
      <c r="B565" s="41" t="b">
        <v>0</v>
      </c>
      <c r="C565" s="41" t="b">
        <f t="shared" si="3"/>
        <v>0</v>
      </c>
      <c r="D565" s="42" t="s">
        <v>1565</v>
      </c>
      <c r="E565" s="43" t="s">
        <v>1398</v>
      </c>
      <c r="F565" s="44" t="s">
        <v>1473</v>
      </c>
      <c r="G565" s="29" t="s">
        <v>6</v>
      </c>
      <c r="H565" s="32">
        <v>-10.562806717511235</v>
      </c>
      <c r="I565" s="32">
        <v>-6.224583739041121</v>
      </c>
      <c r="J565" s="45" t="s">
        <v>2233</v>
      </c>
      <c r="K565" s="29">
        <v>30.7</v>
      </c>
      <c r="L565" s="41">
        <v>22.0</v>
      </c>
      <c r="M565" s="46">
        <v>25.0</v>
      </c>
      <c r="N565" s="46">
        <v>6.0</v>
      </c>
      <c r="O565" s="94" t="s">
        <v>69</v>
      </c>
      <c r="P565" s="94" t="s">
        <v>69</v>
      </c>
      <c r="Q565" s="94" t="s">
        <v>69</v>
      </c>
      <c r="R565" s="94" t="s">
        <v>69</v>
      </c>
      <c r="S565" s="94" t="s">
        <v>69</v>
      </c>
      <c r="T565" s="94" t="s">
        <v>69</v>
      </c>
      <c r="U565" s="94" t="s">
        <v>69</v>
      </c>
      <c r="V565" s="94" t="s">
        <v>69</v>
      </c>
      <c r="W565" s="94" t="s">
        <v>69</v>
      </c>
      <c r="X565" s="94" t="s">
        <v>69</v>
      </c>
      <c r="Y565" s="95">
        <v>-3.1414295025499754</v>
      </c>
      <c r="Z565" s="95">
        <v>-4.253904550630223</v>
      </c>
      <c r="AA565" s="95">
        <v>-3.1674726643310365</v>
      </c>
      <c r="AB565" s="95">
        <v>0.0</v>
      </c>
      <c r="AC565" s="34" t="str">
        <f t="shared" ref="AC565:AP565" si="565">LET(
  skater, IFERROR(INDEX(AllProj, MATCH($E565, AllProjNames, 0), MATCH(AC$2, AllProjCats, 0) + 1), ""),
  goalie, IFERROR(INDEX(AllGProj, MATCH($E565, AllGProjNames, 0), MATCH(AC$2, AllGProjCats, 0) + 1), ""),
  val, IF(skater &lt;&gt; "", skater, goalie),
  IF(OR($E565="", AC$2="", val=""), "", val * AC$1)
)</f>
        <v/>
      </c>
      <c r="AD565" s="34" t="str">
        <f t="shared" si="565"/>
        <v/>
      </c>
      <c r="AE565" s="34" t="str">
        <f t="shared" si="565"/>
        <v/>
      </c>
      <c r="AF565" s="34" t="str">
        <f t="shared" si="565"/>
        <v/>
      </c>
      <c r="AG565" s="34" t="str">
        <f t="shared" si="565"/>
        <v/>
      </c>
      <c r="AH565" s="34" t="str">
        <f t="shared" si="565"/>
        <v/>
      </c>
      <c r="AI565" s="34" t="str">
        <f t="shared" si="565"/>
        <v/>
      </c>
      <c r="AJ565" s="34" t="str">
        <f t="shared" si="565"/>
        <v/>
      </c>
      <c r="AK565" s="34" t="str">
        <f t="shared" si="565"/>
        <v/>
      </c>
      <c r="AL565" s="34" t="str">
        <f t="shared" si="565"/>
        <v/>
      </c>
      <c r="AM565" s="34" t="str">
        <f t="shared" si="565"/>
        <v/>
      </c>
      <c r="AN565" s="34" t="str">
        <f t="shared" si="565"/>
        <v/>
      </c>
      <c r="AO565" s="34" t="str">
        <f t="shared" si="565"/>
        <v/>
      </c>
      <c r="AP565" s="34" t="str">
        <f t="shared" si="565"/>
        <v/>
      </c>
      <c r="AQ565" s="76" t="s">
        <v>605</v>
      </c>
      <c r="AR565" s="77"/>
      <c r="AS565" s="77"/>
      <c r="AT565" s="77"/>
      <c r="AU565" s="77"/>
      <c r="AV565" s="77"/>
      <c r="AW565" s="77"/>
      <c r="AX565" s="77"/>
      <c r="AY565" s="77"/>
      <c r="AZ565" s="77"/>
      <c r="BA565" s="77"/>
      <c r="BB565" s="77"/>
      <c r="BC565" s="77"/>
      <c r="BD565" s="77"/>
      <c r="BE565" s="77"/>
      <c r="BF565" s="77"/>
      <c r="BG565" s="77"/>
      <c r="BH565" s="77"/>
      <c r="BI565" s="77"/>
      <c r="BJ565" s="77"/>
      <c r="BK565" s="77"/>
      <c r="BL565" s="77"/>
      <c r="BM565" s="78"/>
    </row>
    <row r="566">
      <c r="A566" s="79">
        <v>2.642857142857143</v>
      </c>
      <c r="B566" s="79" t="b">
        <v>0</v>
      </c>
      <c r="C566" s="79" t="b">
        <f t="shared" si="3"/>
        <v>0</v>
      </c>
      <c r="D566" s="80" t="s">
        <v>1565</v>
      </c>
      <c r="E566" s="81" t="s">
        <v>1191</v>
      </c>
      <c r="F566" s="82" t="s">
        <v>1464</v>
      </c>
      <c r="G566" s="35" t="s">
        <v>284</v>
      </c>
      <c r="H566" s="37">
        <v>-10.56779527313608</v>
      </c>
      <c r="I566" s="37">
        <v>-5.529729252952994</v>
      </c>
      <c r="J566" s="83" t="s">
        <v>2234</v>
      </c>
      <c r="K566" s="35">
        <v>34.2</v>
      </c>
      <c r="L566" s="79">
        <v>75.5</v>
      </c>
      <c r="M566" s="84">
        <v>24.0</v>
      </c>
      <c r="N566" s="84">
        <v>7.0</v>
      </c>
      <c r="O566" s="85">
        <v>-1.6195039997468632</v>
      </c>
      <c r="P566" s="85">
        <v>-2.0428791946211287</v>
      </c>
      <c r="Q566" s="85">
        <v>-0.8394537857131635</v>
      </c>
      <c r="R566" s="85">
        <v>-0.8426606725489797</v>
      </c>
      <c r="S566" s="85">
        <v>-1.6429339132702632</v>
      </c>
      <c r="T566" s="96" t="s">
        <v>69</v>
      </c>
      <c r="U566" s="85">
        <v>-1.7100234042136442</v>
      </c>
      <c r="V566" s="85">
        <v>0.2472412143918096</v>
      </c>
      <c r="W566" s="85">
        <v>-0.3744256781728006</v>
      </c>
      <c r="X566" s="85">
        <v>-1.7431558392410467</v>
      </c>
      <c r="Y566" s="50" t="s">
        <v>69</v>
      </c>
      <c r="Z566" s="50" t="s">
        <v>69</v>
      </c>
      <c r="AA566" s="50" t="s">
        <v>69</v>
      </c>
      <c r="AB566" s="50" t="s">
        <v>69</v>
      </c>
      <c r="AC566" s="34" t="str">
        <f t="shared" ref="AC566:AP566" si="566">LET(
  skater, IFERROR(INDEX(AllProj, MATCH($E566, AllProjNames, 0), MATCH(AC$2, AllProjCats, 0) + 1), ""),
  goalie, IFERROR(INDEX(AllGProj, MATCH($E566, AllGProjNames, 0), MATCH(AC$2, AllGProjCats, 0) + 1), ""),
  val, IF(skater &lt;&gt; "", skater, goalie),
  IF(OR($E566="", AC$2="", val=""), "", val * AC$1)
)</f>
        <v/>
      </c>
      <c r="AD566" s="34" t="str">
        <f t="shared" si="566"/>
        <v/>
      </c>
      <c r="AE566" s="34" t="str">
        <f t="shared" si="566"/>
        <v/>
      </c>
      <c r="AF566" s="34" t="str">
        <f t="shared" si="566"/>
        <v/>
      </c>
      <c r="AG566" s="34" t="str">
        <f t="shared" si="566"/>
        <v/>
      </c>
      <c r="AH566" s="34" t="str">
        <f t="shared" si="566"/>
        <v/>
      </c>
      <c r="AI566" s="34" t="str">
        <f t="shared" si="566"/>
        <v/>
      </c>
      <c r="AJ566" s="34" t="str">
        <f t="shared" si="566"/>
        <v/>
      </c>
      <c r="AK566" s="34" t="str">
        <f t="shared" si="566"/>
        <v/>
      </c>
      <c r="AL566" s="34" t="str">
        <f t="shared" si="566"/>
        <v/>
      </c>
      <c r="AM566" s="34" t="str">
        <f t="shared" si="566"/>
        <v/>
      </c>
      <c r="AN566" s="34" t="str">
        <f t="shared" si="566"/>
        <v/>
      </c>
      <c r="AO566" s="34" t="str">
        <f t="shared" si="566"/>
        <v/>
      </c>
      <c r="AP566" s="34" t="str">
        <f t="shared" si="566"/>
        <v/>
      </c>
      <c r="AQ566" s="76" t="s">
        <v>606</v>
      </c>
      <c r="AR566" s="77"/>
      <c r="AS566" s="77"/>
      <c r="AT566" s="77"/>
      <c r="AU566" s="77"/>
      <c r="AV566" s="77"/>
      <c r="AW566" s="77"/>
      <c r="AX566" s="77"/>
      <c r="AY566" s="77"/>
      <c r="AZ566" s="77"/>
      <c r="BA566" s="77"/>
      <c r="BB566" s="77"/>
      <c r="BC566" s="77"/>
      <c r="BD566" s="77"/>
      <c r="BE566" s="77"/>
      <c r="BF566" s="77"/>
      <c r="BG566" s="77"/>
      <c r="BH566" s="77"/>
      <c r="BI566" s="77"/>
      <c r="BJ566" s="77"/>
      <c r="BK566" s="77"/>
      <c r="BL566" s="77"/>
      <c r="BM566" s="78"/>
    </row>
    <row r="567">
      <c r="A567" s="41">
        <v>2.642857142857143</v>
      </c>
      <c r="B567" s="41" t="b">
        <v>0</v>
      </c>
      <c r="C567" s="41" t="b">
        <f t="shared" si="3"/>
        <v>0</v>
      </c>
      <c r="D567" s="42" t="s">
        <v>1565</v>
      </c>
      <c r="E567" s="43" t="s">
        <v>1199</v>
      </c>
      <c r="F567" s="44" t="s">
        <v>1426</v>
      </c>
      <c r="G567" s="29" t="s">
        <v>837</v>
      </c>
      <c r="H567" s="32">
        <v>-10.627329398547143</v>
      </c>
      <c r="I567" s="32">
        <v>-5.097470626618242</v>
      </c>
      <c r="J567" s="45" t="s">
        <v>2235</v>
      </c>
      <c r="K567" s="29">
        <v>27.3</v>
      </c>
      <c r="L567" s="41">
        <v>67.6</v>
      </c>
      <c r="M567" s="46">
        <v>23.0</v>
      </c>
      <c r="N567" s="46">
        <v>6.0</v>
      </c>
      <c r="O567" s="47">
        <v>-2.2797315773603057</v>
      </c>
      <c r="P567" s="47">
        <v>-1.7992836579488931</v>
      </c>
      <c r="Q567" s="47">
        <v>-0.3641968728581451</v>
      </c>
      <c r="R567" s="47">
        <v>-0.264470569224404</v>
      </c>
      <c r="S567" s="47">
        <v>-1.72461069241107</v>
      </c>
      <c r="T567" s="47">
        <v>-0.7871777123417198</v>
      </c>
      <c r="U567" s="47">
        <v>-2.591008481984238</v>
      </c>
      <c r="V567" s="47">
        <v>0.0</v>
      </c>
      <c r="W567" s="47">
        <v>-0.8170474699233766</v>
      </c>
      <c r="X567" s="47">
        <v>1.976355050103308E-4</v>
      </c>
      <c r="Y567" s="50" t="s">
        <v>69</v>
      </c>
      <c r="Z567" s="50" t="s">
        <v>69</v>
      </c>
      <c r="AA567" s="50" t="s">
        <v>69</v>
      </c>
      <c r="AB567" s="50" t="s">
        <v>69</v>
      </c>
      <c r="AC567" s="34" t="str">
        <f t="shared" ref="AC567:AP567" si="567">LET(
  skater, IFERROR(INDEX(AllProj, MATCH($E567, AllProjNames, 0), MATCH(AC$2, AllProjCats, 0) + 1), ""),
  goalie, IFERROR(INDEX(AllGProj, MATCH($E567, AllGProjNames, 0), MATCH(AC$2, AllGProjCats, 0) + 1), ""),
  val, IF(skater &lt;&gt; "", skater, goalie),
  IF(OR($E567="", AC$2="", val=""), "", val * AC$1)
)</f>
        <v/>
      </c>
      <c r="AD567" s="34" t="str">
        <f t="shared" si="567"/>
        <v/>
      </c>
      <c r="AE567" s="34" t="str">
        <f t="shared" si="567"/>
        <v/>
      </c>
      <c r="AF567" s="34" t="str">
        <f t="shared" si="567"/>
        <v/>
      </c>
      <c r="AG567" s="34" t="str">
        <f t="shared" si="567"/>
        <v/>
      </c>
      <c r="AH567" s="34" t="str">
        <f t="shared" si="567"/>
        <v/>
      </c>
      <c r="AI567" s="34" t="str">
        <f t="shared" si="567"/>
        <v/>
      </c>
      <c r="AJ567" s="34" t="str">
        <f t="shared" si="567"/>
        <v/>
      </c>
      <c r="AK567" s="34" t="str">
        <f t="shared" si="567"/>
        <v/>
      </c>
      <c r="AL567" s="34" t="str">
        <f t="shared" si="567"/>
        <v/>
      </c>
      <c r="AM567" s="34" t="str">
        <f t="shared" si="567"/>
        <v/>
      </c>
      <c r="AN567" s="34" t="str">
        <f t="shared" si="567"/>
        <v/>
      </c>
      <c r="AO567" s="34" t="str">
        <f t="shared" si="567"/>
        <v/>
      </c>
      <c r="AP567" s="34" t="str">
        <f t="shared" si="567"/>
        <v/>
      </c>
      <c r="AQ567" s="76" t="s">
        <v>607</v>
      </c>
      <c r="AR567" s="77"/>
      <c r="AS567" s="77"/>
      <c r="AT567" s="77"/>
      <c r="AU567" s="77"/>
      <c r="AV567" s="77"/>
      <c r="AW567" s="77"/>
      <c r="AX567" s="77"/>
      <c r="AY567" s="77"/>
      <c r="AZ567" s="77"/>
      <c r="BA567" s="77"/>
      <c r="BB567" s="77"/>
      <c r="BC567" s="77"/>
      <c r="BD567" s="77"/>
      <c r="BE567" s="77"/>
      <c r="BF567" s="77"/>
      <c r="BG567" s="77"/>
      <c r="BH567" s="77"/>
      <c r="BI567" s="77"/>
      <c r="BJ567" s="77"/>
      <c r="BK567" s="77"/>
      <c r="BL567" s="77"/>
      <c r="BM567" s="78"/>
    </row>
    <row r="568">
      <c r="A568" s="79">
        <v>2.642857142857143</v>
      </c>
      <c r="B568" s="79" t="b">
        <v>0</v>
      </c>
      <c r="C568" s="79" t="b">
        <f t="shared" si="3"/>
        <v>0</v>
      </c>
      <c r="D568" s="80" t="s">
        <v>1565</v>
      </c>
      <c r="E568" s="81" t="s">
        <v>1162</v>
      </c>
      <c r="F568" s="82" t="s">
        <v>1563</v>
      </c>
      <c r="G568" s="35" t="s">
        <v>284</v>
      </c>
      <c r="H568" s="37">
        <v>-10.641562982151056</v>
      </c>
      <c r="I568" s="37">
        <v>-5.603496961967971</v>
      </c>
      <c r="J568" s="83" t="s">
        <v>2236</v>
      </c>
      <c r="K568" s="35">
        <v>21.4</v>
      </c>
      <c r="L568" s="79">
        <v>71.7</v>
      </c>
      <c r="M568" s="84">
        <v>29.0</v>
      </c>
      <c r="N568" s="84">
        <v>6.0</v>
      </c>
      <c r="O568" s="85">
        <v>-1.2531776622440816</v>
      </c>
      <c r="P568" s="85">
        <v>-0.9235947171763571</v>
      </c>
      <c r="Q568" s="85">
        <v>-0.8046471171549027</v>
      </c>
      <c r="R568" s="85">
        <v>-1.3361204259146335</v>
      </c>
      <c r="S568" s="85">
        <v>-0.9075810620517126</v>
      </c>
      <c r="T568" s="85">
        <v>-0.7857521349870867</v>
      </c>
      <c r="U568" s="85">
        <v>-1.8817653283811642</v>
      </c>
      <c r="V568" s="85">
        <v>0.0</v>
      </c>
      <c r="W568" s="85">
        <v>-1.098596840966203</v>
      </c>
      <c r="X568" s="85">
        <v>-1.6503276932749158</v>
      </c>
      <c r="Y568" s="50" t="s">
        <v>69</v>
      </c>
      <c r="Z568" s="50" t="s">
        <v>69</v>
      </c>
      <c r="AA568" s="50" t="s">
        <v>69</v>
      </c>
      <c r="AB568" s="50" t="s">
        <v>69</v>
      </c>
      <c r="AC568" s="34" t="str">
        <f t="shared" ref="AC568:AP568" si="568">LET(
  skater, IFERROR(INDEX(AllProj, MATCH($E568, AllProjNames, 0), MATCH(AC$2, AllProjCats, 0) + 1), ""),
  goalie, IFERROR(INDEX(AllGProj, MATCH($E568, AllGProjNames, 0), MATCH(AC$2, AllGProjCats, 0) + 1), ""),
  val, IF(skater &lt;&gt; "", skater, goalie),
  IF(OR($E568="", AC$2="", val=""), "", val * AC$1)
)</f>
        <v/>
      </c>
      <c r="AD568" s="34" t="str">
        <f t="shared" si="568"/>
        <v/>
      </c>
      <c r="AE568" s="34" t="str">
        <f t="shared" si="568"/>
        <v/>
      </c>
      <c r="AF568" s="34" t="str">
        <f t="shared" si="568"/>
        <v/>
      </c>
      <c r="AG568" s="34" t="str">
        <f t="shared" si="568"/>
        <v/>
      </c>
      <c r="AH568" s="34" t="str">
        <f t="shared" si="568"/>
        <v/>
      </c>
      <c r="AI568" s="34" t="str">
        <f t="shared" si="568"/>
        <v/>
      </c>
      <c r="AJ568" s="34" t="str">
        <f t="shared" si="568"/>
        <v/>
      </c>
      <c r="AK568" s="34" t="str">
        <f t="shared" si="568"/>
        <v/>
      </c>
      <c r="AL568" s="34" t="str">
        <f t="shared" si="568"/>
        <v/>
      </c>
      <c r="AM568" s="34" t="str">
        <f t="shared" si="568"/>
        <v/>
      </c>
      <c r="AN568" s="34" t="str">
        <f t="shared" si="568"/>
        <v/>
      </c>
      <c r="AO568" s="34" t="str">
        <f t="shared" si="568"/>
        <v/>
      </c>
      <c r="AP568" s="34" t="str">
        <f t="shared" si="568"/>
        <v/>
      </c>
      <c r="AQ568" s="76" t="s">
        <v>608</v>
      </c>
      <c r="AR568" s="77"/>
      <c r="AS568" s="77"/>
      <c r="AT568" s="77"/>
      <c r="AU568" s="77"/>
      <c r="AV568" s="77"/>
      <c r="AW568" s="77"/>
      <c r="AX568" s="77"/>
      <c r="AY568" s="77"/>
      <c r="AZ568" s="77"/>
      <c r="BA568" s="77"/>
      <c r="BB568" s="77"/>
      <c r="BC568" s="77"/>
      <c r="BD568" s="77"/>
      <c r="BE568" s="77"/>
      <c r="BF568" s="77"/>
      <c r="BG568" s="77"/>
      <c r="BH568" s="77"/>
      <c r="BI568" s="77"/>
      <c r="BJ568" s="77"/>
      <c r="BK568" s="77"/>
      <c r="BL568" s="77"/>
      <c r="BM568" s="78"/>
    </row>
    <row r="569">
      <c r="A569" s="41">
        <v>2.7142857142857144</v>
      </c>
      <c r="B569" s="41" t="b">
        <v>0</v>
      </c>
      <c r="C569" s="41" t="b">
        <f t="shared" si="3"/>
        <v>0</v>
      </c>
      <c r="D569" s="42" t="s">
        <v>1565</v>
      </c>
      <c r="E569" s="43" t="s">
        <v>1312</v>
      </c>
      <c r="F569" s="44" t="s">
        <v>279</v>
      </c>
      <c r="G569" s="29" t="s">
        <v>837</v>
      </c>
      <c r="H569" s="32">
        <v>-10.648353098259346</v>
      </c>
      <c r="I569" s="32">
        <v>-5.1184943263304445</v>
      </c>
      <c r="J569" s="45" t="s">
        <v>2237</v>
      </c>
      <c r="K569" s="29">
        <v>32.7</v>
      </c>
      <c r="L569" s="41">
        <v>82.71428571428571</v>
      </c>
      <c r="M569" s="46">
        <v>34.0</v>
      </c>
      <c r="N569" s="46">
        <v>7.0</v>
      </c>
      <c r="O569" s="47">
        <v>-2.164753169286128</v>
      </c>
      <c r="P569" s="47">
        <v>-1.5208887588949096</v>
      </c>
      <c r="Q569" s="47">
        <v>-0.40409404289353784</v>
      </c>
      <c r="R569" s="47">
        <v>-0.9447987092345806</v>
      </c>
      <c r="S569" s="47">
        <v>-1.640600291009097</v>
      </c>
      <c r="T569" s="47">
        <v>-0.7871777123417198</v>
      </c>
      <c r="U569" s="47">
        <v>-1.5769391235358785</v>
      </c>
      <c r="V569" s="47">
        <v>0.0</v>
      </c>
      <c r="W569" s="47">
        <v>-2.078753767836725</v>
      </c>
      <c r="X569" s="47">
        <v>0.4696524767732311</v>
      </c>
      <c r="Y569" s="50" t="s">
        <v>69</v>
      </c>
      <c r="Z569" s="50" t="s">
        <v>69</v>
      </c>
      <c r="AA569" s="50" t="s">
        <v>69</v>
      </c>
      <c r="AB569" s="50" t="s">
        <v>69</v>
      </c>
      <c r="AC569" s="34" t="str">
        <f t="shared" ref="AC569:AP569" si="569">LET(
  skater, IFERROR(INDEX(AllProj, MATCH($E569, AllProjNames, 0), MATCH(AC$2, AllProjCats, 0) + 1), ""),
  goalie, IFERROR(INDEX(AllGProj, MATCH($E569, AllGProjNames, 0), MATCH(AC$2, AllGProjCats, 0) + 1), ""),
  val, IF(skater &lt;&gt; "", skater, goalie),
  IF(OR($E569="", AC$2="", val=""), "", val * AC$1)
)</f>
        <v/>
      </c>
      <c r="AD569" s="34" t="str">
        <f t="shared" si="569"/>
        <v/>
      </c>
      <c r="AE569" s="34" t="str">
        <f t="shared" si="569"/>
        <v/>
      </c>
      <c r="AF569" s="34" t="str">
        <f t="shared" si="569"/>
        <v/>
      </c>
      <c r="AG569" s="34" t="str">
        <f t="shared" si="569"/>
        <v/>
      </c>
      <c r="AH569" s="34" t="str">
        <f t="shared" si="569"/>
        <v/>
      </c>
      <c r="AI569" s="34" t="str">
        <f t="shared" si="569"/>
        <v/>
      </c>
      <c r="AJ569" s="34" t="str">
        <f t="shared" si="569"/>
        <v/>
      </c>
      <c r="AK569" s="34" t="str">
        <f t="shared" si="569"/>
        <v/>
      </c>
      <c r="AL569" s="34" t="str">
        <f t="shared" si="569"/>
        <v/>
      </c>
      <c r="AM569" s="34" t="str">
        <f t="shared" si="569"/>
        <v/>
      </c>
      <c r="AN569" s="34" t="str">
        <f t="shared" si="569"/>
        <v/>
      </c>
      <c r="AO569" s="34" t="str">
        <f t="shared" si="569"/>
        <v/>
      </c>
      <c r="AP569" s="34" t="str">
        <f t="shared" si="569"/>
        <v/>
      </c>
      <c r="AQ569" s="76" t="s">
        <v>609</v>
      </c>
      <c r="AR569" s="77"/>
      <c r="AS569" s="77"/>
      <c r="AT569" s="77"/>
      <c r="AU569" s="77"/>
      <c r="AV569" s="77"/>
      <c r="AW569" s="77"/>
      <c r="AX569" s="77"/>
      <c r="AY569" s="77"/>
      <c r="AZ569" s="77"/>
      <c r="BA569" s="77"/>
      <c r="BB569" s="77"/>
      <c r="BC569" s="77"/>
      <c r="BD569" s="77"/>
      <c r="BE569" s="77"/>
      <c r="BF569" s="77"/>
      <c r="BG569" s="77"/>
      <c r="BH569" s="77"/>
      <c r="BI569" s="77"/>
      <c r="BJ569" s="77"/>
      <c r="BK569" s="77"/>
      <c r="BL569" s="77"/>
      <c r="BM569" s="78"/>
    </row>
    <row r="570">
      <c r="A570" s="79">
        <v>2.5714285714285716</v>
      </c>
      <c r="B570" s="79" t="b">
        <v>0</v>
      </c>
      <c r="C570" s="79" t="b">
        <f t="shared" si="3"/>
        <v>0</v>
      </c>
      <c r="D570" s="80" t="s">
        <v>1565</v>
      </c>
      <c r="E570" s="81" t="s">
        <v>1080</v>
      </c>
      <c r="F570" s="82" t="s">
        <v>1498</v>
      </c>
      <c r="G570" s="35" t="s">
        <v>832</v>
      </c>
      <c r="H570" s="37">
        <v>-10.64962083309939</v>
      </c>
      <c r="I570" s="37">
        <v>-5.207483224371532</v>
      </c>
      <c r="J570" s="83" t="s">
        <v>2238</v>
      </c>
      <c r="K570" s="35">
        <v>25.0</v>
      </c>
      <c r="L570" s="79">
        <v>78.98553571428572</v>
      </c>
      <c r="M570" s="84">
        <v>28.0</v>
      </c>
      <c r="N570" s="84">
        <v>7.0</v>
      </c>
      <c r="O570" s="85">
        <v>-0.45713709791362866</v>
      </c>
      <c r="P570" s="85">
        <v>-1.2662226312572948</v>
      </c>
      <c r="Q570" s="85">
        <v>-1.6425841529540675</v>
      </c>
      <c r="R570" s="85">
        <v>-1.9690501606407103</v>
      </c>
      <c r="S570" s="85">
        <v>-1.1785248208124741</v>
      </c>
      <c r="T570" s="85">
        <v>-0.7671165201633983</v>
      </c>
      <c r="U570" s="85">
        <v>-0.7331897663072169</v>
      </c>
      <c r="V570" s="85">
        <v>0.0</v>
      </c>
      <c r="W570" s="85">
        <v>-1.0807842034603323</v>
      </c>
      <c r="X570" s="85">
        <v>-1.5550114795902668</v>
      </c>
      <c r="Y570" s="50" t="s">
        <v>69</v>
      </c>
      <c r="Z570" s="50" t="s">
        <v>69</v>
      </c>
      <c r="AA570" s="50" t="s">
        <v>69</v>
      </c>
      <c r="AB570" s="50" t="s">
        <v>69</v>
      </c>
      <c r="AC570" s="34" t="str">
        <f t="shared" ref="AC570:AP570" si="570">LET(
  skater, IFERROR(INDEX(AllProj, MATCH($E570, AllProjNames, 0), MATCH(AC$2, AllProjCats, 0) + 1), ""),
  goalie, IFERROR(INDEX(AllGProj, MATCH($E570, AllGProjNames, 0), MATCH(AC$2, AllGProjCats, 0) + 1), ""),
  val, IF(skater &lt;&gt; "", skater, goalie),
  IF(OR($E570="", AC$2="", val=""), "", val * AC$1)
)</f>
        <v/>
      </c>
      <c r="AD570" s="34" t="str">
        <f t="shared" si="570"/>
        <v/>
      </c>
      <c r="AE570" s="34" t="str">
        <f t="shared" si="570"/>
        <v/>
      </c>
      <c r="AF570" s="34" t="str">
        <f t="shared" si="570"/>
        <v/>
      </c>
      <c r="AG570" s="34" t="str">
        <f t="shared" si="570"/>
        <v/>
      </c>
      <c r="AH570" s="34" t="str">
        <f t="shared" si="570"/>
        <v/>
      </c>
      <c r="AI570" s="34" t="str">
        <f t="shared" si="570"/>
        <v/>
      </c>
      <c r="AJ570" s="34" t="str">
        <f t="shared" si="570"/>
        <v/>
      </c>
      <c r="AK570" s="34" t="str">
        <f t="shared" si="570"/>
        <v/>
      </c>
      <c r="AL570" s="34" t="str">
        <f t="shared" si="570"/>
        <v/>
      </c>
      <c r="AM570" s="34" t="str">
        <f t="shared" si="570"/>
        <v/>
      </c>
      <c r="AN570" s="34" t="str">
        <f t="shared" si="570"/>
        <v/>
      </c>
      <c r="AO570" s="34" t="str">
        <f t="shared" si="570"/>
        <v/>
      </c>
      <c r="AP570" s="34" t="str">
        <f t="shared" si="570"/>
        <v/>
      </c>
      <c r="AQ570" s="76" t="s">
        <v>610</v>
      </c>
      <c r="AR570" s="77"/>
      <c r="AS570" s="77"/>
      <c r="AT570" s="77"/>
      <c r="AU570" s="77"/>
      <c r="AV570" s="77"/>
      <c r="AW570" s="77"/>
      <c r="AX570" s="77"/>
      <c r="AY570" s="77"/>
      <c r="AZ570" s="77"/>
      <c r="BA570" s="77"/>
      <c r="BB570" s="77"/>
      <c r="BC570" s="77"/>
      <c r="BD570" s="77"/>
      <c r="BE570" s="77"/>
      <c r="BF570" s="77"/>
      <c r="BG570" s="77"/>
      <c r="BH570" s="77"/>
      <c r="BI570" s="77"/>
      <c r="BJ570" s="77"/>
      <c r="BK570" s="77"/>
      <c r="BL570" s="77"/>
      <c r="BM570" s="78"/>
    </row>
    <row r="571">
      <c r="A571" s="41">
        <v>2.5714285714285716</v>
      </c>
      <c r="B571" s="41" t="b">
        <v>0</v>
      </c>
      <c r="C571" s="41" t="b">
        <f t="shared" si="3"/>
        <v>0</v>
      </c>
      <c r="D571" s="42" t="s">
        <v>1565</v>
      </c>
      <c r="E571" s="43" t="s">
        <v>990</v>
      </c>
      <c r="F571" s="44" t="s">
        <v>1429</v>
      </c>
      <c r="G571" s="29" t="s">
        <v>284</v>
      </c>
      <c r="H571" s="32">
        <v>-10.671191794897068</v>
      </c>
      <c r="I571" s="32">
        <v>-5.6331257747139825</v>
      </c>
      <c r="J571" s="45" t="s">
        <v>2239</v>
      </c>
      <c r="K571" s="29">
        <v>31.4</v>
      </c>
      <c r="L571" s="41">
        <v>74.0</v>
      </c>
      <c r="M571" s="46">
        <v>24.0</v>
      </c>
      <c r="N571" s="46">
        <v>7.0</v>
      </c>
      <c r="O571" s="47">
        <v>-1.776701042035778</v>
      </c>
      <c r="P571" s="47">
        <v>-2.18903651662447</v>
      </c>
      <c r="Q571" s="94" t="s">
        <v>69</v>
      </c>
      <c r="R571" s="47">
        <v>-1.6819688870523963</v>
      </c>
      <c r="S571" s="94" t="s">
        <v>69</v>
      </c>
      <c r="T571" s="94" t="s">
        <v>69</v>
      </c>
      <c r="U571" s="47">
        <v>-2.416191599711222</v>
      </c>
      <c r="V571" s="94" t="s">
        <v>69</v>
      </c>
      <c r="W571" s="47">
        <v>-0.9195062180137877</v>
      </c>
      <c r="X571" s="47">
        <v>-1.6877875314594122</v>
      </c>
      <c r="Y571" s="50" t="s">
        <v>69</v>
      </c>
      <c r="Z571" s="50" t="s">
        <v>69</v>
      </c>
      <c r="AA571" s="50" t="s">
        <v>69</v>
      </c>
      <c r="AB571" s="50" t="s">
        <v>69</v>
      </c>
      <c r="AC571" s="34" t="str">
        <f t="shared" ref="AC571:AP571" si="571">LET(
  skater, IFERROR(INDEX(AllProj, MATCH($E571, AllProjNames, 0), MATCH(AC$2, AllProjCats, 0) + 1), ""),
  goalie, IFERROR(INDEX(AllGProj, MATCH($E571, AllGProjNames, 0), MATCH(AC$2, AllGProjCats, 0) + 1), ""),
  val, IF(skater &lt;&gt; "", skater, goalie),
  IF(OR($E571="", AC$2="", val=""), "", val * AC$1)
)</f>
        <v/>
      </c>
      <c r="AD571" s="34" t="str">
        <f t="shared" si="571"/>
        <v/>
      </c>
      <c r="AE571" s="34" t="str">
        <f t="shared" si="571"/>
        <v/>
      </c>
      <c r="AF571" s="34" t="str">
        <f t="shared" si="571"/>
        <v/>
      </c>
      <c r="AG571" s="34" t="str">
        <f t="shared" si="571"/>
        <v/>
      </c>
      <c r="AH571" s="34" t="str">
        <f t="shared" si="571"/>
        <v/>
      </c>
      <c r="AI571" s="34" t="str">
        <f t="shared" si="571"/>
        <v/>
      </c>
      <c r="AJ571" s="34" t="str">
        <f t="shared" si="571"/>
        <v/>
      </c>
      <c r="AK571" s="34" t="str">
        <f t="shared" si="571"/>
        <v/>
      </c>
      <c r="AL571" s="34" t="str">
        <f t="shared" si="571"/>
        <v/>
      </c>
      <c r="AM571" s="34" t="str">
        <f t="shared" si="571"/>
        <v/>
      </c>
      <c r="AN571" s="34" t="str">
        <f t="shared" si="571"/>
        <v/>
      </c>
      <c r="AO571" s="34" t="str">
        <f t="shared" si="571"/>
        <v/>
      </c>
      <c r="AP571" s="34" t="str">
        <f t="shared" si="571"/>
        <v/>
      </c>
      <c r="AQ571" s="76" t="s">
        <v>611</v>
      </c>
      <c r="AR571" s="77"/>
      <c r="AS571" s="77"/>
      <c r="AT571" s="77"/>
      <c r="AU571" s="77"/>
      <c r="AV571" s="77"/>
      <c r="AW571" s="77"/>
      <c r="AX571" s="77"/>
      <c r="AY571" s="77"/>
      <c r="AZ571" s="77"/>
      <c r="BA571" s="77"/>
      <c r="BB571" s="77"/>
      <c r="BC571" s="77"/>
      <c r="BD571" s="77"/>
      <c r="BE571" s="77"/>
      <c r="BF571" s="77"/>
      <c r="BG571" s="77"/>
      <c r="BH571" s="77"/>
      <c r="BI571" s="77"/>
      <c r="BJ571" s="77"/>
      <c r="BK571" s="77"/>
      <c r="BL571" s="77"/>
      <c r="BM571" s="78"/>
    </row>
    <row r="572">
      <c r="A572" s="79">
        <v>2.5714285714285716</v>
      </c>
      <c r="B572" s="79" t="b">
        <v>0</v>
      </c>
      <c r="C572" s="79" t="b">
        <f t="shared" si="3"/>
        <v>0</v>
      </c>
      <c r="D572" s="80" t="s">
        <v>1565</v>
      </c>
      <c r="E572" s="81" t="s">
        <v>1052</v>
      </c>
      <c r="F572" s="82" t="s">
        <v>854</v>
      </c>
      <c r="G572" s="35" t="s">
        <v>832</v>
      </c>
      <c r="H572" s="37">
        <v>-10.688987961848438</v>
      </c>
      <c r="I572" s="37">
        <v>-5.246850353120581</v>
      </c>
      <c r="J572" s="83" t="s">
        <v>2240</v>
      </c>
      <c r="K572" s="35">
        <v>31.9</v>
      </c>
      <c r="L572" s="79">
        <v>80.24025</v>
      </c>
      <c r="M572" s="84">
        <v>16.0</v>
      </c>
      <c r="N572" s="84">
        <v>6.0</v>
      </c>
      <c r="O572" s="85">
        <v>-0.6854111936699924</v>
      </c>
      <c r="P572" s="85">
        <v>-1.3882580069856223</v>
      </c>
      <c r="Q572" s="85">
        <v>-0.6656105874315535</v>
      </c>
      <c r="R572" s="85">
        <v>-1.8850858388114227</v>
      </c>
      <c r="S572" s="85">
        <v>-1.721605521435678</v>
      </c>
      <c r="T572" s="85">
        <v>0.6191234797212515</v>
      </c>
      <c r="U572" s="85">
        <v>-1.0156991587161364</v>
      </c>
      <c r="V572" s="85">
        <v>0.0</v>
      </c>
      <c r="W572" s="85">
        <v>-1.9446353493670048</v>
      </c>
      <c r="X572" s="85">
        <v>-2.00180578515228</v>
      </c>
      <c r="Y572" s="50" t="s">
        <v>69</v>
      </c>
      <c r="Z572" s="50" t="s">
        <v>69</v>
      </c>
      <c r="AA572" s="50" t="s">
        <v>69</v>
      </c>
      <c r="AB572" s="50" t="s">
        <v>69</v>
      </c>
      <c r="AC572" s="34" t="str">
        <f t="shared" ref="AC572:AP572" si="572">LET(
  skater, IFERROR(INDEX(AllProj, MATCH($E572, AllProjNames, 0), MATCH(AC$2, AllProjCats, 0) + 1), ""),
  goalie, IFERROR(INDEX(AllGProj, MATCH($E572, AllGProjNames, 0), MATCH(AC$2, AllGProjCats, 0) + 1), ""),
  val, IF(skater &lt;&gt; "", skater, goalie),
  IF(OR($E572="", AC$2="", val=""), "", val * AC$1)
)</f>
        <v/>
      </c>
      <c r="AD572" s="34" t="str">
        <f t="shared" si="572"/>
        <v/>
      </c>
      <c r="AE572" s="34" t="str">
        <f t="shared" si="572"/>
        <v/>
      </c>
      <c r="AF572" s="34" t="str">
        <f t="shared" si="572"/>
        <v/>
      </c>
      <c r="AG572" s="34" t="str">
        <f t="shared" si="572"/>
        <v/>
      </c>
      <c r="AH572" s="34" t="str">
        <f t="shared" si="572"/>
        <v/>
      </c>
      <c r="AI572" s="34" t="str">
        <f t="shared" si="572"/>
        <v/>
      </c>
      <c r="AJ572" s="34" t="str">
        <f t="shared" si="572"/>
        <v/>
      </c>
      <c r="AK572" s="34" t="str">
        <f t="shared" si="572"/>
        <v/>
      </c>
      <c r="AL572" s="34" t="str">
        <f t="shared" si="572"/>
        <v/>
      </c>
      <c r="AM572" s="34" t="str">
        <f t="shared" si="572"/>
        <v/>
      </c>
      <c r="AN572" s="34" t="str">
        <f t="shared" si="572"/>
        <v/>
      </c>
      <c r="AO572" s="34" t="str">
        <f t="shared" si="572"/>
        <v/>
      </c>
      <c r="AP572" s="34" t="str">
        <f t="shared" si="572"/>
        <v/>
      </c>
      <c r="AQ572" s="76" t="s">
        <v>612</v>
      </c>
      <c r="AR572" s="77"/>
      <c r="AS572" s="77"/>
      <c r="AT572" s="77"/>
      <c r="AU572" s="77"/>
      <c r="AV572" s="77"/>
      <c r="AW572" s="77"/>
      <c r="AX572" s="77"/>
      <c r="AY572" s="77"/>
      <c r="AZ572" s="77"/>
      <c r="BA572" s="77"/>
      <c r="BB572" s="77"/>
      <c r="BC572" s="77"/>
      <c r="BD572" s="77"/>
      <c r="BE572" s="77"/>
      <c r="BF572" s="77"/>
      <c r="BG572" s="77"/>
      <c r="BH572" s="77"/>
      <c r="BI572" s="77"/>
      <c r="BJ572" s="77"/>
      <c r="BK572" s="77"/>
      <c r="BL572" s="77"/>
      <c r="BM572" s="78"/>
    </row>
    <row r="573">
      <c r="A573" s="41">
        <v>2.5714285714285716</v>
      </c>
      <c r="B573" s="41" t="b">
        <v>0</v>
      </c>
      <c r="C573" s="41" t="b">
        <f t="shared" si="3"/>
        <v>0</v>
      </c>
      <c r="D573" s="42" t="s">
        <v>1565</v>
      </c>
      <c r="E573" s="43" t="s">
        <v>997</v>
      </c>
      <c r="F573" s="44" t="s">
        <v>1710</v>
      </c>
      <c r="G573" s="29" t="s">
        <v>837</v>
      </c>
      <c r="H573" s="32">
        <v>-10.706613270491008</v>
      </c>
      <c r="I573" s="32">
        <v>-5.176754498562107</v>
      </c>
      <c r="J573" s="45" t="s">
        <v>2241</v>
      </c>
      <c r="K573" s="29">
        <v>21.8</v>
      </c>
      <c r="L573" s="41">
        <v>77.0</v>
      </c>
      <c r="M573" s="46">
        <v>23.0</v>
      </c>
      <c r="N573" s="46">
        <v>6.0</v>
      </c>
      <c r="O573" s="47">
        <v>-2.028216309698042</v>
      </c>
      <c r="P573" s="47">
        <v>-1.9454409799522345</v>
      </c>
      <c r="Q573" s="94" t="s">
        <v>69</v>
      </c>
      <c r="R573" s="47">
        <v>-2.241507696721341</v>
      </c>
      <c r="S573" s="94" t="s">
        <v>69</v>
      </c>
      <c r="T573" s="94" t="s">
        <v>69</v>
      </c>
      <c r="U573" s="47">
        <v>-1.9561471726769692</v>
      </c>
      <c r="V573" s="94" t="s">
        <v>69</v>
      </c>
      <c r="W573" s="47">
        <v>-1.5957339554105012</v>
      </c>
      <c r="X573" s="47">
        <v>-0.9395671560319201</v>
      </c>
      <c r="Y573" s="50" t="s">
        <v>69</v>
      </c>
      <c r="Z573" s="50" t="s">
        <v>69</v>
      </c>
      <c r="AA573" s="50" t="s">
        <v>69</v>
      </c>
      <c r="AB573" s="50" t="s">
        <v>69</v>
      </c>
      <c r="AC573" s="34" t="str">
        <f t="shared" ref="AC573:AP573" si="573">LET(
  skater, IFERROR(INDEX(AllProj, MATCH($E573, AllProjNames, 0), MATCH(AC$2, AllProjCats, 0) + 1), ""),
  goalie, IFERROR(INDEX(AllGProj, MATCH($E573, AllGProjNames, 0), MATCH(AC$2, AllGProjCats, 0) + 1), ""),
  val, IF(skater &lt;&gt; "", skater, goalie),
  IF(OR($E573="", AC$2="", val=""), "", val * AC$1)
)</f>
        <v/>
      </c>
      <c r="AD573" s="34" t="str">
        <f t="shared" si="573"/>
        <v/>
      </c>
      <c r="AE573" s="34" t="str">
        <f t="shared" si="573"/>
        <v/>
      </c>
      <c r="AF573" s="34" t="str">
        <f t="shared" si="573"/>
        <v/>
      </c>
      <c r="AG573" s="34" t="str">
        <f t="shared" si="573"/>
        <v/>
      </c>
      <c r="AH573" s="34" t="str">
        <f t="shared" si="573"/>
        <v/>
      </c>
      <c r="AI573" s="34" t="str">
        <f t="shared" si="573"/>
        <v/>
      </c>
      <c r="AJ573" s="34" t="str">
        <f t="shared" si="573"/>
        <v/>
      </c>
      <c r="AK573" s="34" t="str">
        <f t="shared" si="573"/>
        <v/>
      </c>
      <c r="AL573" s="34" t="str">
        <f t="shared" si="573"/>
        <v/>
      </c>
      <c r="AM573" s="34" t="str">
        <f t="shared" si="573"/>
        <v/>
      </c>
      <c r="AN573" s="34" t="str">
        <f t="shared" si="573"/>
        <v/>
      </c>
      <c r="AO573" s="34" t="str">
        <f t="shared" si="573"/>
        <v/>
      </c>
      <c r="AP573" s="34" t="str">
        <f t="shared" si="573"/>
        <v/>
      </c>
      <c r="AQ573" s="76" t="s">
        <v>613</v>
      </c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 s="77"/>
      <c r="BH573" s="77"/>
      <c r="BI573" s="77"/>
      <c r="BJ573" s="77"/>
      <c r="BK573" s="77"/>
      <c r="BL573" s="77"/>
      <c r="BM573" s="78"/>
    </row>
    <row r="574">
      <c r="A574" s="79">
        <v>2.5</v>
      </c>
      <c r="B574" s="79" t="b">
        <v>0</v>
      </c>
      <c r="C574" s="79" t="b">
        <f t="shared" si="3"/>
        <v>0</v>
      </c>
      <c r="D574" s="80" t="s">
        <v>1565</v>
      </c>
      <c r="E574" s="81" t="s">
        <v>917</v>
      </c>
      <c r="F574" s="82" t="s">
        <v>1464</v>
      </c>
      <c r="G574" s="35" t="s">
        <v>836</v>
      </c>
      <c r="H574" s="37">
        <v>-10.723448831260283</v>
      </c>
      <c r="I574" s="37">
        <v>-5.281311222532426</v>
      </c>
      <c r="J574" s="83" t="s">
        <v>2242</v>
      </c>
      <c r="K574" s="35">
        <v>33.6</v>
      </c>
      <c r="L574" s="79">
        <v>78.6</v>
      </c>
      <c r="M574" s="84">
        <v>24.0</v>
      </c>
      <c r="N574" s="84">
        <v>7.0</v>
      </c>
      <c r="O574" s="85">
        <v>-1.248518979945024</v>
      </c>
      <c r="P574" s="85">
        <v>-1.4420102041629477</v>
      </c>
      <c r="Q574" s="85">
        <v>-2.2834432208150144</v>
      </c>
      <c r="R574" s="85">
        <v>-0.18986539460187787</v>
      </c>
      <c r="S574" s="85">
        <v>-0.5577995618281134</v>
      </c>
      <c r="T574" s="85">
        <v>-0.7871777123417198</v>
      </c>
      <c r="U574" s="85">
        <v>-1.4040938602358664</v>
      </c>
      <c r="V574" s="85">
        <v>0.0</v>
      </c>
      <c r="W574" s="85">
        <v>-0.9850798167916509</v>
      </c>
      <c r="X574" s="85">
        <v>-1.8254600805380707</v>
      </c>
      <c r="Y574" s="50" t="s">
        <v>69</v>
      </c>
      <c r="Z574" s="50" t="s">
        <v>69</v>
      </c>
      <c r="AA574" s="50" t="s">
        <v>69</v>
      </c>
      <c r="AB574" s="50" t="s">
        <v>69</v>
      </c>
      <c r="AC574" s="34" t="str">
        <f t="shared" ref="AC574:AP574" si="574">LET(
  skater, IFERROR(INDEX(AllProj, MATCH($E574, AllProjNames, 0), MATCH(AC$2, AllProjCats, 0) + 1), ""),
  goalie, IFERROR(INDEX(AllGProj, MATCH($E574, AllGProjNames, 0), MATCH(AC$2, AllGProjCats, 0) + 1), ""),
  val, IF(skater &lt;&gt; "", skater, goalie),
  IF(OR($E574="", AC$2="", val=""), "", val * AC$1)
)</f>
        <v/>
      </c>
      <c r="AD574" s="34" t="str">
        <f t="shared" si="574"/>
        <v/>
      </c>
      <c r="AE574" s="34" t="str">
        <f t="shared" si="574"/>
        <v/>
      </c>
      <c r="AF574" s="34" t="str">
        <f t="shared" si="574"/>
        <v/>
      </c>
      <c r="AG574" s="34" t="str">
        <f t="shared" si="574"/>
        <v/>
      </c>
      <c r="AH574" s="34" t="str">
        <f t="shared" si="574"/>
        <v/>
      </c>
      <c r="AI574" s="34" t="str">
        <f t="shared" si="574"/>
        <v/>
      </c>
      <c r="AJ574" s="34" t="str">
        <f t="shared" si="574"/>
        <v/>
      </c>
      <c r="AK574" s="34" t="str">
        <f t="shared" si="574"/>
        <v/>
      </c>
      <c r="AL574" s="34" t="str">
        <f t="shared" si="574"/>
        <v/>
      </c>
      <c r="AM574" s="34" t="str">
        <f t="shared" si="574"/>
        <v/>
      </c>
      <c r="AN574" s="34" t="str">
        <f t="shared" si="574"/>
        <v/>
      </c>
      <c r="AO574" s="34" t="str">
        <f t="shared" si="574"/>
        <v/>
      </c>
      <c r="AP574" s="34" t="str">
        <f t="shared" si="574"/>
        <v/>
      </c>
      <c r="AQ574" s="76" t="s">
        <v>614</v>
      </c>
      <c r="AR574" s="77"/>
      <c r="AS574" s="77"/>
      <c r="AT574" s="77"/>
      <c r="AU574" s="77"/>
      <c r="AV574" s="77"/>
      <c r="AW574" s="77"/>
      <c r="AX574" s="77"/>
      <c r="AY574" s="77"/>
      <c r="AZ574" s="77"/>
      <c r="BA574" s="77"/>
      <c r="BB574" s="77"/>
      <c r="BC574" s="77"/>
      <c r="BD574" s="77"/>
      <c r="BE574" s="77"/>
      <c r="BF574" s="77"/>
      <c r="BG574" s="77"/>
      <c r="BH574" s="77"/>
      <c r="BI574" s="77"/>
      <c r="BJ574" s="77"/>
      <c r="BK574" s="77"/>
      <c r="BL574" s="77"/>
      <c r="BM574" s="78"/>
    </row>
    <row r="575">
      <c r="A575" s="41">
        <v>2.642857142857143</v>
      </c>
      <c r="B575" s="41" t="b">
        <v>0</v>
      </c>
      <c r="C575" s="41" t="b">
        <f t="shared" si="3"/>
        <v>0</v>
      </c>
      <c r="D575" s="42" t="s">
        <v>1565</v>
      </c>
      <c r="E575" s="43" t="s">
        <v>1145</v>
      </c>
      <c r="F575" s="44" t="s">
        <v>1779</v>
      </c>
      <c r="G575" s="29" t="s">
        <v>284</v>
      </c>
      <c r="H575" s="32">
        <v>-10.763161802369162</v>
      </c>
      <c r="I575" s="32">
        <v>-5.725095782186076</v>
      </c>
      <c r="J575" s="45" t="s">
        <v>2243</v>
      </c>
      <c r="K575" s="29">
        <v>26.8</v>
      </c>
      <c r="L575" s="41">
        <v>78.51867647058825</v>
      </c>
      <c r="M575" s="46">
        <v>27.0</v>
      </c>
      <c r="N575" s="46">
        <v>6.0</v>
      </c>
      <c r="O575" s="47">
        <v>-0.6108033573512051</v>
      </c>
      <c r="P575" s="47">
        <v>-1.02775877805552</v>
      </c>
      <c r="Q575" s="47">
        <v>-3.0810815390396886</v>
      </c>
      <c r="R575" s="47">
        <v>-0.8220626378643386</v>
      </c>
      <c r="S575" s="47">
        <v>-0.9771195963186718</v>
      </c>
      <c r="T575" s="47">
        <v>-0.7792595594498555</v>
      </c>
      <c r="U575" s="47">
        <v>-0.8503010101190925</v>
      </c>
      <c r="V575" s="47">
        <v>0.0</v>
      </c>
      <c r="W575" s="47">
        <v>-0.7510338001648209</v>
      </c>
      <c r="X575" s="47">
        <v>-1.8637415240059658</v>
      </c>
      <c r="Y575" s="50" t="s">
        <v>69</v>
      </c>
      <c r="Z575" s="50" t="s">
        <v>69</v>
      </c>
      <c r="AA575" s="50" t="s">
        <v>69</v>
      </c>
      <c r="AB575" s="50" t="s">
        <v>69</v>
      </c>
      <c r="AC575" s="34" t="str">
        <f t="shared" ref="AC575:AP575" si="575">LET(
  skater, IFERROR(INDEX(AllProj, MATCH($E575, AllProjNames, 0), MATCH(AC$2, AllProjCats, 0) + 1), ""),
  goalie, IFERROR(INDEX(AllGProj, MATCH($E575, AllGProjNames, 0), MATCH(AC$2, AllGProjCats, 0) + 1), ""),
  val, IF(skater &lt;&gt; "", skater, goalie),
  IF(OR($E575="", AC$2="", val=""), "", val * AC$1)
)</f>
        <v/>
      </c>
      <c r="AD575" s="34" t="str">
        <f t="shared" si="575"/>
        <v/>
      </c>
      <c r="AE575" s="34" t="str">
        <f t="shared" si="575"/>
        <v/>
      </c>
      <c r="AF575" s="34" t="str">
        <f t="shared" si="575"/>
        <v/>
      </c>
      <c r="AG575" s="34" t="str">
        <f t="shared" si="575"/>
        <v/>
      </c>
      <c r="AH575" s="34" t="str">
        <f t="shared" si="575"/>
        <v/>
      </c>
      <c r="AI575" s="34" t="str">
        <f t="shared" si="575"/>
        <v/>
      </c>
      <c r="AJ575" s="34" t="str">
        <f t="shared" si="575"/>
        <v/>
      </c>
      <c r="AK575" s="34" t="str">
        <f t="shared" si="575"/>
        <v/>
      </c>
      <c r="AL575" s="34" t="str">
        <f t="shared" si="575"/>
        <v/>
      </c>
      <c r="AM575" s="34" t="str">
        <f t="shared" si="575"/>
        <v/>
      </c>
      <c r="AN575" s="34" t="str">
        <f t="shared" si="575"/>
        <v/>
      </c>
      <c r="AO575" s="34" t="str">
        <f t="shared" si="575"/>
        <v/>
      </c>
      <c r="AP575" s="34" t="str">
        <f t="shared" si="575"/>
        <v/>
      </c>
      <c r="AQ575" s="76" t="s">
        <v>615</v>
      </c>
      <c r="AR575" s="77"/>
      <c r="AS575" s="77"/>
      <c r="AT575" s="77"/>
      <c r="AU575" s="77"/>
      <c r="AV575" s="77"/>
      <c r="AW575" s="77"/>
      <c r="AX575" s="77"/>
      <c r="AY575" s="77"/>
      <c r="AZ575" s="77"/>
      <c r="BA575" s="77"/>
      <c r="BB575" s="77"/>
      <c r="BC575" s="77"/>
      <c r="BD575" s="77"/>
      <c r="BE575" s="77"/>
      <c r="BF575" s="77"/>
      <c r="BG575" s="77"/>
      <c r="BH575" s="77"/>
      <c r="BI575" s="77"/>
      <c r="BJ575" s="77"/>
      <c r="BK575" s="77"/>
      <c r="BL575" s="77"/>
      <c r="BM575" s="78"/>
    </row>
    <row r="576">
      <c r="A576" s="79">
        <v>2.5714285714285716</v>
      </c>
      <c r="B576" s="79" t="b">
        <v>0</v>
      </c>
      <c r="C576" s="79" t="b">
        <f t="shared" si="3"/>
        <v>0</v>
      </c>
      <c r="D576" s="80" t="s">
        <v>1565</v>
      </c>
      <c r="E576" s="81" t="s">
        <v>1078</v>
      </c>
      <c r="F576" s="82" t="s">
        <v>1563</v>
      </c>
      <c r="G576" s="35" t="s">
        <v>835</v>
      </c>
      <c r="H576" s="37">
        <v>-10.765946572787758</v>
      </c>
      <c r="I576" s="37">
        <v>-5.378066447875019</v>
      </c>
      <c r="J576" s="83" t="s">
        <v>2244</v>
      </c>
      <c r="K576" s="35">
        <v>22.8</v>
      </c>
      <c r="L576" s="79">
        <v>74.08333333333333</v>
      </c>
      <c r="M576" s="84">
        <v>29.0</v>
      </c>
      <c r="N576" s="84">
        <v>6.0</v>
      </c>
      <c r="O576" s="85">
        <v>-0.46908321039011097</v>
      </c>
      <c r="P576" s="85">
        <v>-1.2216859538493472</v>
      </c>
      <c r="Q576" s="85">
        <v>-0.9986089674075865</v>
      </c>
      <c r="R576" s="85">
        <v>-1.8428354986726665</v>
      </c>
      <c r="S576" s="85">
        <v>-1.28954311465762</v>
      </c>
      <c r="T576" s="85">
        <v>-0.7799878387325613</v>
      </c>
      <c r="U576" s="85">
        <v>-1.223203755337575</v>
      </c>
      <c r="V576" s="85">
        <v>0.0</v>
      </c>
      <c r="W576" s="85">
        <v>-1.2287637884473617</v>
      </c>
      <c r="X576" s="85">
        <v>-1.7122344452929286</v>
      </c>
      <c r="Y576" s="50" t="s">
        <v>69</v>
      </c>
      <c r="Z576" s="50" t="s">
        <v>69</v>
      </c>
      <c r="AA576" s="50" t="s">
        <v>69</v>
      </c>
      <c r="AB576" s="50" t="s">
        <v>69</v>
      </c>
      <c r="AC576" s="34" t="str">
        <f t="shared" ref="AC576:AP576" si="576">LET(
  skater, IFERROR(INDEX(AllProj, MATCH($E576, AllProjNames, 0), MATCH(AC$2, AllProjCats, 0) + 1), ""),
  goalie, IFERROR(INDEX(AllGProj, MATCH($E576, AllGProjNames, 0), MATCH(AC$2, AllGProjCats, 0) + 1), ""),
  val, IF(skater &lt;&gt; "", skater, goalie),
  IF(OR($E576="", AC$2="", val=""), "", val * AC$1)
)</f>
        <v/>
      </c>
      <c r="AD576" s="34" t="str">
        <f t="shared" si="576"/>
        <v/>
      </c>
      <c r="AE576" s="34" t="str">
        <f t="shared" si="576"/>
        <v/>
      </c>
      <c r="AF576" s="34" t="str">
        <f t="shared" si="576"/>
        <v/>
      </c>
      <c r="AG576" s="34" t="str">
        <f t="shared" si="576"/>
        <v/>
      </c>
      <c r="AH576" s="34" t="str">
        <f t="shared" si="576"/>
        <v/>
      </c>
      <c r="AI576" s="34" t="str">
        <f t="shared" si="576"/>
        <v/>
      </c>
      <c r="AJ576" s="34" t="str">
        <f t="shared" si="576"/>
        <v/>
      </c>
      <c r="AK576" s="34" t="str">
        <f t="shared" si="576"/>
        <v/>
      </c>
      <c r="AL576" s="34" t="str">
        <f t="shared" si="576"/>
        <v/>
      </c>
      <c r="AM576" s="34" t="str">
        <f t="shared" si="576"/>
        <v/>
      </c>
      <c r="AN576" s="34" t="str">
        <f t="shared" si="576"/>
        <v/>
      </c>
      <c r="AO576" s="34" t="str">
        <f t="shared" si="576"/>
        <v/>
      </c>
      <c r="AP576" s="34" t="str">
        <f t="shared" si="576"/>
        <v/>
      </c>
      <c r="AQ576" s="76" t="s">
        <v>616</v>
      </c>
      <c r="AR576" s="77"/>
      <c r="AS576" s="77"/>
      <c r="AT576" s="77"/>
      <c r="AU576" s="77"/>
      <c r="AV576" s="77"/>
      <c r="AW576" s="77"/>
      <c r="AX576" s="77"/>
      <c r="AY576" s="77"/>
      <c r="AZ576" s="77"/>
      <c r="BA576" s="77"/>
      <c r="BB576" s="77"/>
      <c r="BC576" s="77"/>
      <c r="BD576" s="77"/>
      <c r="BE576" s="77"/>
      <c r="BF576" s="77"/>
      <c r="BG576" s="77"/>
      <c r="BH576" s="77"/>
      <c r="BI576" s="77"/>
      <c r="BJ576" s="77"/>
      <c r="BK576" s="77"/>
      <c r="BL576" s="77"/>
      <c r="BM576" s="78"/>
    </row>
    <row r="577">
      <c r="A577" s="41">
        <v>2.642857142857143</v>
      </c>
      <c r="B577" s="41" t="b">
        <v>0</v>
      </c>
      <c r="C577" s="41" t="b">
        <f t="shared" si="3"/>
        <v>0</v>
      </c>
      <c r="D577" s="42" t="s">
        <v>1565</v>
      </c>
      <c r="E577" s="43" t="s">
        <v>1201</v>
      </c>
      <c r="F577" s="44" t="s">
        <v>1401</v>
      </c>
      <c r="G577" s="29" t="s">
        <v>830</v>
      </c>
      <c r="H577" s="32">
        <v>-10.76832277942491</v>
      </c>
      <c r="I577" s="32">
        <v>-5.380442654512171</v>
      </c>
      <c r="J577" s="45" t="s">
        <v>2245</v>
      </c>
      <c r="K577" s="29">
        <v>32.9</v>
      </c>
      <c r="L577" s="41">
        <v>77.71428571428571</v>
      </c>
      <c r="M577" s="46">
        <v>25.0</v>
      </c>
      <c r="N577" s="46">
        <v>7.0</v>
      </c>
      <c r="O577" s="47">
        <v>-1.5862680536629212</v>
      </c>
      <c r="P577" s="47">
        <v>-1.9268813200153023</v>
      </c>
      <c r="Q577" s="47">
        <v>-1.4588020363800636</v>
      </c>
      <c r="R577" s="47">
        <v>-1.1135485089760084</v>
      </c>
      <c r="S577" s="47">
        <v>-1.533253666995465</v>
      </c>
      <c r="T577" s="47">
        <v>-0.16952108464970286</v>
      </c>
      <c r="U577" s="47">
        <v>-2.004780440677733</v>
      </c>
      <c r="V577" s="47">
        <v>0.7421125463290742</v>
      </c>
      <c r="W577" s="47">
        <v>-0.6367200732842531</v>
      </c>
      <c r="X577" s="47">
        <v>-1.080660141112533</v>
      </c>
      <c r="Y577" s="50" t="s">
        <v>69</v>
      </c>
      <c r="Z577" s="50" t="s">
        <v>69</v>
      </c>
      <c r="AA577" s="50" t="s">
        <v>69</v>
      </c>
      <c r="AB577" s="50" t="s">
        <v>69</v>
      </c>
      <c r="AC577" s="34" t="str">
        <f t="shared" ref="AC577:AP577" si="577">LET(
  skater, IFERROR(INDEX(AllProj, MATCH($E577, AllProjNames, 0), MATCH(AC$2, AllProjCats, 0) + 1), ""),
  goalie, IFERROR(INDEX(AllGProj, MATCH($E577, AllGProjNames, 0), MATCH(AC$2, AllGProjCats, 0) + 1), ""),
  val, IF(skater &lt;&gt; "", skater, goalie),
  IF(OR($E577="", AC$2="", val=""), "", val * AC$1)
)</f>
        <v/>
      </c>
      <c r="AD577" s="34" t="str">
        <f t="shared" si="577"/>
        <v/>
      </c>
      <c r="AE577" s="34" t="str">
        <f t="shared" si="577"/>
        <v/>
      </c>
      <c r="AF577" s="34" t="str">
        <f t="shared" si="577"/>
        <v/>
      </c>
      <c r="AG577" s="34" t="str">
        <f t="shared" si="577"/>
        <v/>
      </c>
      <c r="AH577" s="34" t="str">
        <f t="shared" si="577"/>
        <v/>
      </c>
      <c r="AI577" s="34" t="str">
        <f t="shared" si="577"/>
        <v/>
      </c>
      <c r="AJ577" s="34" t="str">
        <f t="shared" si="577"/>
        <v/>
      </c>
      <c r="AK577" s="34" t="str">
        <f t="shared" si="577"/>
        <v/>
      </c>
      <c r="AL577" s="34" t="str">
        <f t="shared" si="577"/>
        <v/>
      </c>
      <c r="AM577" s="34" t="str">
        <f t="shared" si="577"/>
        <v/>
      </c>
      <c r="AN577" s="34" t="str">
        <f t="shared" si="577"/>
        <v/>
      </c>
      <c r="AO577" s="34" t="str">
        <f t="shared" si="577"/>
        <v/>
      </c>
      <c r="AP577" s="34" t="str">
        <f t="shared" si="577"/>
        <v/>
      </c>
      <c r="AQ577" s="76" t="s">
        <v>617</v>
      </c>
      <c r="AR577" s="77"/>
      <c r="AS577" s="77"/>
      <c r="AT577" s="77"/>
      <c r="AU577" s="77"/>
      <c r="AV577" s="77"/>
      <c r="AW577" s="77"/>
      <c r="AX577" s="77"/>
      <c r="AY577" s="77"/>
      <c r="AZ577" s="77"/>
      <c r="BA577" s="77"/>
      <c r="BB577" s="77"/>
      <c r="BC577" s="77"/>
      <c r="BD577" s="77"/>
      <c r="BE577" s="77"/>
      <c r="BF577" s="77"/>
      <c r="BG577" s="77"/>
      <c r="BH577" s="77"/>
      <c r="BI577" s="77"/>
      <c r="BJ577" s="77"/>
      <c r="BK577" s="77"/>
      <c r="BL577" s="77"/>
      <c r="BM577" s="78"/>
    </row>
    <row r="578">
      <c r="A578" s="79">
        <v>2.642857142857143</v>
      </c>
      <c r="B578" s="79" t="b">
        <v>0</v>
      </c>
      <c r="C578" s="79" t="b">
        <f t="shared" si="3"/>
        <v>0</v>
      </c>
      <c r="D578" s="80" t="s">
        <v>1565</v>
      </c>
      <c r="E578" s="81" t="s">
        <v>1194</v>
      </c>
      <c r="F578" s="82" t="s">
        <v>1426</v>
      </c>
      <c r="G578" s="35" t="s">
        <v>284</v>
      </c>
      <c r="H578" s="37">
        <v>-10.78527333000128</v>
      </c>
      <c r="I578" s="37">
        <v>-5.747207309818195</v>
      </c>
      <c r="J578" s="83" t="s">
        <v>2246</v>
      </c>
      <c r="K578" s="35">
        <v>33.7</v>
      </c>
      <c r="L578" s="79">
        <v>79.57142857142857</v>
      </c>
      <c r="M578" s="84">
        <v>23.0</v>
      </c>
      <c r="N578" s="84">
        <v>6.0</v>
      </c>
      <c r="O578" s="85">
        <v>-1.6940603112324626</v>
      </c>
      <c r="P578" s="85">
        <v>-1.685605740835183</v>
      </c>
      <c r="Q578" s="85">
        <v>-1.6101607746329811</v>
      </c>
      <c r="R578" s="85">
        <v>-0.6605885201963866</v>
      </c>
      <c r="S578" s="85">
        <v>-1.72461069241107</v>
      </c>
      <c r="T578" s="85">
        <v>-0.16952108464970286</v>
      </c>
      <c r="U578" s="85">
        <v>-1.7307254034301855</v>
      </c>
      <c r="V578" s="85">
        <v>0.3893869791288554</v>
      </c>
      <c r="W578" s="85">
        <v>-0.5125986184547262</v>
      </c>
      <c r="X578" s="85">
        <v>-1.3867891632874383</v>
      </c>
      <c r="Y578" s="50" t="s">
        <v>69</v>
      </c>
      <c r="Z578" s="50" t="s">
        <v>69</v>
      </c>
      <c r="AA578" s="50" t="s">
        <v>69</v>
      </c>
      <c r="AB578" s="50" t="s">
        <v>69</v>
      </c>
      <c r="AC578" s="34" t="str">
        <f t="shared" ref="AC578:AP578" si="578">LET(
  skater, IFERROR(INDEX(AllProj, MATCH($E578, AllProjNames, 0), MATCH(AC$2, AllProjCats, 0) + 1), ""),
  goalie, IFERROR(INDEX(AllGProj, MATCH($E578, AllGProjNames, 0), MATCH(AC$2, AllGProjCats, 0) + 1), ""),
  val, IF(skater &lt;&gt; "", skater, goalie),
  IF(OR($E578="", AC$2="", val=""), "", val * AC$1)
)</f>
        <v/>
      </c>
      <c r="AD578" s="34" t="str">
        <f t="shared" si="578"/>
        <v/>
      </c>
      <c r="AE578" s="34" t="str">
        <f t="shared" si="578"/>
        <v/>
      </c>
      <c r="AF578" s="34" t="str">
        <f t="shared" si="578"/>
        <v/>
      </c>
      <c r="AG578" s="34" t="str">
        <f t="shared" si="578"/>
        <v/>
      </c>
      <c r="AH578" s="34" t="str">
        <f t="shared" si="578"/>
        <v/>
      </c>
      <c r="AI578" s="34" t="str">
        <f t="shared" si="578"/>
        <v/>
      </c>
      <c r="AJ578" s="34" t="str">
        <f t="shared" si="578"/>
        <v/>
      </c>
      <c r="AK578" s="34" t="str">
        <f t="shared" si="578"/>
        <v/>
      </c>
      <c r="AL578" s="34" t="str">
        <f t="shared" si="578"/>
        <v/>
      </c>
      <c r="AM578" s="34" t="str">
        <f t="shared" si="578"/>
        <v/>
      </c>
      <c r="AN578" s="34" t="str">
        <f t="shared" si="578"/>
        <v/>
      </c>
      <c r="AO578" s="34" t="str">
        <f t="shared" si="578"/>
        <v/>
      </c>
      <c r="AP578" s="34" t="str">
        <f t="shared" si="578"/>
        <v/>
      </c>
      <c r="AQ578" s="76" t="s">
        <v>618</v>
      </c>
      <c r="AR578" s="77"/>
      <c r="AS578" s="77"/>
      <c r="AT578" s="77"/>
      <c r="AU578" s="77"/>
      <c r="AV578" s="77"/>
      <c r="AW578" s="77"/>
      <c r="AX578" s="77"/>
      <c r="AY578" s="77"/>
      <c r="AZ578" s="77"/>
      <c r="BA578" s="77"/>
      <c r="BB578" s="77"/>
      <c r="BC578" s="77"/>
      <c r="BD578" s="77"/>
      <c r="BE578" s="77"/>
      <c r="BF578" s="77"/>
      <c r="BG578" s="77"/>
      <c r="BH578" s="77"/>
      <c r="BI578" s="77"/>
      <c r="BJ578" s="77"/>
      <c r="BK578" s="77"/>
      <c r="BL578" s="77"/>
      <c r="BM578" s="78"/>
    </row>
    <row r="579">
      <c r="A579" s="41">
        <v>2.642857142857143</v>
      </c>
      <c r="B579" s="41" t="b">
        <v>0</v>
      </c>
      <c r="C579" s="41" t="b">
        <f t="shared" si="3"/>
        <v>0</v>
      </c>
      <c r="D579" s="42" t="s">
        <v>1565</v>
      </c>
      <c r="E579" s="43" t="s">
        <v>1138</v>
      </c>
      <c r="F579" s="44" t="s">
        <v>1594</v>
      </c>
      <c r="G579" s="29" t="s">
        <v>837</v>
      </c>
      <c r="H579" s="32">
        <v>-10.799607553848286</v>
      </c>
      <c r="I579" s="32">
        <v>-5.269748781919385</v>
      </c>
      <c r="J579" s="45" t="s">
        <v>2247</v>
      </c>
      <c r="K579" s="29">
        <v>28.6</v>
      </c>
      <c r="L579" s="41">
        <v>76.42857142857143</v>
      </c>
      <c r="M579" s="46">
        <v>26.0</v>
      </c>
      <c r="N579" s="46">
        <v>6.0</v>
      </c>
      <c r="O579" s="47">
        <v>-2.312069254631168</v>
      </c>
      <c r="P579" s="47">
        <v>-1.7180851457248147</v>
      </c>
      <c r="Q579" s="47">
        <v>-1.7908358390573003</v>
      </c>
      <c r="R579" s="47">
        <v>0.01441067876932399</v>
      </c>
      <c r="S579" s="47">
        <v>-1.72461069241107</v>
      </c>
      <c r="T579" s="47">
        <v>-0.16952108464970286</v>
      </c>
      <c r="U579" s="47">
        <v>-2.4924275333340407</v>
      </c>
      <c r="V579" s="47">
        <v>0.0</v>
      </c>
      <c r="W579" s="47">
        <v>-1.3035801537127005</v>
      </c>
      <c r="X579" s="47">
        <v>0.6971114709031886</v>
      </c>
      <c r="Y579" s="50" t="s">
        <v>69</v>
      </c>
      <c r="Z579" s="50" t="s">
        <v>69</v>
      </c>
      <c r="AA579" s="50" t="s">
        <v>69</v>
      </c>
      <c r="AB579" s="50" t="s">
        <v>69</v>
      </c>
      <c r="AC579" s="34" t="str">
        <f t="shared" ref="AC579:AP579" si="579">LET(
  skater, IFERROR(INDEX(AllProj, MATCH($E579, AllProjNames, 0), MATCH(AC$2, AllProjCats, 0) + 1), ""),
  goalie, IFERROR(INDEX(AllGProj, MATCH($E579, AllGProjNames, 0), MATCH(AC$2, AllGProjCats, 0) + 1), ""),
  val, IF(skater &lt;&gt; "", skater, goalie),
  IF(OR($E579="", AC$2="", val=""), "", val * AC$1)
)</f>
        <v/>
      </c>
      <c r="AD579" s="34" t="str">
        <f t="shared" si="579"/>
        <v/>
      </c>
      <c r="AE579" s="34" t="str">
        <f t="shared" si="579"/>
        <v/>
      </c>
      <c r="AF579" s="34" t="str">
        <f t="shared" si="579"/>
        <v/>
      </c>
      <c r="AG579" s="34" t="str">
        <f t="shared" si="579"/>
        <v/>
      </c>
      <c r="AH579" s="34" t="str">
        <f t="shared" si="579"/>
        <v/>
      </c>
      <c r="AI579" s="34" t="str">
        <f t="shared" si="579"/>
        <v/>
      </c>
      <c r="AJ579" s="34" t="str">
        <f t="shared" si="579"/>
        <v/>
      </c>
      <c r="AK579" s="34" t="str">
        <f t="shared" si="579"/>
        <v/>
      </c>
      <c r="AL579" s="34" t="str">
        <f t="shared" si="579"/>
        <v/>
      </c>
      <c r="AM579" s="34" t="str">
        <f t="shared" si="579"/>
        <v/>
      </c>
      <c r="AN579" s="34" t="str">
        <f t="shared" si="579"/>
        <v/>
      </c>
      <c r="AO579" s="34" t="str">
        <f t="shared" si="579"/>
        <v/>
      </c>
      <c r="AP579" s="34" t="str">
        <f t="shared" si="579"/>
        <v/>
      </c>
      <c r="AQ579" s="76" t="s">
        <v>619</v>
      </c>
      <c r="AR579" s="77"/>
      <c r="AS579" s="77"/>
      <c r="AT579" s="77"/>
      <c r="AU579" s="77"/>
      <c r="AV579" s="77"/>
      <c r="AW579" s="77"/>
      <c r="AX579" s="77"/>
      <c r="AY579" s="77"/>
      <c r="AZ579" s="77"/>
      <c r="BA579" s="77"/>
      <c r="BB579" s="77"/>
      <c r="BC579" s="77"/>
      <c r="BD579" s="77"/>
      <c r="BE579" s="77"/>
      <c r="BF579" s="77"/>
      <c r="BG579" s="77"/>
      <c r="BH579" s="77"/>
      <c r="BI579" s="77"/>
      <c r="BJ579" s="77"/>
      <c r="BK579" s="77"/>
      <c r="BL579" s="77"/>
      <c r="BM579" s="78"/>
    </row>
    <row r="580">
      <c r="A580" s="79">
        <v>2.5714285714285716</v>
      </c>
      <c r="B580" s="79" t="b">
        <v>0</v>
      </c>
      <c r="C580" s="79" t="b">
        <f t="shared" si="3"/>
        <v>0</v>
      </c>
      <c r="D580" s="80" t="s">
        <v>1565</v>
      </c>
      <c r="E580" s="81" t="s">
        <v>1058</v>
      </c>
      <c r="F580" s="82" t="s">
        <v>1517</v>
      </c>
      <c r="G580" s="35" t="s">
        <v>831</v>
      </c>
      <c r="H580" s="37">
        <v>-10.826904427807989</v>
      </c>
      <c r="I580" s="37">
        <v>-5.384766819080132</v>
      </c>
      <c r="J580" s="83" t="s">
        <v>2248</v>
      </c>
      <c r="K580" s="35">
        <v>32.1</v>
      </c>
      <c r="L580" s="79">
        <v>76.41175000000001</v>
      </c>
      <c r="M580" s="84">
        <v>18.0</v>
      </c>
      <c r="N580" s="84">
        <v>6.0</v>
      </c>
      <c r="O580" s="85">
        <v>-1.3054873413313413</v>
      </c>
      <c r="P580" s="85">
        <v>-1.419555219637644</v>
      </c>
      <c r="Q580" s="85">
        <v>-1.4909408742219916</v>
      </c>
      <c r="R580" s="85">
        <v>-1.348831357594703</v>
      </c>
      <c r="S580" s="85">
        <v>-1.4888838222792062</v>
      </c>
      <c r="T580" s="85">
        <v>0.33613476631441863</v>
      </c>
      <c r="U580" s="85">
        <v>-2.037348432523853</v>
      </c>
      <c r="V580" s="85">
        <v>0.18181306237068362</v>
      </c>
      <c r="W580" s="85">
        <v>-1.3293062894632026</v>
      </c>
      <c r="X580" s="85">
        <v>-0.9244989194411481</v>
      </c>
      <c r="Y580" s="50" t="s">
        <v>69</v>
      </c>
      <c r="Z580" s="50" t="s">
        <v>69</v>
      </c>
      <c r="AA580" s="50" t="s">
        <v>69</v>
      </c>
      <c r="AB580" s="50" t="s">
        <v>69</v>
      </c>
      <c r="AC580" s="34" t="str">
        <f t="shared" ref="AC580:AP580" si="580">LET(
  skater, IFERROR(INDEX(AllProj, MATCH($E580, AllProjNames, 0), MATCH(AC$2, AllProjCats, 0) + 1), ""),
  goalie, IFERROR(INDEX(AllGProj, MATCH($E580, AllGProjNames, 0), MATCH(AC$2, AllGProjCats, 0) + 1), ""),
  val, IF(skater &lt;&gt; "", skater, goalie),
  IF(OR($E580="", AC$2="", val=""), "", val * AC$1)
)</f>
        <v/>
      </c>
      <c r="AD580" s="34" t="str">
        <f t="shared" si="580"/>
        <v/>
      </c>
      <c r="AE580" s="34" t="str">
        <f t="shared" si="580"/>
        <v/>
      </c>
      <c r="AF580" s="34" t="str">
        <f t="shared" si="580"/>
        <v/>
      </c>
      <c r="AG580" s="34" t="str">
        <f t="shared" si="580"/>
        <v/>
      </c>
      <c r="AH580" s="34" t="str">
        <f t="shared" si="580"/>
        <v/>
      </c>
      <c r="AI580" s="34" t="str">
        <f t="shared" si="580"/>
        <v/>
      </c>
      <c r="AJ580" s="34" t="str">
        <f t="shared" si="580"/>
        <v/>
      </c>
      <c r="AK580" s="34" t="str">
        <f t="shared" si="580"/>
        <v/>
      </c>
      <c r="AL580" s="34" t="str">
        <f t="shared" si="580"/>
        <v/>
      </c>
      <c r="AM580" s="34" t="str">
        <f t="shared" si="580"/>
        <v/>
      </c>
      <c r="AN580" s="34" t="str">
        <f t="shared" si="580"/>
        <v/>
      </c>
      <c r="AO580" s="34" t="str">
        <f t="shared" si="580"/>
        <v/>
      </c>
      <c r="AP580" s="34" t="str">
        <f t="shared" si="580"/>
        <v/>
      </c>
      <c r="AQ580" s="76" t="s">
        <v>620</v>
      </c>
      <c r="AR580" s="77"/>
      <c r="AS580" s="77"/>
      <c r="AT580" s="77"/>
      <c r="AU580" s="77"/>
      <c r="AV580" s="77"/>
      <c r="AW580" s="77"/>
      <c r="AX580" s="77"/>
      <c r="AY580" s="77"/>
      <c r="AZ580" s="77"/>
      <c r="BA580" s="77"/>
      <c r="BB580" s="77"/>
      <c r="BC580" s="77"/>
      <c r="BD580" s="77"/>
      <c r="BE580" s="77"/>
      <c r="BF580" s="77"/>
      <c r="BG580" s="77"/>
      <c r="BH580" s="77"/>
      <c r="BI580" s="77"/>
      <c r="BJ580" s="77"/>
      <c r="BK580" s="77"/>
      <c r="BL580" s="77"/>
      <c r="BM580" s="78"/>
    </row>
    <row r="581">
      <c r="A581" s="41">
        <v>2.5</v>
      </c>
      <c r="B581" s="41" t="b">
        <v>0</v>
      </c>
      <c r="C581" s="41" t="b">
        <f t="shared" si="3"/>
        <v>0</v>
      </c>
      <c r="D581" s="42" t="s">
        <v>1565</v>
      </c>
      <c r="E581" s="43" t="s">
        <v>922</v>
      </c>
      <c r="F581" s="44" t="s">
        <v>1473</v>
      </c>
      <c r="G581" s="29" t="s">
        <v>835</v>
      </c>
      <c r="H581" s="32">
        <v>-10.831498025948061</v>
      </c>
      <c r="I581" s="32">
        <v>-5.4436179010353225</v>
      </c>
      <c r="J581" s="45" t="s">
        <v>2249</v>
      </c>
      <c r="K581" s="29">
        <v>20.0</v>
      </c>
      <c r="L581" s="41">
        <v>78.0</v>
      </c>
      <c r="M581" s="46">
        <v>25.0</v>
      </c>
      <c r="N581" s="46">
        <v>6.0</v>
      </c>
      <c r="O581" s="47">
        <v>-1.5251857743735142</v>
      </c>
      <c r="P581" s="47">
        <v>-2.2702350288485484</v>
      </c>
      <c r="Q581" s="94" t="s">
        <v>69</v>
      </c>
      <c r="R581" s="47">
        <v>-1.7441398659045013</v>
      </c>
      <c r="S581" s="94" t="s">
        <v>69</v>
      </c>
      <c r="T581" s="94" t="s">
        <v>69</v>
      </c>
      <c r="U581" s="47">
        <v>-1.4270960815875788</v>
      </c>
      <c r="V581" s="94" t="s">
        <v>69</v>
      </c>
      <c r="W581" s="47">
        <v>-1.6981927035009123</v>
      </c>
      <c r="X581" s="47">
        <v>-2.166648571733007</v>
      </c>
      <c r="Y581" s="50" t="s">
        <v>69</v>
      </c>
      <c r="Z581" s="50" t="s">
        <v>69</v>
      </c>
      <c r="AA581" s="50" t="s">
        <v>69</v>
      </c>
      <c r="AB581" s="50" t="s">
        <v>69</v>
      </c>
      <c r="AC581" s="34" t="str">
        <f t="shared" ref="AC581:AP581" si="581">LET(
  skater, IFERROR(INDEX(AllProj, MATCH($E581, AllProjNames, 0), MATCH(AC$2, AllProjCats, 0) + 1), ""),
  goalie, IFERROR(INDEX(AllGProj, MATCH($E581, AllGProjNames, 0), MATCH(AC$2, AllGProjCats, 0) + 1), ""),
  val, IF(skater &lt;&gt; "", skater, goalie),
  IF(OR($E581="", AC$2="", val=""), "", val * AC$1)
)</f>
        <v/>
      </c>
      <c r="AD581" s="34" t="str">
        <f t="shared" si="581"/>
        <v/>
      </c>
      <c r="AE581" s="34" t="str">
        <f t="shared" si="581"/>
        <v/>
      </c>
      <c r="AF581" s="34" t="str">
        <f t="shared" si="581"/>
        <v/>
      </c>
      <c r="AG581" s="34" t="str">
        <f t="shared" si="581"/>
        <v/>
      </c>
      <c r="AH581" s="34" t="str">
        <f t="shared" si="581"/>
        <v/>
      </c>
      <c r="AI581" s="34" t="str">
        <f t="shared" si="581"/>
        <v/>
      </c>
      <c r="AJ581" s="34" t="str">
        <f t="shared" si="581"/>
        <v/>
      </c>
      <c r="AK581" s="34" t="str">
        <f t="shared" si="581"/>
        <v/>
      </c>
      <c r="AL581" s="34" t="str">
        <f t="shared" si="581"/>
        <v/>
      </c>
      <c r="AM581" s="34" t="str">
        <f t="shared" si="581"/>
        <v/>
      </c>
      <c r="AN581" s="34" t="str">
        <f t="shared" si="581"/>
        <v/>
      </c>
      <c r="AO581" s="34" t="str">
        <f t="shared" si="581"/>
        <v/>
      </c>
      <c r="AP581" s="34" t="str">
        <f t="shared" si="581"/>
        <v/>
      </c>
      <c r="AQ581" s="76" t="s">
        <v>621</v>
      </c>
      <c r="AR581" s="77"/>
      <c r="AS581" s="77"/>
      <c r="AT581" s="77"/>
      <c r="AU581" s="77"/>
      <c r="AV581" s="77"/>
      <c r="AW581" s="77"/>
      <c r="AX581" s="77"/>
      <c r="AY581" s="77"/>
      <c r="AZ581" s="77"/>
      <c r="BA581" s="77"/>
      <c r="BB581" s="77"/>
      <c r="BC581" s="77"/>
      <c r="BD581" s="77"/>
      <c r="BE581" s="77"/>
      <c r="BF581" s="77"/>
      <c r="BG581" s="77"/>
      <c r="BH581" s="77"/>
      <c r="BI581" s="77"/>
      <c r="BJ581" s="77"/>
      <c r="BK581" s="77"/>
      <c r="BL581" s="77"/>
      <c r="BM581" s="78"/>
    </row>
    <row r="582">
      <c r="A582" s="79">
        <v>2.642857142857143</v>
      </c>
      <c r="B582" s="79" t="b">
        <v>0</v>
      </c>
      <c r="C582" s="79" t="b">
        <f t="shared" si="3"/>
        <v>0</v>
      </c>
      <c r="D582" s="80" t="s">
        <v>1565</v>
      </c>
      <c r="E582" s="81" t="s">
        <v>1184</v>
      </c>
      <c r="F582" s="82" t="s">
        <v>1461</v>
      </c>
      <c r="G582" s="35" t="s">
        <v>835</v>
      </c>
      <c r="H582" s="37">
        <v>-10.84037710182371</v>
      </c>
      <c r="I582" s="37">
        <v>-5.452496976910972</v>
      </c>
      <c r="J582" s="83" t="s">
        <v>2250</v>
      </c>
      <c r="K582" s="35">
        <v>31.0</v>
      </c>
      <c r="L582" s="79">
        <v>73.4</v>
      </c>
      <c r="M582" s="84">
        <v>23.0</v>
      </c>
      <c r="N582" s="84">
        <v>6.0</v>
      </c>
      <c r="O582" s="85">
        <v>-1.5000342476072879</v>
      </c>
      <c r="P582" s="85">
        <v>-1.7830439555040773</v>
      </c>
      <c r="Q582" s="85">
        <v>-2.0320272601310596</v>
      </c>
      <c r="R582" s="85">
        <v>0.44427858968959266</v>
      </c>
      <c r="S582" s="85">
        <v>-1.72461069241107</v>
      </c>
      <c r="T582" s="85">
        <v>-0.16952108464970286</v>
      </c>
      <c r="U582" s="85">
        <v>-1.5283058555351146</v>
      </c>
      <c r="V582" s="85">
        <v>0.0</v>
      </c>
      <c r="W582" s="85">
        <v>-0.9072111682429385</v>
      </c>
      <c r="X582" s="85">
        <v>-1.6399014274320527</v>
      </c>
      <c r="Y582" s="50" t="s">
        <v>69</v>
      </c>
      <c r="Z582" s="50" t="s">
        <v>69</v>
      </c>
      <c r="AA582" s="50" t="s">
        <v>69</v>
      </c>
      <c r="AB582" s="50" t="s">
        <v>69</v>
      </c>
      <c r="AC582" s="34" t="str">
        <f t="shared" ref="AC582:AP582" si="582">LET(
  skater, IFERROR(INDEX(AllProj, MATCH($E582, AllProjNames, 0), MATCH(AC$2, AllProjCats, 0) + 1), ""),
  goalie, IFERROR(INDEX(AllGProj, MATCH($E582, AllGProjNames, 0), MATCH(AC$2, AllGProjCats, 0) + 1), ""),
  val, IF(skater &lt;&gt; "", skater, goalie),
  IF(OR($E582="", AC$2="", val=""), "", val * AC$1)
)</f>
        <v/>
      </c>
      <c r="AD582" s="34" t="str">
        <f t="shared" si="582"/>
        <v/>
      </c>
      <c r="AE582" s="34" t="str">
        <f t="shared" si="582"/>
        <v/>
      </c>
      <c r="AF582" s="34" t="str">
        <f t="shared" si="582"/>
        <v/>
      </c>
      <c r="AG582" s="34" t="str">
        <f t="shared" si="582"/>
        <v/>
      </c>
      <c r="AH582" s="34" t="str">
        <f t="shared" si="582"/>
        <v/>
      </c>
      <c r="AI582" s="34" t="str">
        <f t="shared" si="582"/>
        <v/>
      </c>
      <c r="AJ582" s="34" t="str">
        <f t="shared" si="582"/>
        <v/>
      </c>
      <c r="AK582" s="34" t="str">
        <f t="shared" si="582"/>
        <v/>
      </c>
      <c r="AL582" s="34" t="str">
        <f t="shared" si="582"/>
        <v/>
      </c>
      <c r="AM582" s="34" t="str">
        <f t="shared" si="582"/>
        <v/>
      </c>
      <c r="AN582" s="34" t="str">
        <f t="shared" si="582"/>
        <v/>
      </c>
      <c r="AO582" s="34" t="str">
        <f t="shared" si="582"/>
        <v/>
      </c>
      <c r="AP582" s="34" t="str">
        <f t="shared" si="582"/>
        <v/>
      </c>
      <c r="AQ582" s="76" t="s">
        <v>622</v>
      </c>
      <c r="AR582" s="77"/>
      <c r="AS582" s="77"/>
      <c r="AT582" s="77"/>
      <c r="AU582" s="77"/>
      <c r="AV582" s="77"/>
      <c r="AW582" s="77"/>
      <c r="AX582" s="77"/>
      <c r="AY582" s="77"/>
      <c r="AZ582" s="77"/>
      <c r="BA582" s="77"/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8"/>
    </row>
    <row r="583">
      <c r="A583" s="41">
        <v>2.5714285714285716</v>
      </c>
      <c r="B583" s="41" t="b">
        <v>0</v>
      </c>
      <c r="C583" s="41" t="b">
        <f t="shared" si="3"/>
        <v>0</v>
      </c>
      <c r="D583" s="42" t="s">
        <v>1565</v>
      </c>
      <c r="E583" s="43" t="s">
        <v>1054</v>
      </c>
      <c r="F583" s="44" t="s">
        <v>1779</v>
      </c>
      <c r="G583" s="29" t="s">
        <v>835</v>
      </c>
      <c r="H583" s="32">
        <v>-10.852002733585488</v>
      </c>
      <c r="I583" s="32">
        <v>-5.464122608672749</v>
      </c>
      <c r="J583" s="45" t="s">
        <v>2251</v>
      </c>
      <c r="K583" s="29">
        <v>28.3</v>
      </c>
      <c r="L583" s="41">
        <v>83.6015</v>
      </c>
      <c r="M583" s="46">
        <v>27.0</v>
      </c>
      <c r="N583" s="46">
        <v>6.0</v>
      </c>
      <c r="O583" s="47">
        <v>-0.7412877206011697</v>
      </c>
      <c r="P583" s="47">
        <v>-1.4757747324873791</v>
      </c>
      <c r="Q583" s="47">
        <v>-3.8937686954048676</v>
      </c>
      <c r="R583" s="47">
        <v>-0.7426524864559266</v>
      </c>
      <c r="S583" s="47">
        <v>-1.5685057367579769</v>
      </c>
      <c r="T583" s="47">
        <v>0.881201547990563</v>
      </c>
      <c r="U583" s="47">
        <v>-0.7727014259644273</v>
      </c>
      <c r="V583" s="47">
        <v>0.0</v>
      </c>
      <c r="W583" s="47">
        <v>-1.097716938190957</v>
      </c>
      <c r="X583" s="47">
        <v>-1.4407965457133483</v>
      </c>
      <c r="Y583" s="50" t="s">
        <v>69</v>
      </c>
      <c r="Z583" s="50" t="s">
        <v>69</v>
      </c>
      <c r="AA583" s="50" t="s">
        <v>69</v>
      </c>
      <c r="AB583" s="50" t="s">
        <v>69</v>
      </c>
      <c r="AC583" s="34" t="str">
        <f t="shared" ref="AC583:AP583" si="583">LET(
  skater, IFERROR(INDEX(AllProj, MATCH($E583, AllProjNames, 0), MATCH(AC$2, AllProjCats, 0) + 1), ""),
  goalie, IFERROR(INDEX(AllGProj, MATCH($E583, AllGProjNames, 0), MATCH(AC$2, AllGProjCats, 0) + 1), ""),
  val, IF(skater &lt;&gt; "", skater, goalie),
  IF(OR($E583="", AC$2="", val=""), "", val * AC$1)
)</f>
        <v/>
      </c>
      <c r="AD583" s="34" t="str">
        <f t="shared" si="583"/>
        <v/>
      </c>
      <c r="AE583" s="34" t="str">
        <f t="shared" si="583"/>
        <v/>
      </c>
      <c r="AF583" s="34" t="str">
        <f t="shared" si="583"/>
        <v/>
      </c>
      <c r="AG583" s="34" t="str">
        <f t="shared" si="583"/>
        <v/>
      </c>
      <c r="AH583" s="34" t="str">
        <f t="shared" si="583"/>
        <v/>
      </c>
      <c r="AI583" s="34" t="str">
        <f t="shared" si="583"/>
        <v/>
      </c>
      <c r="AJ583" s="34" t="str">
        <f t="shared" si="583"/>
        <v/>
      </c>
      <c r="AK583" s="34" t="str">
        <f t="shared" si="583"/>
        <v/>
      </c>
      <c r="AL583" s="34" t="str">
        <f t="shared" si="583"/>
        <v/>
      </c>
      <c r="AM583" s="34" t="str">
        <f t="shared" si="583"/>
        <v/>
      </c>
      <c r="AN583" s="34" t="str">
        <f t="shared" si="583"/>
        <v/>
      </c>
      <c r="AO583" s="34" t="str">
        <f t="shared" si="583"/>
        <v/>
      </c>
      <c r="AP583" s="34" t="str">
        <f t="shared" si="583"/>
        <v/>
      </c>
      <c r="AQ583" s="76" t="s">
        <v>623</v>
      </c>
      <c r="AR583" s="77"/>
      <c r="AS583" s="77"/>
      <c r="AT583" s="77"/>
      <c r="AU583" s="77"/>
      <c r="AV583" s="77"/>
      <c r="AW583" s="77"/>
      <c r="AX583" s="77"/>
      <c r="AY583" s="77"/>
      <c r="AZ583" s="77"/>
      <c r="BA583" s="77"/>
      <c r="BB583" s="77"/>
      <c r="BC583" s="77"/>
      <c r="BD583" s="77"/>
      <c r="BE583" s="77"/>
      <c r="BF583" s="77"/>
      <c r="BG583" s="77"/>
      <c r="BH583" s="77"/>
      <c r="BI583" s="77"/>
      <c r="BJ583" s="77"/>
      <c r="BK583" s="77"/>
      <c r="BL583" s="77"/>
      <c r="BM583" s="78"/>
    </row>
    <row r="584">
      <c r="A584" s="79">
        <v>2.642857142857143</v>
      </c>
      <c r="B584" s="79" t="b">
        <v>0</v>
      </c>
      <c r="C584" s="79" t="b">
        <f t="shared" si="3"/>
        <v>0</v>
      </c>
      <c r="D584" s="80" t="s">
        <v>1565</v>
      </c>
      <c r="E584" s="81" t="s">
        <v>1107</v>
      </c>
      <c r="F584" s="82" t="s">
        <v>1411</v>
      </c>
      <c r="G584" s="35" t="s">
        <v>284</v>
      </c>
      <c r="H584" s="37">
        <v>-10.852480554400646</v>
      </c>
      <c r="I584" s="37">
        <v>-5.814414534217561</v>
      </c>
      <c r="J584" s="83" t="s">
        <v>2252</v>
      </c>
      <c r="K584" s="35">
        <v>28.6</v>
      </c>
      <c r="L584" s="79">
        <v>75.0</v>
      </c>
      <c r="M584" s="84">
        <v>33.0</v>
      </c>
      <c r="N584" s="84">
        <v>8.0</v>
      </c>
      <c r="O584" s="85">
        <v>-0.9467006587503075</v>
      </c>
      <c r="P584" s="85">
        <v>-1.6531263359455517</v>
      </c>
      <c r="Q584" s="85">
        <v>-0.517866210512579</v>
      </c>
      <c r="R584" s="85">
        <v>-1.7814424532157644</v>
      </c>
      <c r="S584" s="85">
        <v>-0.9078429010030005</v>
      </c>
      <c r="T584" s="85">
        <v>-0.7871777123417198</v>
      </c>
      <c r="U584" s="85">
        <v>-1.62951562948265</v>
      </c>
      <c r="V584" s="85">
        <v>0.0</v>
      </c>
      <c r="W584" s="85">
        <v>-1.5096686070145557</v>
      </c>
      <c r="X584" s="85">
        <v>-1.1191400461345182</v>
      </c>
      <c r="Y584" s="50" t="s">
        <v>69</v>
      </c>
      <c r="Z584" s="50" t="s">
        <v>69</v>
      </c>
      <c r="AA584" s="50" t="s">
        <v>69</v>
      </c>
      <c r="AB584" s="50" t="s">
        <v>69</v>
      </c>
      <c r="AC584" s="34" t="str">
        <f t="shared" ref="AC584:AP584" si="584">LET(
  skater, IFERROR(INDEX(AllProj, MATCH($E584, AllProjNames, 0), MATCH(AC$2, AllProjCats, 0) + 1), ""),
  goalie, IFERROR(INDEX(AllGProj, MATCH($E584, AllGProjNames, 0), MATCH(AC$2, AllGProjCats, 0) + 1), ""),
  val, IF(skater &lt;&gt; "", skater, goalie),
  IF(OR($E584="", AC$2="", val=""), "", val * AC$1)
)</f>
        <v/>
      </c>
      <c r="AD584" s="34" t="str">
        <f t="shared" si="584"/>
        <v/>
      </c>
      <c r="AE584" s="34" t="str">
        <f t="shared" si="584"/>
        <v/>
      </c>
      <c r="AF584" s="34" t="str">
        <f t="shared" si="584"/>
        <v/>
      </c>
      <c r="AG584" s="34" t="str">
        <f t="shared" si="584"/>
        <v/>
      </c>
      <c r="AH584" s="34" t="str">
        <f t="shared" si="584"/>
        <v/>
      </c>
      <c r="AI584" s="34" t="str">
        <f t="shared" si="584"/>
        <v/>
      </c>
      <c r="AJ584" s="34" t="str">
        <f t="shared" si="584"/>
        <v/>
      </c>
      <c r="AK584" s="34" t="str">
        <f t="shared" si="584"/>
        <v/>
      </c>
      <c r="AL584" s="34" t="str">
        <f t="shared" si="584"/>
        <v/>
      </c>
      <c r="AM584" s="34" t="str">
        <f t="shared" si="584"/>
        <v/>
      </c>
      <c r="AN584" s="34" t="str">
        <f t="shared" si="584"/>
        <v/>
      </c>
      <c r="AO584" s="34" t="str">
        <f t="shared" si="584"/>
        <v/>
      </c>
      <c r="AP584" s="34" t="str">
        <f t="shared" si="584"/>
        <v/>
      </c>
      <c r="AQ584" s="76" t="s">
        <v>624</v>
      </c>
      <c r="AR584" s="77"/>
      <c r="AS584" s="77"/>
      <c r="AT584" s="77"/>
      <c r="AU584" s="77"/>
      <c r="AV584" s="77"/>
      <c r="AW584" s="77"/>
      <c r="AX584" s="77"/>
      <c r="AY584" s="77"/>
      <c r="AZ584" s="77"/>
      <c r="BA584" s="77"/>
      <c r="BB584" s="77"/>
      <c r="BC584" s="77"/>
      <c r="BD584" s="77"/>
      <c r="BE584" s="77"/>
      <c r="BF584" s="77"/>
      <c r="BG584" s="77"/>
      <c r="BH584" s="77"/>
      <c r="BI584" s="77"/>
      <c r="BJ584" s="77"/>
      <c r="BK584" s="77"/>
      <c r="BL584" s="77"/>
      <c r="BM584" s="78"/>
    </row>
    <row r="585">
      <c r="A585" s="41">
        <v>2.5714285714285716</v>
      </c>
      <c r="B585" s="41" t="b">
        <v>0</v>
      </c>
      <c r="C585" s="41" t="b">
        <f t="shared" si="3"/>
        <v>0</v>
      </c>
      <c r="D585" s="42" t="s">
        <v>1565</v>
      </c>
      <c r="E585" s="43" t="s">
        <v>1087</v>
      </c>
      <c r="F585" s="44" t="s">
        <v>1594</v>
      </c>
      <c r="G585" s="29" t="s">
        <v>832</v>
      </c>
      <c r="H585" s="32">
        <v>-10.856417141249851</v>
      </c>
      <c r="I585" s="32">
        <v>-5.414279532521994</v>
      </c>
      <c r="J585" s="45" t="s">
        <v>2253</v>
      </c>
      <c r="K585" s="29">
        <v>25.6</v>
      </c>
      <c r="L585" s="41">
        <v>77.97058823529412</v>
      </c>
      <c r="M585" s="46">
        <v>26.0</v>
      </c>
      <c r="N585" s="46">
        <v>6.0</v>
      </c>
      <c r="O585" s="47">
        <v>-0.7411406057304953</v>
      </c>
      <c r="P585" s="47">
        <v>-0.3869116114740412</v>
      </c>
      <c r="Q585" s="47">
        <v>-1.4958815872705429</v>
      </c>
      <c r="R585" s="47">
        <v>-1.371493417262086</v>
      </c>
      <c r="S585" s="47">
        <v>-0.7694668619572808</v>
      </c>
      <c r="T585" s="47">
        <v>-0.7849107779063634</v>
      </c>
      <c r="U585" s="47">
        <v>-1.4191662073543152</v>
      </c>
      <c r="V585" s="47">
        <v>0.0</v>
      </c>
      <c r="W585" s="47">
        <v>-1.784384051032855</v>
      </c>
      <c r="X585" s="47">
        <v>-2.10306202126187</v>
      </c>
      <c r="Y585" s="50" t="s">
        <v>69</v>
      </c>
      <c r="Z585" s="50" t="s">
        <v>69</v>
      </c>
      <c r="AA585" s="50" t="s">
        <v>69</v>
      </c>
      <c r="AB585" s="50" t="s">
        <v>69</v>
      </c>
      <c r="AC585" s="34" t="str">
        <f t="shared" ref="AC585:AP585" si="585">LET(
  skater, IFERROR(INDEX(AllProj, MATCH($E585, AllProjNames, 0), MATCH(AC$2, AllProjCats, 0) + 1), ""),
  goalie, IFERROR(INDEX(AllGProj, MATCH($E585, AllGProjNames, 0), MATCH(AC$2, AllGProjCats, 0) + 1), ""),
  val, IF(skater &lt;&gt; "", skater, goalie),
  IF(OR($E585="", AC$2="", val=""), "", val * AC$1)
)</f>
        <v/>
      </c>
      <c r="AD585" s="34" t="str">
        <f t="shared" si="585"/>
        <v/>
      </c>
      <c r="AE585" s="34" t="str">
        <f t="shared" si="585"/>
        <v/>
      </c>
      <c r="AF585" s="34" t="str">
        <f t="shared" si="585"/>
        <v/>
      </c>
      <c r="AG585" s="34" t="str">
        <f t="shared" si="585"/>
        <v/>
      </c>
      <c r="AH585" s="34" t="str">
        <f t="shared" si="585"/>
        <v/>
      </c>
      <c r="AI585" s="34" t="str">
        <f t="shared" si="585"/>
        <v/>
      </c>
      <c r="AJ585" s="34" t="str">
        <f t="shared" si="585"/>
        <v/>
      </c>
      <c r="AK585" s="34" t="str">
        <f t="shared" si="585"/>
        <v/>
      </c>
      <c r="AL585" s="34" t="str">
        <f t="shared" si="585"/>
        <v/>
      </c>
      <c r="AM585" s="34" t="str">
        <f t="shared" si="585"/>
        <v/>
      </c>
      <c r="AN585" s="34" t="str">
        <f t="shared" si="585"/>
        <v/>
      </c>
      <c r="AO585" s="34" t="str">
        <f t="shared" si="585"/>
        <v/>
      </c>
      <c r="AP585" s="34" t="str">
        <f t="shared" si="585"/>
        <v/>
      </c>
      <c r="AQ585" s="76" t="s">
        <v>625</v>
      </c>
      <c r="AR585" s="77"/>
      <c r="AS585" s="77"/>
      <c r="AT585" s="77"/>
      <c r="AU585" s="77"/>
      <c r="AV585" s="77"/>
      <c r="AW585" s="77"/>
      <c r="AX585" s="77"/>
      <c r="AY585" s="77"/>
      <c r="AZ585" s="77"/>
      <c r="BA585" s="77"/>
      <c r="BB585" s="77"/>
      <c r="BC585" s="77"/>
      <c r="BD585" s="77"/>
      <c r="BE585" s="77"/>
      <c r="BF585" s="77"/>
      <c r="BG585" s="77"/>
      <c r="BH585" s="77"/>
      <c r="BI585" s="77"/>
      <c r="BJ585" s="77"/>
      <c r="BK585" s="77"/>
      <c r="BL585" s="77"/>
      <c r="BM585" s="78"/>
    </row>
    <row r="586">
      <c r="A586" s="79">
        <v>2.7142857142857144</v>
      </c>
      <c r="B586" s="79" t="b">
        <v>0</v>
      </c>
      <c r="C586" s="79" t="b">
        <f t="shared" si="3"/>
        <v>0</v>
      </c>
      <c r="D586" s="80" t="s">
        <v>1565</v>
      </c>
      <c r="E586" s="81" t="s">
        <v>1315</v>
      </c>
      <c r="F586" s="82" t="s">
        <v>1454</v>
      </c>
      <c r="G586" s="35" t="s">
        <v>284</v>
      </c>
      <c r="H586" s="37">
        <v>-10.865147330433222</v>
      </c>
      <c r="I586" s="37">
        <v>-5.827081310250137</v>
      </c>
      <c r="J586" s="83" t="s">
        <v>2254</v>
      </c>
      <c r="K586" s="35">
        <v>22.5</v>
      </c>
      <c r="L586" s="79">
        <v>77.69285714285715</v>
      </c>
      <c r="M586" s="84">
        <v>25.0</v>
      </c>
      <c r="N586" s="84">
        <v>6.0</v>
      </c>
      <c r="O586" s="85">
        <v>-0.8769867383222428</v>
      </c>
      <c r="P586" s="85">
        <v>-0.8734804934040757</v>
      </c>
      <c r="Q586" s="85">
        <v>-0.660983379211513</v>
      </c>
      <c r="R586" s="85">
        <v>-1.5204839809099102</v>
      </c>
      <c r="S586" s="85">
        <v>-0.9189748732866652</v>
      </c>
      <c r="T586" s="85">
        <v>-0.45086571135992104</v>
      </c>
      <c r="U586" s="85">
        <v>-1.7420962945497505</v>
      </c>
      <c r="V586" s="85">
        <v>0.0</v>
      </c>
      <c r="W586" s="85">
        <v>-2.347201259757385</v>
      </c>
      <c r="X586" s="85">
        <v>-1.4740745996317595</v>
      </c>
      <c r="Y586" s="50" t="s">
        <v>69</v>
      </c>
      <c r="Z586" s="50" t="s">
        <v>69</v>
      </c>
      <c r="AA586" s="50" t="s">
        <v>69</v>
      </c>
      <c r="AB586" s="50" t="s">
        <v>69</v>
      </c>
      <c r="AC586" s="34" t="str">
        <f t="shared" ref="AC586:AP586" si="586">LET(
  skater, IFERROR(INDEX(AllProj, MATCH($E586, AllProjNames, 0), MATCH(AC$2, AllProjCats, 0) + 1), ""),
  goalie, IFERROR(INDEX(AllGProj, MATCH($E586, AllGProjNames, 0), MATCH(AC$2, AllGProjCats, 0) + 1), ""),
  val, IF(skater &lt;&gt; "", skater, goalie),
  IF(OR($E586="", AC$2="", val=""), "", val * AC$1)
)</f>
        <v/>
      </c>
      <c r="AD586" s="34" t="str">
        <f t="shared" si="586"/>
        <v/>
      </c>
      <c r="AE586" s="34" t="str">
        <f t="shared" si="586"/>
        <v/>
      </c>
      <c r="AF586" s="34" t="str">
        <f t="shared" si="586"/>
        <v/>
      </c>
      <c r="AG586" s="34" t="str">
        <f t="shared" si="586"/>
        <v/>
      </c>
      <c r="AH586" s="34" t="str">
        <f t="shared" si="586"/>
        <v/>
      </c>
      <c r="AI586" s="34" t="str">
        <f t="shared" si="586"/>
        <v/>
      </c>
      <c r="AJ586" s="34" t="str">
        <f t="shared" si="586"/>
        <v/>
      </c>
      <c r="AK586" s="34" t="str">
        <f t="shared" si="586"/>
        <v/>
      </c>
      <c r="AL586" s="34" t="str">
        <f t="shared" si="586"/>
        <v/>
      </c>
      <c r="AM586" s="34" t="str">
        <f t="shared" si="586"/>
        <v/>
      </c>
      <c r="AN586" s="34" t="str">
        <f t="shared" si="586"/>
        <v/>
      </c>
      <c r="AO586" s="34" t="str">
        <f t="shared" si="586"/>
        <v/>
      </c>
      <c r="AP586" s="34" t="str">
        <f t="shared" si="586"/>
        <v/>
      </c>
      <c r="AQ586" s="76" t="s">
        <v>626</v>
      </c>
      <c r="AR586" s="77"/>
      <c r="AS586" s="77"/>
      <c r="AT586" s="77"/>
      <c r="AU586" s="77"/>
      <c r="AV586" s="77"/>
      <c r="AW586" s="77"/>
      <c r="AX586" s="77"/>
      <c r="AY586" s="77"/>
      <c r="AZ586" s="77"/>
      <c r="BA586" s="77"/>
      <c r="BB586" s="77"/>
      <c r="BC586" s="77"/>
      <c r="BD586" s="77"/>
      <c r="BE586" s="77"/>
      <c r="BF586" s="77"/>
      <c r="BG586" s="77"/>
      <c r="BH586" s="77"/>
      <c r="BI586" s="77"/>
      <c r="BJ586" s="77"/>
      <c r="BK586" s="77"/>
      <c r="BL586" s="77"/>
      <c r="BM586" s="78"/>
    </row>
    <row r="587">
      <c r="A587" s="41">
        <v>2.7142857142857144</v>
      </c>
      <c r="B587" s="41" t="b">
        <v>0</v>
      </c>
      <c r="C587" s="41" t="b">
        <f t="shared" si="3"/>
        <v>0</v>
      </c>
      <c r="D587" s="42" t="s">
        <v>1565</v>
      </c>
      <c r="E587" s="43" t="s">
        <v>1310</v>
      </c>
      <c r="F587" s="44" t="s">
        <v>1706</v>
      </c>
      <c r="G587" s="29" t="s">
        <v>835</v>
      </c>
      <c r="H587" s="32">
        <v>-10.891980031231357</v>
      </c>
      <c r="I587" s="32">
        <v>-5.5040999063186185</v>
      </c>
      <c r="J587" s="45" t="s">
        <v>2255</v>
      </c>
      <c r="K587" s="29">
        <v>29.6</v>
      </c>
      <c r="L587" s="41">
        <v>76.0</v>
      </c>
      <c r="M587" s="46">
        <v>31.0</v>
      </c>
      <c r="N587" s="46">
        <v>7.0</v>
      </c>
      <c r="O587" s="47">
        <v>-1.8018525688020044</v>
      </c>
      <c r="P587" s="47">
        <v>-1.73432484816963</v>
      </c>
      <c r="Q587" s="47">
        <v>-2.7771480366028376</v>
      </c>
      <c r="R587" s="47">
        <v>0.5810547431642232</v>
      </c>
      <c r="S587" s="47">
        <v>-1.6079295793527744</v>
      </c>
      <c r="T587" s="47">
        <v>-0.16952108464970286</v>
      </c>
      <c r="U587" s="47">
        <v>-2.1355644992203278</v>
      </c>
      <c r="V587" s="47">
        <v>0.0</v>
      </c>
      <c r="W587" s="47">
        <v>-0.09163953344326559</v>
      </c>
      <c r="X587" s="47">
        <v>-1.155054624155038</v>
      </c>
      <c r="Y587" s="50" t="s">
        <v>69</v>
      </c>
      <c r="Z587" s="50" t="s">
        <v>69</v>
      </c>
      <c r="AA587" s="50" t="s">
        <v>69</v>
      </c>
      <c r="AB587" s="50" t="s">
        <v>69</v>
      </c>
      <c r="AC587" s="34" t="str">
        <f t="shared" ref="AC587:AP587" si="587">LET(
  skater, IFERROR(INDEX(AllProj, MATCH($E587, AllProjNames, 0), MATCH(AC$2, AllProjCats, 0) + 1), ""),
  goalie, IFERROR(INDEX(AllGProj, MATCH($E587, AllGProjNames, 0), MATCH(AC$2, AllGProjCats, 0) + 1), ""),
  val, IF(skater &lt;&gt; "", skater, goalie),
  IF(OR($E587="", AC$2="", val=""), "", val * AC$1)
)</f>
        <v/>
      </c>
      <c r="AD587" s="34" t="str">
        <f t="shared" si="587"/>
        <v/>
      </c>
      <c r="AE587" s="34" t="str">
        <f t="shared" si="587"/>
        <v/>
      </c>
      <c r="AF587" s="34" t="str">
        <f t="shared" si="587"/>
        <v/>
      </c>
      <c r="AG587" s="34" t="str">
        <f t="shared" si="587"/>
        <v/>
      </c>
      <c r="AH587" s="34" t="str">
        <f t="shared" si="587"/>
        <v/>
      </c>
      <c r="AI587" s="34" t="str">
        <f t="shared" si="587"/>
        <v/>
      </c>
      <c r="AJ587" s="34" t="str">
        <f t="shared" si="587"/>
        <v/>
      </c>
      <c r="AK587" s="34" t="str">
        <f t="shared" si="587"/>
        <v/>
      </c>
      <c r="AL587" s="34" t="str">
        <f t="shared" si="587"/>
        <v/>
      </c>
      <c r="AM587" s="34" t="str">
        <f t="shared" si="587"/>
        <v/>
      </c>
      <c r="AN587" s="34" t="str">
        <f t="shared" si="587"/>
        <v/>
      </c>
      <c r="AO587" s="34" t="str">
        <f t="shared" si="587"/>
        <v/>
      </c>
      <c r="AP587" s="34" t="str">
        <f t="shared" si="587"/>
        <v/>
      </c>
      <c r="AQ587" s="76" t="s">
        <v>627</v>
      </c>
      <c r="AR587" s="77"/>
      <c r="AS587" s="77"/>
      <c r="AT587" s="77"/>
      <c r="AU587" s="77"/>
      <c r="AV587" s="77"/>
      <c r="AW587" s="77"/>
      <c r="AX587" s="77"/>
      <c r="AY587" s="77"/>
      <c r="AZ587" s="77"/>
      <c r="BA587" s="77"/>
      <c r="BB587" s="77"/>
      <c r="BC587" s="77"/>
      <c r="BD587" s="77"/>
      <c r="BE587" s="77"/>
      <c r="BF587" s="77"/>
      <c r="BG587" s="77"/>
      <c r="BH587" s="77"/>
      <c r="BI587" s="77"/>
      <c r="BJ587" s="77"/>
      <c r="BK587" s="77"/>
      <c r="BL587" s="77"/>
      <c r="BM587" s="78"/>
    </row>
    <row r="588">
      <c r="A588" s="79">
        <v>2.642857142857143</v>
      </c>
      <c r="B588" s="79" t="b">
        <v>0</v>
      </c>
      <c r="C588" s="79" t="b">
        <f t="shared" si="3"/>
        <v>0</v>
      </c>
      <c r="D588" s="80" t="s">
        <v>1565</v>
      </c>
      <c r="E588" s="81" t="s">
        <v>1227</v>
      </c>
      <c r="F588" s="82" t="s">
        <v>1505</v>
      </c>
      <c r="G588" s="35" t="s">
        <v>835</v>
      </c>
      <c r="H588" s="37">
        <v>-10.927610197356556</v>
      </c>
      <c r="I588" s="37">
        <v>-5.539730072443817</v>
      </c>
      <c r="J588" s="83" t="s">
        <v>2256</v>
      </c>
      <c r="K588" s="35">
        <v>21.6</v>
      </c>
      <c r="L588" s="79">
        <v>68.0</v>
      </c>
      <c r="M588" s="84">
        <v>30.0</v>
      </c>
      <c r="N588" s="84">
        <v>5.0</v>
      </c>
      <c r="O588" s="85">
        <v>-1.0221552390489865</v>
      </c>
      <c r="P588" s="85">
        <v>-1.295852882159606</v>
      </c>
      <c r="Q588" s="85">
        <v>-0.8180770923122893</v>
      </c>
      <c r="R588" s="85">
        <v>-1.930652802460816</v>
      </c>
      <c r="S588" s="85">
        <v>-0.6744806748864091</v>
      </c>
      <c r="T588" s="85">
        <v>-0.7871777123417198</v>
      </c>
      <c r="U588" s="85">
        <v>-1.3580894175324412</v>
      </c>
      <c r="V588" s="85">
        <v>0.0</v>
      </c>
      <c r="W588" s="85">
        <v>-1.8621267004455702</v>
      </c>
      <c r="X588" s="85">
        <v>-1.1789976761687175</v>
      </c>
      <c r="Y588" s="50" t="s">
        <v>69</v>
      </c>
      <c r="Z588" s="50" t="s">
        <v>69</v>
      </c>
      <c r="AA588" s="50" t="s">
        <v>69</v>
      </c>
      <c r="AB588" s="50" t="s">
        <v>69</v>
      </c>
      <c r="AC588" s="34" t="str">
        <f t="shared" ref="AC588:AP588" si="588">LET(
  skater, IFERROR(INDEX(AllProj, MATCH($E588, AllProjNames, 0), MATCH(AC$2, AllProjCats, 0) + 1), ""),
  goalie, IFERROR(INDEX(AllGProj, MATCH($E588, AllGProjNames, 0), MATCH(AC$2, AllGProjCats, 0) + 1), ""),
  val, IF(skater &lt;&gt; "", skater, goalie),
  IF(OR($E588="", AC$2="", val=""), "", val * AC$1)
)</f>
        <v/>
      </c>
      <c r="AD588" s="34" t="str">
        <f t="shared" si="588"/>
        <v/>
      </c>
      <c r="AE588" s="34" t="str">
        <f t="shared" si="588"/>
        <v/>
      </c>
      <c r="AF588" s="34" t="str">
        <f t="shared" si="588"/>
        <v/>
      </c>
      <c r="AG588" s="34" t="str">
        <f t="shared" si="588"/>
        <v/>
      </c>
      <c r="AH588" s="34" t="str">
        <f t="shared" si="588"/>
        <v/>
      </c>
      <c r="AI588" s="34" t="str">
        <f t="shared" si="588"/>
        <v/>
      </c>
      <c r="AJ588" s="34" t="str">
        <f t="shared" si="588"/>
        <v/>
      </c>
      <c r="AK588" s="34" t="str">
        <f t="shared" si="588"/>
        <v/>
      </c>
      <c r="AL588" s="34" t="str">
        <f t="shared" si="588"/>
        <v/>
      </c>
      <c r="AM588" s="34" t="str">
        <f t="shared" si="588"/>
        <v/>
      </c>
      <c r="AN588" s="34" t="str">
        <f t="shared" si="588"/>
        <v/>
      </c>
      <c r="AO588" s="34" t="str">
        <f t="shared" si="588"/>
        <v/>
      </c>
      <c r="AP588" s="34" t="str">
        <f t="shared" si="588"/>
        <v/>
      </c>
      <c r="AQ588" s="76" t="s">
        <v>628</v>
      </c>
      <c r="AR588" s="77"/>
      <c r="AS588" s="77"/>
      <c r="AT588" s="77"/>
      <c r="AU588" s="77"/>
      <c r="AV588" s="77"/>
      <c r="AW588" s="77"/>
      <c r="AX588" s="77"/>
      <c r="AY588" s="77"/>
      <c r="AZ588" s="77"/>
      <c r="BA588" s="77"/>
      <c r="BB588" s="77"/>
      <c r="BC588" s="77"/>
      <c r="BD588" s="77"/>
      <c r="BE588" s="77"/>
      <c r="BF588" s="77"/>
      <c r="BG588" s="77"/>
      <c r="BH588" s="77"/>
      <c r="BI588" s="77"/>
      <c r="BJ588" s="77"/>
      <c r="BK588" s="77"/>
      <c r="BL588" s="77"/>
      <c r="BM588" s="78"/>
    </row>
    <row r="589">
      <c r="A589" s="41">
        <v>2.7142857142857144</v>
      </c>
      <c r="B589" s="41" t="b">
        <v>0</v>
      </c>
      <c r="C589" s="41" t="b">
        <f t="shared" si="3"/>
        <v>0</v>
      </c>
      <c r="D589" s="42" t="s">
        <v>1565</v>
      </c>
      <c r="E589" s="43" t="s">
        <v>1326</v>
      </c>
      <c r="F589" s="44" t="s">
        <v>1779</v>
      </c>
      <c r="G589" s="29" t="s">
        <v>284</v>
      </c>
      <c r="H589" s="32">
        <v>-10.935571623861385</v>
      </c>
      <c r="I589" s="32">
        <v>-5.8975056036783</v>
      </c>
      <c r="J589" s="45" t="s">
        <v>2257</v>
      </c>
      <c r="K589" s="29">
        <v>27.0</v>
      </c>
      <c r="L589" s="41">
        <v>71.535</v>
      </c>
      <c r="M589" s="46">
        <v>27.0</v>
      </c>
      <c r="N589" s="46">
        <v>6.0</v>
      </c>
      <c r="O589" s="47">
        <v>-0.2649362957030521</v>
      </c>
      <c r="P589" s="47">
        <v>-1.294060212899073</v>
      </c>
      <c r="Q589" s="47">
        <v>-2.799469067105369</v>
      </c>
      <c r="R589" s="47">
        <v>-1.2230814820473743</v>
      </c>
      <c r="S589" s="47">
        <v>-1.0342614005240065</v>
      </c>
      <c r="T589" s="47">
        <v>-0.7198463486009573</v>
      </c>
      <c r="U589" s="47">
        <v>-0.13961970387098763</v>
      </c>
      <c r="V589" s="47">
        <v>0.4934310259402234</v>
      </c>
      <c r="W589" s="47">
        <v>-2.0147728875880446</v>
      </c>
      <c r="X589" s="47">
        <v>-1.9389552514627448</v>
      </c>
      <c r="Y589" s="50" t="s">
        <v>69</v>
      </c>
      <c r="Z589" s="50" t="s">
        <v>69</v>
      </c>
      <c r="AA589" s="50" t="s">
        <v>69</v>
      </c>
      <c r="AB589" s="50" t="s">
        <v>69</v>
      </c>
      <c r="AC589" s="34" t="str">
        <f t="shared" ref="AC589:AP589" si="589">LET(
  skater, IFERROR(INDEX(AllProj, MATCH($E589, AllProjNames, 0), MATCH(AC$2, AllProjCats, 0) + 1), ""),
  goalie, IFERROR(INDEX(AllGProj, MATCH($E589, AllGProjNames, 0), MATCH(AC$2, AllGProjCats, 0) + 1), ""),
  val, IF(skater &lt;&gt; "", skater, goalie),
  IF(OR($E589="", AC$2="", val=""), "", val * AC$1)
)</f>
        <v/>
      </c>
      <c r="AD589" s="34" t="str">
        <f t="shared" si="589"/>
        <v/>
      </c>
      <c r="AE589" s="34" t="str">
        <f t="shared" si="589"/>
        <v/>
      </c>
      <c r="AF589" s="34" t="str">
        <f t="shared" si="589"/>
        <v/>
      </c>
      <c r="AG589" s="34" t="str">
        <f t="shared" si="589"/>
        <v/>
      </c>
      <c r="AH589" s="34" t="str">
        <f t="shared" si="589"/>
        <v/>
      </c>
      <c r="AI589" s="34" t="str">
        <f t="shared" si="589"/>
        <v/>
      </c>
      <c r="AJ589" s="34" t="str">
        <f t="shared" si="589"/>
        <v/>
      </c>
      <c r="AK589" s="34" t="str">
        <f t="shared" si="589"/>
        <v/>
      </c>
      <c r="AL589" s="34" t="str">
        <f t="shared" si="589"/>
        <v/>
      </c>
      <c r="AM589" s="34" t="str">
        <f t="shared" si="589"/>
        <v/>
      </c>
      <c r="AN589" s="34" t="str">
        <f t="shared" si="589"/>
        <v/>
      </c>
      <c r="AO589" s="34" t="str">
        <f t="shared" si="589"/>
        <v/>
      </c>
      <c r="AP589" s="34" t="str">
        <f t="shared" si="589"/>
        <v/>
      </c>
      <c r="AQ589" s="76" t="s">
        <v>629</v>
      </c>
      <c r="AR589" s="77"/>
      <c r="AS589" s="77"/>
      <c r="AT589" s="77"/>
      <c r="AU589" s="77"/>
      <c r="AV589" s="77"/>
      <c r="AW589" s="77"/>
      <c r="AX589" s="77"/>
      <c r="AY589" s="77"/>
      <c r="AZ589" s="77"/>
      <c r="BA589" s="77"/>
      <c r="BB589" s="77"/>
      <c r="BC589" s="77"/>
      <c r="BD589" s="77"/>
      <c r="BE589" s="77"/>
      <c r="BF589" s="77"/>
      <c r="BG589" s="77"/>
      <c r="BH589" s="77"/>
      <c r="BI589" s="77"/>
      <c r="BJ589" s="77"/>
      <c r="BK589" s="77"/>
      <c r="BL589" s="77"/>
      <c r="BM589" s="78"/>
    </row>
    <row r="590">
      <c r="A590" s="79">
        <v>2.5714285714285716</v>
      </c>
      <c r="B590" s="79" t="b">
        <v>0</v>
      </c>
      <c r="C590" s="79" t="b">
        <f t="shared" si="3"/>
        <v>0</v>
      </c>
      <c r="D590" s="80" t="s">
        <v>1565</v>
      </c>
      <c r="E590" s="81" t="s">
        <v>1002</v>
      </c>
      <c r="F590" s="82" t="s">
        <v>1439</v>
      </c>
      <c r="G590" s="35" t="s">
        <v>832</v>
      </c>
      <c r="H590" s="37">
        <v>-10.967193389345711</v>
      </c>
      <c r="I590" s="37">
        <v>-5.525055780617854</v>
      </c>
      <c r="J590" s="83" t="s">
        <v>2258</v>
      </c>
      <c r="K590" s="35">
        <v>25.4</v>
      </c>
      <c r="L590" s="79">
        <v>61.75</v>
      </c>
      <c r="M590" s="84">
        <v>25.0</v>
      </c>
      <c r="N590" s="84">
        <v>6.0</v>
      </c>
      <c r="O590" s="85">
        <v>-1.4136395589184096</v>
      </c>
      <c r="P590" s="85">
        <v>-1.8894702365725922</v>
      </c>
      <c r="Q590" s="85">
        <v>-0.6427790600080937</v>
      </c>
      <c r="R590" s="85">
        <v>-2.118103077893504</v>
      </c>
      <c r="S590" s="85">
        <v>-1.7192002479584871</v>
      </c>
      <c r="T590" s="85">
        <v>0.3955314727296667</v>
      </c>
      <c r="U590" s="85">
        <v>-1.8133038523174414</v>
      </c>
      <c r="V590" s="85">
        <v>0.7623139591751688</v>
      </c>
      <c r="W590" s="85">
        <v>-0.6778447804480388</v>
      </c>
      <c r="X590" s="85">
        <v>-1.8506980071339787</v>
      </c>
      <c r="Y590" s="50" t="s">
        <v>69</v>
      </c>
      <c r="Z590" s="50" t="s">
        <v>69</v>
      </c>
      <c r="AA590" s="50" t="s">
        <v>69</v>
      </c>
      <c r="AB590" s="50" t="s">
        <v>69</v>
      </c>
      <c r="AC590" s="34" t="str">
        <f t="shared" ref="AC590:AP590" si="590">LET(
  skater, IFERROR(INDEX(AllProj, MATCH($E590, AllProjNames, 0), MATCH(AC$2, AllProjCats, 0) + 1), ""),
  goalie, IFERROR(INDEX(AllGProj, MATCH($E590, AllGProjNames, 0), MATCH(AC$2, AllGProjCats, 0) + 1), ""),
  val, IF(skater &lt;&gt; "", skater, goalie),
  IF(OR($E590="", AC$2="", val=""), "", val * AC$1)
)</f>
        <v/>
      </c>
      <c r="AD590" s="34" t="str">
        <f t="shared" si="590"/>
        <v/>
      </c>
      <c r="AE590" s="34" t="str">
        <f t="shared" si="590"/>
        <v/>
      </c>
      <c r="AF590" s="34" t="str">
        <f t="shared" si="590"/>
        <v/>
      </c>
      <c r="AG590" s="34" t="str">
        <f t="shared" si="590"/>
        <v/>
      </c>
      <c r="AH590" s="34" t="str">
        <f t="shared" si="590"/>
        <v/>
      </c>
      <c r="AI590" s="34" t="str">
        <f t="shared" si="590"/>
        <v/>
      </c>
      <c r="AJ590" s="34" t="str">
        <f t="shared" si="590"/>
        <v/>
      </c>
      <c r="AK590" s="34" t="str">
        <f t="shared" si="590"/>
        <v/>
      </c>
      <c r="AL590" s="34" t="str">
        <f t="shared" si="590"/>
        <v/>
      </c>
      <c r="AM590" s="34" t="str">
        <f t="shared" si="590"/>
        <v/>
      </c>
      <c r="AN590" s="34" t="str">
        <f t="shared" si="590"/>
        <v/>
      </c>
      <c r="AO590" s="34" t="str">
        <f t="shared" si="590"/>
        <v/>
      </c>
      <c r="AP590" s="34" t="str">
        <f t="shared" si="590"/>
        <v/>
      </c>
      <c r="AQ590" s="76" t="s">
        <v>630</v>
      </c>
      <c r="AR590" s="77"/>
      <c r="AS590" s="77"/>
      <c r="AT590" s="77"/>
      <c r="AU590" s="77"/>
      <c r="AV590" s="77"/>
      <c r="AW590" s="77"/>
      <c r="AX590" s="77"/>
      <c r="AY590" s="77"/>
      <c r="AZ590" s="77"/>
      <c r="BA590" s="77"/>
      <c r="BB590" s="77"/>
      <c r="BC590" s="77"/>
      <c r="BD590" s="77"/>
      <c r="BE590" s="77"/>
      <c r="BF590" s="77"/>
      <c r="BG590" s="77"/>
      <c r="BH590" s="77"/>
      <c r="BI590" s="77"/>
      <c r="BJ590" s="77"/>
      <c r="BK590" s="77"/>
      <c r="BL590" s="77"/>
      <c r="BM590" s="78"/>
    </row>
    <row r="591">
      <c r="A591" s="41">
        <v>2.642857142857143</v>
      </c>
      <c r="B591" s="41" t="b">
        <v>0</v>
      </c>
      <c r="C591" s="41" t="b">
        <f t="shared" si="3"/>
        <v>0</v>
      </c>
      <c r="D591" s="42" t="s">
        <v>1565</v>
      </c>
      <c r="E591" s="43" t="s">
        <v>1103</v>
      </c>
      <c r="F591" s="44" t="s">
        <v>1548</v>
      </c>
      <c r="G591" s="29" t="s">
        <v>837</v>
      </c>
      <c r="H591" s="32">
        <v>-10.96878587850329</v>
      </c>
      <c r="I591" s="32">
        <v>-5.438927106574389</v>
      </c>
      <c r="J591" s="45" t="s">
        <v>2259</v>
      </c>
      <c r="K591" s="29">
        <v>23.5</v>
      </c>
      <c r="L591" s="41">
        <v>73.0</v>
      </c>
      <c r="M591" s="46">
        <v>34.0</v>
      </c>
      <c r="N591" s="46">
        <v>7.0</v>
      </c>
      <c r="O591" s="47">
        <v>-2.2797315773603057</v>
      </c>
      <c r="P591" s="47">
        <v>-2.0672387482883523</v>
      </c>
      <c r="Q591" s="47">
        <v>-0.5255041801807165</v>
      </c>
      <c r="R591" s="47">
        <v>-2.0860802495910784</v>
      </c>
      <c r="S591" s="47">
        <v>-1.72461069241107</v>
      </c>
      <c r="T591" s="94" t="s">
        <v>69</v>
      </c>
      <c r="U591" s="47">
        <v>-2.1056616114631015</v>
      </c>
      <c r="V591" s="47">
        <v>0.0</v>
      </c>
      <c r="W591" s="47">
        <v>-0.9912273416770755</v>
      </c>
      <c r="X591" s="47">
        <v>0.8112685224684117</v>
      </c>
      <c r="Y591" s="50" t="s">
        <v>69</v>
      </c>
      <c r="Z591" s="50" t="s">
        <v>69</v>
      </c>
      <c r="AA591" s="50" t="s">
        <v>69</v>
      </c>
      <c r="AB591" s="50" t="s">
        <v>69</v>
      </c>
      <c r="AC591" s="34" t="str">
        <f t="shared" ref="AC591:AP591" si="591">LET(
  skater, IFERROR(INDEX(AllProj, MATCH($E591, AllProjNames, 0), MATCH(AC$2, AllProjCats, 0) + 1), ""),
  goalie, IFERROR(INDEX(AllGProj, MATCH($E591, AllGProjNames, 0), MATCH(AC$2, AllGProjCats, 0) + 1), ""),
  val, IF(skater &lt;&gt; "", skater, goalie),
  IF(OR($E591="", AC$2="", val=""), "", val * AC$1)
)</f>
        <v/>
      </c>
      <c r="AD591" s="34" t="str">
        <f t="shared" si="591"/>
        <v/>
      </c>
      <c r="AE591" s="34" t="str">
        <f t="shared" si="591"/>
        <v/>
      </c>
      <c r="AF591" s="34" t="str">
        <f t="shared" si="591"/>
        <v/>
      </c>
      <c r="AG591" s="34" t="str">
        <f t="shared" si="591"/>
        <v/>
      </c>
      <c r="AH591" s="34" t="str">
        <f t="shared" si="591"/>
        <v/>
      </c>
      <c r="AI591" s="34" t="str">
        <f t="shared" si="591"/>
        <v/>
      </c>
      <c r="AJ591" s="34" t="str">
        <f t="shared" si="591"/>
        <v/>
      </c>
      <c r="AK591" s="34" t="str">
        <f t="shared" si="591"/>
        <v/>
      </c>
      <c r="AL591" s="34" t="str">
        <f t="shared" si="591"/>
        <v/>
      </c>
      <c r="AM591" s="34" t="str">
        <f t="shared" si="591"/>
        <v/>
      </c>
      <c r="AN591" s="34" t="str">
        <f t="shared" si="591"/>
        <v/>
      </c>
      <c r="AO591" s="34" t="str">
        <f t="shared" si="591"/>
        <v/>
      </c>
      <c r="AP591" s="34" t="str">
        <f t="shared" si="591"/>
        <v/>
      </c>
      <c r="AQ591" s="76" t="s">
        <v>631</v>
      </c>
      <c r="AR591" s="77"/>
      <c r="AS591" s="77"/>
      <c r="AT591" s="77"/>
      <c r="AU591" s="77"/>
      <c r="AV591" s="77"/>
      <c r="AW591" s="77"/>
      <c r="AX591" s="77"/>
      <c r="AY591" s="77"/>
      <c r="AZ591" s="77"/>
      <c r="BA591" s="77"/>
      <c r="BB591" s="77"/>
      <c r="BC591" s="77"/>
      <c r="BD591" s="77"/>
      <c r="BE591" s="77"/>
      <c r="BF591" s="77"/>
      <c r="BG591" s="77"/>
      <c r="BH591" s="77"/>
      <c r="BI591" s="77"/>
      <c r="BJ591" s="77"/>
      <c r="BK591" s="77"/>
      <c r="BL591" s="77"/>
      <c r="BM591" s="78"/>
    </row>
    <row r="592">
      <c r="A592" s="79">
        <v>2.642857142857143</v>
      </c>
      <c r="B592" s="79" t="b">
        <v>0</v>
      </c>
      <c r="C592" s="79" t="b">
        <f t="shared" si="3"/>
        <v>0</v>
      </c>
      <c r="D592" s="80" t="s">
        <v>1565</v>
      </c>
      <c r="E592" s="81" t="s">
        <v>1140</v>
      </c>
      <c r="F592" s="82" t="s">
        <v>1473</v>
      </c>
      <c r="G592" s="35" t="s">
        <v>837</v>
      </c>
      <c r="H592" s="37">
        <v>-10.970298752158712</v>
      </c>
      <c r="I592" s="37">
        <v>-5.440439980229811</v>
      </c>
      <c r="J592" s="83" t="s">
        <v>2260</v>
      </c>
      <c r="K592" s="35">
        <v>33.9</v>
      </c>
      <c r="L592" s="79">
        <v>73.57142857142857</v>
      </c>
      <c r="M592" s="84">
        <v>25.0</v>
      </c>
      <c r="N592" s="84">
        <v>6.0</v>
      </c>
      <c r="O592" s="85">
        <v>-2.4270476627053457</v>
      </c>
      <c r="P592" s="85">
        <v>-1.903681745094137</v>
      </c>
      <c r="Q592" s="85">
        <v>-1.7754695925194934</v>
      </c>
      <c r="R592" s="85">
        <v>0.5117785095861634</v>
      </c>
      <c r="S592" s="85">
        <v>-1.72461069241107</v>
      </c>
      <c r="T592" s="85">
        <v>-0.16952108464970286</v>
      </c>
      <c r="U592" s="85">
        <v>-2.4543095665226313</v>
      </c>
      <c r="V592" s="85">
        <v>0.0</v>
      </c>
      <c r="W592" s="85">
        <v>-1.1507702494178587</v>
      </c>
      <c r="X592" s="85">
        <v>0.12333333157536332</v>
      </c>
      <c r="Y592" s="50" t="s">
        <v>69</v>
      </c>
      <c r="Z592" s="50" t="s">
        <v>69</v>
      </c>
      <c r="AA592" s="50" t="s">
        <v>69</v>
      </c>
      <c r="AB592" s="50" t="s">
        <v>69</v>
      </c>
      <c r="AC592" s="34" t="str">
        <f t="shared" ref="AC592:AP592" si="592">LET(
  skater, IFERROR(INDEX(AllProj, MATCH($E592, AllProjNames, 0), MATCH(AC$2, AllProjCats, 0) + 1), ""),
  goalie, IFERROR(INDEX(AllGProj, MATCH($E592, AllGProjNames, 0), MATCH(AC$2, AllGProjCats, 0) + 1), ""),
  val, IF(skater &lt;&gt; "", skater, goalie),
  IF(OR($E592="", AC$2="", val=""), "", val * AC$1)
)</f>
        <v/>
      </c>
      <c r="AD592" s="34" t="str">
        <f t="shared" si="592"/>
        <v/>
      </c>
      <c r="AE592" s="34" t="str">
        <f t="shared" si="592"/>
        <v/>
      </c>
      <c r="AF592" s="34" t="str">
        <f t="shared" si="592"/>
        <v/>
      </c>
      <c r="AG592" s="34" t="str">
        <f t="shared" si="592"/>
        <v/>
      </c>
      <c r="AH592" s="34" t="str">
        <f t="shared" si="592"/>
        <v/>
      </c>
      <c r="AI592" s="34" t="str">
        <f t="shared" si="592"/>
        <v/>
      </c>
      <c r="AJ592" s="34" t="str">
        <f t="shared" si="592"/>
        <v/>
      </c>
      <c r="AK592" s="34" t="str">
        <f t="shared" si="592"/>
        <v/>
      </c>
      <c r="AL592" s="34" t="str">
        <f t="shared" si="592"/>
        <v/>
      </c>
      <c r="AM592" s="34" t="str">
        <f t="shared" si="592"/>
        <v/>
      </c>
      <c r="AN592" s="34" t="str">
        <f t="shared" si="592"/>
        <v/>
      </c>
      <c r="AO592" s="34" t="str">
        <f t="shared" si="592"/>
        <v/>
      </c>
      <c r="AP592" s="34" t="str">
        <f t="shared" si="592"/>
        <v/>
      </c>
      <c r="AQ592" s="76" t="s">
        <v>632</v>
      </c>
      <c r="AR592" s="77"/>
      <c r="AS592" s="77"/>
      <c r="AT592" s="77"/>
      <c r="AU592" s="77"/>
      <c r="AV592" s="77"/>
      <c r="AW592" s="77"/>
      <c r="AX592" s="77"/>
      <c r="AY592" s="77"/>
      <c r="AZ592" s="77"/>
      <c r="BA592" s="77"/>
      <c r="BB592" s="77"/>
      <c r="BC592" s="77"/>
      <c r="BD592" s="77"/>
      <c r="BE592" s="77"/>
      <c r="BF592" s="77"/>
      <c r="BG592" s="77"/>
      <c r="BH592" s="77"/>
      <c r="BI592" s="77"/>
      <c r="BJ592" s="77"/>
      <c r="BK592" s="77"/>
      <c r="BL592" s="77"/>
      <c r="BM592" s="78"/>
    </row>
    <row r="593">
      <c r="A593" s="41">
        <v>2.642857142857143</v>
      </c>
      <c r="B593" s="41" t="b">
        <v>0</v>
      </c>
      <c r="C593" s="41" t="b">
        <f t="shared" si="3"/>
        <v>0</v>
      </c>
      <c r="D593" s="42" t="s">
        <v>1565</v>
      </c>
      <c r="E593" s="43" t="s">
        <v>1169</v>
      </c>
      <c r="F593" s="44" t="s">
        <v>1548</v>
      </c>
      <c r="G593" s="29" t="s">
        <v>832</v>
      </c>
      <c r="H593" s="32">
        <v>-10.973207355530281</v>
      </c>
      <c r="I593" s="32">
        <v>-5.531069746802424</v>
      </c>
      <c r="J593" s="45" t="s">
        <v>2261</v>
      </c>
      <c r="K593" s="29">
        <v>24.7</v>
      </c>
      <c r="L593" s="41">
        <v>72.6</v>
      </c>
      <c r="M593" s="46">
        <v>34.0</v>
      </c>
      <c r="N593" s="46">
        <v>7.0</v>
      </c>
      <c r="O593" s="47">
        <v>-0.6951853910880438</v>
      </c>
      <c r="P593" s="47">
        <v>-1.571927823721473</v>
      </c>
      <c r="Q593" s="47">
        <v>-1.8534189242066725</v>
      </c>
      <c r="R593" s="47">
        <v>-2.465323220588919</v>
      </c>
      <c r="S593" s="47">
        <v>-0.9078429010030005</v>
      </c>
      <c r="T593" s="47">
        <v>-0.7871777123417198</v>
      </c>
      <c r="U593" s="47">
        <v>-1.6019129638605947</v>
      </c>
      <c r="V593" s="47">
        <v>0.0</v>
      </c>
      <c r="W593" s="47">
        <v>0.38786740761985866</v>
      </c>
      <c r="X593" s="47">
        <v>-1.4782858263397145</v>
      </c>
      <c r="Y593" s="50" t="s">
        <v>69</v>
      </c>
      <c r="Z593" s="50" t="s">
        <v>69</v>
      </c>
      <c r="AA593" s="50" t="s">
        <v>69</v>
      </c>
      <c r="AB593" s="50" t="s">
        <v>69</v>
      </c>
      <c r="AC593" s="34" t="str">
        <f t="shared" ref="AC593:AP593" si="593">LET(
  skater, IFERROR(INDEX(AllProj, MATCH($E593, AllProjNames, 0), MATCH(AC$2, AllProjCats, 0) + 1), ""),
  goalie, IFERROR(INDEX(AllGProj, MATCH($E593, AllGProjNames, 0), MATCH(AC$2, AllGProjCats, 0) + 1), ""),
  val, IF(skater &lt;&gt; "", skater, goalie),
  IF(OR($E593="", AC$2="", val=""), "", val * AC$1)
)</f>
        <v/>
      </c>
      <c r="AD593" s="34" t="str">
        <f t="shared" si="593"/>
        <v/>
      </c>
      <c r="AE593" s="34" t="str">
        <f t="shared" si="593"/>
        <v/>
      </c>
      <c r="AF593" s="34" t="str">
        <f t="shared" si="593"/>
        <v/>
      </c>
      <c r="AG593" s="34" t="str">
        <f t="shared" si="593"/>
        <v/>
      </c>
      <c r="AH593" s="34" t="str">
        <f t="shared" si="593"/>
        <v/>
      </c>
      <c r="AI593" s="34" t="str">
        <f t="shared" si="593"/>
        <v/>
      </c>
      <c r="AJ593" s="34" t="str">
        <f t="shared" si="593"/>
        <v/>
      </c>
      <c r="AK593" s="34" t="str">
        <f t="shared" si="593"/>
        <v/>
      </c>
      <c r="AL593" s="34" t="str">
        <f t="shared" si="593"/>
        <v/>
      </c>
      <c r="AM593" s="34" t="str">
        <f t="shared" si="593"/>
        <v/>
      </c>
      <c r="AN593" s="34" t="str">
        <f t="shared" si="593"/>
        <v/>
      </c>
      <c r="AO593" s="34" t="str">
        <f t="shared" si="593"/>
        <v/>
      </c>
      <c r="AP593" s="34" t="str">
        <f t="shared" si="593"/>
        <v/>
      </c>
      <c r="AQ593" s="76" t="s">
        <v>633</v>
      </c>
      <c r="AR593" s="77"/>
      <c r="AS593" s="77"/>
      <c r="AT593" s="77"/>
      <c r="AU593" s="77"/>
      <c r="AV593" s="77"/>
      <c r="AW593" s="77"/>
      <c r="AX593" s="77"/>
      <c r="AY593" s="77"/>
      <c r="AZ593" s="77"/>
      <c r="BA593" s="77"/>
      <c r="BB593" s="77"/>
      <c r="BC593" s="77"/>
      <c r="BD593" s="77"/>
      <c r="BE593" s="77"/>
      <c r="BF593" s="77"/>
      <c r="BG593" s="77"/>
      <c r="BH593" s="77"/>
      <c r="BI593" s="77"/>
      <c r="BJ593" s="77"/>
      <c r="BK593" s="77"/>
      <c r="BL593" s="77"/>
      <c r="BM593" s="78"/>
    </row>
    <row r="594">
      <c r="A594" s="79">
        <v>2.642857142857143</v>
      </c>
      <c r="B594" s="79" t="b">
        <v>0</v>
      </c>
      <c r="C594" s="79" t="b">
        <f t="shared" si="3"/>
        <v>0</v>
      </c>
      <c r="D594" s="80" t="s">
        <v>1565</v>
      </c>
      <c r="E594" s="81" t="s">
        <v>1291</v>
      </c>
      <c r="F594" s="82" t="s">
        <v>1505</v>
      </c>
      <c r="G594" s="35" t="s">
        <v>836</v>
      </c>
      <c r="H594" s="37">
        <v>-10.973347857657139</v>
      </c>
      <c r="I594" s="37">
        <v>-5.531210248929281</v>
      </c>
      <c r="J594" s="83" t="s">
        <v>2262</v>
      </c>
      <c r="K594" s="35">
        <v>32.1</v>
      </c>
      <c r="L594" s="79">
        <v>61.0</v>
      </c>
      <c r="M594" s="84">
        <v>30.0</v>
      </c>
      <c r="N594" s="84">
        <v>5.0</v>
      </c>
      <c r="O594" s="85">
        <v>-1.90245867586691</v>
      </c>
      <c r="P594" s="85">
        <v>-2.18903651662447</v>
      </c>
      <c r="Q594" s="85">
        <v>-1.8157260551653716</v>
      </c>
      <c r="R594" s="85">
        <v>0.7426992881796962</v>
      </c>
      <c r="S594" s="85">
        <v>-1.72461069241107</v>
      </c>
      <c r="T594" s="85">
        <v>-0.7871777123417198</v>
      </c>
      <c r="U594" s="85">
        <v>-2.48519826376636</v>
      </c>
      <c r="V594" s="85">
        <v>0.0</v>
      </c>
      <c r="W594" s="85">
        <v>0.9657347468497772</v>
      </c>
      <c r="X594" s="85">
        <v>-1.7775739765107113</v>
      </c>
      <c r="Y594" s="50" t="s">
        <v>69</v>
      </c>
      <c r="Z594" s="50" t="s">
        <v>69</v>
      </c>
      <c r="AA594" s="50" t="s">
        <v>69</v>
      </c>
      <c r="AB594" s="50" t="s">
        <v>69</v>
      </c>
      <c r="AC594" s="34" t="str">
        <f t="shared" ref="AC594:AP594" si="594">LET(
  skater, IFERROR(INDEX(AllProj, MATCH($E594, AllProjNames, 0), MATCH(AC$2, AllProjCats, 0) + 1), ""),
  goalie, IFERROR(INDEX(AllGProj, MATCH($E594, AllGProjNames, 0), MATCH(AC$2, AllGProjCats, 0) + 1), ""),
  val, IF(skater &lt;&gt; "", skater, goalie),
  IF(OR($E594="", AC$2="", val=""), "", val * AC$1)
)</f>
        <v/>
      </c>
      <c r="AD594" s="34" t="str">
        <f t="shared" si="594"/>
        <v/>
      </c>
      <c r="AE594" s="34" t="str">
        <f t="shared" si="594"/>
        <v/>
      </c>
      <c r="AF594" s="34" t="str">
        <f t="shared" si="594"/>
        <v/>
      </c>
      <c r="AG594" s="34" t="str">
        <f t="shared" si="594"/>
        <v/>
      </c>
      <c r="AH594" s="34" t="str">
        <f t="shared" si="594"/>
        <v/>
      </c>
      <c r="AI594" s="34" t="str">
        <f t="shared" si="594"/>
        <v/>
      </c>
      <c r="AJ594" s="34" t="str">
        <f t="shared" si="594"/>
        <v/>
      </c>
      <c r="AK594" s="34" t="str">
        <f t="shared" si="594"/>
        <v/>
      </c>
      <c r="AL594" s="34" t="str">
        <f t="shared" si="594"/>
        <v/>
      </c>
      <c r="AM594" s="34" t="str">
        <f t="shared" si="594"/>
        <v/>
      </c>
      <c r="AN594" s="34" t="str">
        <f t="shared" si="594"/>
        <v/>
      </c>
      <c r="AO594" s="34" t="str">
        <f t="shared" si="594"/>
        <v/>
      </c>
      <c r="AP594" s="34" t="str">
        <f t="shared" si="594"/>
        <v/>
      </c>
      <c r="AQ594" s="76" t="s">
        <v>634</v>
      </c>
      <c r="AR594" s="77"/>
      <c r="AS594" s="77"/>
      <c r="AT594" s="77"/>
      <c r="AU594" s="77"/>
      <c r="AV594" s="77"/>
      <c r="AW594" s="77"/>
      <c r="AX594" s="77"/>
      <c r="AY594" s="77"/>
      <c r="AZ594" s="77"/>
      <c r="BA594" s="77"/>
      <c r="BB594" s="77"/>
      <c r="BC594" s="77"/>
      <c r="BD594" s="77"/>
      <c r="BE594" s="77"/>
      <c r="BF594" s="77"/>
      <c r="BG594" s="77"/>
      <c r="BH594" s="77"/>
      <c r="BI594" s="77"/>
      <c r="BJ594" s="77"/>
      <c r="BK594" s="77"/>
      <c r="BL594" s="77"/>
      <c r="BM594" s="78"/>
    </row>
    <row r="595">
      <c r="A595" s="41">
        <v>2.5714285714285716</v>
      </c>
      <c r="B595" s="41" t="b">
        <v>0</v>
      </c>
      <c r="C595" s="41" t="b">
        <f t="shared" si="3"/>
        <v>0</v>
      </c>
      <c r="D595" s="42" t="s">
        <v>1565</v>
      </c>
      <c r="E595" s="43" t="s">
        <v>1081</v>
      </c>
      <c r="F595" s="44" t="s">
        <v>1498</v>
      </c>
      <c r="G595" s="29" t="s">
        <v>836</v>
      </c>
      <c r="H595" s="32">
        <v>-10.989542592595017</v>
      </c>
      <c r="I595" s="32">
        <v>-5.5474049838671595</v>
      </c>
      <c r="J595" s="45" t="s">
        <v>2263</v>
      </c>
      <c r="K595" s="29">
        <v>30.6</v>
      </c>
      <c r="L595" s="41">
        <v>76.91666666666667</v>
      </c>
      <c r="M595" s="46">
        <v>28.0</v>
      </c>
      <c r="N595" s="46">
        <v>7.0</v>
      </c>
      <c r="O595" s="47">
        <v>-0.5212206642883112</v>
      </c>
      <c r="P595" s="47">
        <v>-0.9318128856883205</v>
      </c>
      <c r="Q595" s="47">
        <v>-1.6414120359816142</v>
      </c>
      <c r="R595" s="47">
        <v>-1.7016563636888962</v>
      </c>
      <c r="S595" s="47">
        <v>-0.07940699828910124</v>
      </c>
      <c r="T595" s="47">
        <v>-0.7871777123417198</v>
      </c>
      <c r="U595" s="47">
        <v>-1.1687044617366737</v>
      </c>
      <c r="V595" s="47">
        <v>0.0</v>
      </c>
      <c r="W595" s="47">
        <v>-2.16608765311379</v>
      </c>
      <c r="X595" s="47">
        <v>-1.9920638174665926</v>
      </c>
      <c r="Y595" s="50" t="s">
        <v>69</v>
      </c>
      <c r="Z595" s="50" t="s">
        <v>69</v>
      </c>
      <c r="AA595" s="50" t="s">
        <v>69</v>
      </c>
      <c r="AB595" s="50" t="s">
        <v>69</v>
      </c>
      <c r="AC595" s="34" t="str">
        <f t="shared" ref="AC595:AP595" si="595">LET(
  skater, IFERROR(INDEX(AllProj, MATCH($E595, AllProjNames, 0), MATCH(AC$2, AllProjCats, 0) + 1), ""),
  goalie, IFERROR(INDEX(AllGProj, MATCH($E595, AllGProjNames, 0), MATCH(AC$2, AllGProjCats, 0) + 1), ""),
  val, IF(skater &lt;&gt; "", skater, goalie),
  IF(OR($E595="", AC$2="", val=""), "", val * AC$1)
)</f>
        <v/>
      </c>
      <c r="AD595" s="34" t="str">
        <f t="shared" si="595"/>
        <v/>
      </c>
      <c r="AE595" s="34" t="str">
        <f t="shared" si="595"/>
        <v/>
      </c>
      <c r="AF595" s="34" t="str">
        <f t="shared" si="595"/>
        <v/>
      </c>
      <c r="AG595" s="34" t="str">
        <f t="shared" si="595"/>
        <v/>
      </c>
      <c r="AH595" s="34" t="str">
        <f t="shared" si="595"/>
        <v/>
      </c>
      <c r="AI595" s="34" t="str">
        <f t="shared" si="595"/>
        <v/>
      </c>
      <c r="AJ595" s="34" t="str">
        <f t="shared" si="595"/>
        <v/>
      </c>
      <c r="AK595" s="34" t="str">
        <f t="shared" si="595"/>
        <v/>
      </c>
      <c r="AL595" s="34" t="str">
        <f t="shared" si="595"/>
        <v/>
      </c>
      <c r="AM595" s="34" t="str">
        <f t="shared" si="595"/>
        <v/>
      </c>
      <c r="AN595" s="34" t="str">
        <f t="shared" si="595"/>
        <v/>
      </c>
      <c r="AO595" s="34" t="str">
        <f t="shared" si="595"/>
        <v/>
      </c>
      <c r="AP595" s="34" t="str">
        <f t="shared" si="595"/>
        <v/>
      </c>
      <c r="AQ595" s="76" t="s">
        <v>635</v>
      </c>
      <c r="AR595" s="77"/>
      <c r="AS595" s="77"/>
      <c r="AT595" s="77"/>
      <c r="AU595" s="77"/>
      <c r="AV595" s="77"/>
      <c r="AW595" s="77"/>
      <c r="AX595" s="77"/>
      <c r="AY595" s="77"/>
      <c r="AZ595" s="77"/>
      <c r="BA595" s="77"/>
      <c r="BB595" s="77"/>
      <c r="BC595" s="77"/>
      <c r="BD595" s="77"/>
      <c r="BE595" s="77"/>
      <c r="BF595" s="77"/>
      <c r="BG595" s="77"/>
      <c r="BH595" s="77"/>
      <c r="BI595" s="77"/>
      <c r="BJ595" s="77"/>
      <c r="BK595" s="77"/>
      <c r="BL595" s="77"/>
      <c r="BM595" s="78"/>
    </row>
    <row r="596">
      <c r="A596" s="79">
        <v>2.5714285714285716</v>
      </c>
      <c r="B596" s="79" t="b">
        <v>0</v>
      </c>
      <c r="C596" s="79" t="b">
        <f t="shared" si="3"/>
        <v>0</v>
      </c>
      <c r="D596" s="80" t="s">
        <v>1565</v>
      </c>
      <c r="E596" s="81" t="s">
        <v>1066</v>
      </c>
      <c r="F596" s="82" t="s">
        <v>1706</v>
      </c>
      <c r="G596" s="35" t="s">
        <v>837</v>
      </c>
      <c r="H596" s="37">
        <v>-11.03270280392878</v>
      </c>
      <c r="I596" s="37">
        <v>-5.502844031999879</v>
      </c>
      <c r="J596" s="83" t="s">
        <v>2264</v>
      </c>
      <c r="K596" s="35">
        <v>20.9</v>
      </c>
      <c r="L596" s="79">
        <v>79.54714285714286</v>
      </c>
      <c r="M596" s="84">
        <v>31.0</v>
      </c>
      <c r="N596" s="84">
        <v>7.0</v>
      </c>
      <c r="O596" s="85">
        <v>-2.0719618141306357</v>
      </c>
      <c r="P596" s="85">
        <v>-0.6832030802859274</v>
      </c>
      <c r="Q596" s="85">
        <v>-5.065662268037584</v>
      </c>
      <c r="R596" s="85">
        <v>-0.07919464810121235</v>
      </c>
      <c r="S596" s="85">
        <v>-0.5608592506466794</v>
      </c>
      <c r="T596" s="85">
        <v>-0.7314233796861049</v>
      </c>
      <c r="U596" s="85">
        <v>-1.399747300735828</v>
      </c>
      <c r="V596" s="85">
        <v>0.0</v>
      </c>
      <c r="W596" s="85">
        <v>-0.5164351133978751</v>
      </c>
      <c r="X596" s="85">
        <v>0.07578405109306845</v>
      </c>
      <c r="Y596" s="50" t="s">
        <v>69</v>
      </c>
      <c r="Z596" s="50" t="s">
        <v>69</v>
      </c>
      <c r="AA596" s="50" t="s">
        <v>69</v>
      </c>
      <c r="AB596" s="50" t="s">
        <v>69</v>
      </c>
      <c r="AC596" s="34" t="str">
        <f t="shared" ref="AC596:AP596" si="596">LET(
  skater, IFERROR(INDEX(AllProj, MATCH($E596, AllProjNames, 0), MATCH(AC$2, AllProjCats, 0) + 1), ""),
  goalie, IFERROR(INDEX(AllGProj, MATCH($E596, AllGProjNames, 0), MATCH(AC$2, AllGProjCats, 0) + 1), ""),
  val, IF(skater &lt;&gt; "", skater, goalie),
  IF(OR($E596="", AC$2="", val=""), "", val * AC$1)
)</f>
        <v/>
      </c>
      <c r="AD596" s="34" t="str">
        <f t="shared" si="596"/>
        <v/>
      </c>
      <c r="AE596" s="34" t="str">
        <f t="shared" si="596"/>
        <v/>
      </c>
      <c r="AF596" s="34" t="str">
        <f t="shared" si="596"/>
        <v/>
      </c>
      <c r="AG596" s="34" t="str">
        <f t="shared" si="596"/>
        <v/>
      </c>
      <c r="AH596" s="34" t="str">
        <f t="shared" si="596"/>
        <v/>
      </c>
      <c r="AI596" s="34" t="str">
        <f t="shared" si="596"/>
        <v/>
      </c>
      <c r="AJ596" s="34" t="str">
        <f t="shared" si="596"/>
        <v/>
      </c>
      <c r="AK596" s="34" t="str">
        <f t="shared" si="596"/>
        <v/>
      </c>
      <c r="AL596" s="34" t="str">
        <f t="shared" si="596"/>
        <v/>
      </c>
      <c r="AM596" s="34" t="str">
        <f t="shared" si="596"/>
        <v/>
      </c>
      <c r="AN596" s="34" t="str">
        <f t="shared" si="596"/>
        <v/>
      </c>
      <c r="AO596" s="34" t="str">
        <f t="shared" si="596"/>
        <v/>
      </c>
      <c r="AP596" s="34" t="str">
        <f t="shared" si="596"/>
        <v/>
      </c>
      <c r="AQ596" s="76" t="s">
        <v>636</v>
      </c>
      <c r="AR596" s="77"/>
      <c r="AS596" s="77"/>
      <c r="AT596" s="77"/>
      <c r="AU596" s="77"/>
      <c r="AV596" s="77"/>
      <c r="AW596" s="77"/>
      <c r="AX596" s="77"/>
      <c r="AY596" s="77"/>
      <c r="AZ596" s="77"/>
      <c r="BA596" s="77"/>
      <c r="BB596" s="77"/>
      <c r="BC596" s="77"/>
      <c r="BD596" s="77"/>
      <c r="BE596" s="77"/>
      <c r="BF596" s="77"/>
      <c r="BG596" s="77"/>
      <c r="BH596" s="77"/>
      <c r="BI596" s="77"/>
      <c r="BJ596" s="77"/>
      <c r="BK596" s="77"/>
      <c r="BL596" s="77"/>
      <c r="BM596" s="78"/>
    </row>
    <row r="597">
      <c r="A597" s="41">
        <v>2.642857142857143</v>
      </c>
      <c r="B597" s="41" t="b">
        <v>0</v>
      </c>
      <c r="C597" s="41" t="b">
        <f t="shared" si="3"/>
        <v>0</v>
      </c>
      <c r="D597" s="42" t="s">
        <v>1565</v>
      </c>
      <c r="E597" s="43" t="s">
        <v>1202</v>
      </c>
      <c r="F597" s="44" t="s">
        <v>1419</v>
      </c>
      <c r="G597" s="29" t="s">
        <v>835</v>
      </c>
      <c r="H597" s="32">
        <v>-11.03410274109673</v>
      </c>
      <c r="I597" s="32">
        <v>-5.646222616183991</v>
      </c>
      <c r="J597" s="45" t="s">
        <v>2265</v>
      </c>
      <c r="K597" s="29">
        <v>31.7</v>
      </c>
      <c r="L597" s="41">
        <v>68.42857142857143</v>
      </c>
      <c r="M597" s="46">
        <v>23.0</v>
      </c>
      <c r="N597" s="46">
        <v>7.0</v>
      </c>
      <c r="O597" s="47">
        <v>-1.6868741607278266</v>
      </c>
      <c r="P597" s="47">
        <v>-1.9222414050310692</v>
      </c>
      <c r="Q597" s="47">
        <v>0.03415739420536698</v>
      </c>
      <c r="R597" s="47">
        <v>-1.5576269293481866</v>
      </c>
      <c r="S597" s="47">
        <v>-1.72461069241107</v>
      </c>
      <c r="T597" s="47">
        <v>-0.7871777123417198</v>
      </c>
      <c r="U597" s="47">
        <v>-2.0054376470020676</v>
      </c>
      <c r="V597" s="47">
        <v>0.0</v>
      </c>
      <c r="W597" s="47">
        <v>0.66948259522836</v>
      </c>
      <c r="X597" s="47">
        <v>-2.053774183668517</v>
      </c>
      <c r="Y597" s="50" t="s">
        <v>69</v>
      </c>
      <c r="Z597" s="50" t="s">
        <v>69</v>
      </c>
      <c r="AA597" s="50" t="s">
        <v>69</v>
      </c>
      <c r="AB597" s="50" t="s">
        <v>69</v>
      </c>
      <c r="AC597" s="34" t="str">
        <f t="shared" ref="AC597:AP597" si="597">LET(
  skater, IFERROR(INDEX(AllProj, MATCH($E597, AllProjNames, 0), MATCH(AC$2, AllProjCats, 0) + 1), ""),
  goalie, IFERROR(INDEX(AllGProj, MATCH($E597, AllGProjNames, 0), MATCH(AC$2, AllGProjCats, 0) + 1), ""),
  val, IF(skater &lt;&gt; "", skater, goalie),
  IF(OR($E597="", AC$2="", val=""), "", val * AC$1)
)</f>
        <v/>
      </c>
      <c r="AD597" s="34" t="str">
        <f t="shared" si="597"/>
        <v/>
      </c>
      <c r="AE597" s="34" t="str">
        <f t="shared" si="597"/>
        <v/>
      </c>
      <c r="AF597" s="34" t="str">
        <f t="shared" si="597"/>
        <v/>
      </c>
      <c r="AG597" s="34" t="str">
        <f t="shared" si="597"/>
        <v/>
      </c>
      <c r="AH597" s="34" t="str">
        <f t="shared" si="597"/>
        <v/>
      </c>
      <c r="AI597" s="34" t="str">
        <f t="shared" si="597"/>
        <v/>
      </c>
      <c r="AJ597" s="34" t="str">
        <f t="shared" si="597"/>
        <v/>
      </c>
      <c r="AK597" s="34" t="str">
        <f t="shared" si="597"/>
        <v/>
      </c>
      <c r="AL597" s="34" t="str">
        <f t="shared" si="597"/>
        <v/>
      </c>
      <c r="AM597" s="34" t="str">
        <f t="shared" si="597"/>
        <v/>
      </c>
      <c r="AN597" s="34" t="str">
        <f t="shared" si="597"/>
        <v/>
      </c>
      <c r="AO597" s="34" t="str">
        <f t="shared" si="597"/>
        <v/>
      </c>
      <c r="AP597" s="34" t="str">
        <f t="shared" si="597"/>
        <v/>
      </c>
      <c r="AQ597" s="76" t="s">
        <v>637</v>
      </c>
      <c r="AR597" s="77"/>
      <c r="AS597" s="77"/>
      <c r="AT597" s="77"/>
      <c r="AU597" s="77"/>
      <c r="AV597" s="77"/>
      <c r="AW597" s="77"/>
      <c r="AX597" s="77"/>
      <c r="AY597" s="77"/>
      <c r="AZ597" s="77"/>
      <c r="BA597" s="77"/>
      <c r="BB597" s="77"/>
      <c r="BC597" s="77"/>
      <c r="BD597" s="77"/>
      <c r="BE597" s="77"/>
      <c r="BF597" s="77"/>
      <c r="BG597" s="77"/>
      <c r="BH597" s="77"/>
      <c r="BI597" s="77"/>
      <c r="BJ597" s="77"/>
      <c r="BK597" s="77"/>
      <c r="BL597" s="77"/>
      <c r="BM597" s="78"/>
    </row>
    <row r="598">
      <c r="A598" s="79">
        <v>2.642857142857143</v>
      </c>
      <c r="B598" s="79" t="b">
        <v>0</v>
      </c>
      <c r="C598" s="79" t="b">
        <f t="shared" si="3"/>
        <v>0</v>
      </c>
      <c r="D598" s="80" t="s">
        <v>1565</v>
      </c>
      <c r="E598" s="81" t="s">
        <v>1118</v>
      </c>
      <c r="F598" s="82" t="s">
        <v>1411</v>
      </c>
      <c r="G598" s="35" t="s">
        <v>837</v>
      </c>
      <c r="H598" s="37">
        <v>-11.038441135150833</v>
      </c>
      <c r="I598" s="37">
        <v>-5.508582363221932</v>
      </c>
      <c r="J598" s="83" t="s">
        <v>2266</v>
      </c>
      <c r="K598" s="35">
        <v>26.5</v>
      </c>
      <c r="L598" s="79">
        <v>61.59145833333333</v>
      </c>
      <c r="M598" s="84">
        <v>33.0</v>
      </c>
      <c r="N598" s="84">
        <v>8.0</v>
      </c>
      <c r="O598" s="85">
        <v>-2.2415654017922506</v>
      </c>
      <c r="P598" s="85">
        <v>-1.2840671100083534</v>
      </c>
      <c r="Q598" s="85">
        <v>-0.09140578971163249</v>
      </c>
      <c r="R598" s="85">
        <v>-1.9285500492923442</v>
      </c>
      <c r="S598" s="85">
        <v>-1.4768502254432323</v>
      </c>
      <c r="T598" s="85">
        <v>-0.7549622479472149</v>
      </c>
      <c r="U598" s="85">
        <v>-2.2562523689223575</v>
      </c>
      <c r="V598" s="85">
        <v>0.0</v>
      </c>
      <c r="W598" s="85">
        <v>-1.1588084252033255</v>
      </c>
      <c r="X598" s="85">
        <v>0.1540204831698762</v>
      </c>
      <c r="Y598" s="50" t="s">
        <v>69</v>
      </c>
      <c r="Z598" s="50" t="s">
        <v>69</v>
      </c>
      <c r="AA598" s="50" t="s">
        <v>69</v>
      </c>
      <c r="AB598" s="50" t="s">
        <v>69</v>
      </c>
      <c r="AC598" s="34" t="str">
        <f t="shared" ref="AC598:AP598" si="598">LET(
  skater, IFERROR(INDEX(AllProj, MATCH($E598, AllProjNames, 0), MATCH(AC$2, AllProjCats, 0) + 1), ""),
  goalie, IFERROR(INDEX(AllGProj, MATCH($E598, AllGProjNames, 0), MATCH(AC$2, AllGProjCats, 0) + 1), ""),
  val, IF(skater &lt;&gt; "", skater, goalie),
  IF(OR($E598="", AC$2="", val=""), "", val * AC$1)
)</f>
        <v/>
      </c>
      <c r="AD598" s="34" t="str">
        <f t="shared" si="598"/>
        <v/>
      </c>
      <c r="AE598" s="34" t="str">
        <f t="shared" si="598"/>
        <v/>
      </c>
      <c r="AF598" s="34" t="str">
        <f t="shared" si="598"/>
        <v/>
      </c>
      <c r="AG598" s="34" t="str">
        <f t="shared" si="598"/>
        <v/>
      </c>
      <c r="AH598" s="34" t="str">
        <f t="shared" si="598"/>
        <v/>
      </c>
      <c r="AI598" s="34" t="str">
        <f t="shared" si="598"/>
        <v/>
      </c>
      <c r="AJ598" s="34" t="str">
        <f t="shared" si="598"/>
        <v/>
      </c>
      <c r="AK598" s="34" t="str">
        <f t="shared" si="598"/>
        <v/>
      </c>
      <c r="AL598" s="34" t="str">
        <f t="shared" si="598"/>
        <v/>
      </c>
      <c r="AM598" s="34" t="str">
        <f t="shared" si="598"/>
        <v/>
      </c>
      <c r="AN598" s="34" t="str">
        <f t="shared" si="598"/>
        <v/>
      </c>
      <c r="AO598" s="34" t="str">
        <f t="shared" si="598"/>
        <v/>
      </c>
      <c r="AP598" s="34" t="str">
        <f t="shared" si="598"/>
        <v/>
      </c>
      <c r="AQ598" s="76" t="s">
        <v>638</v>
      </c>
      <c r="AR598" s="77"/>
      <c r="AS598" s="77"/>
      <c r="AT598" s="77"/>
      <c r="AU598" s="77"/>
      <c r="AV598" s="77"/>
      <c r="AW598" s="77"/>
      <c r="AX598" s="77"/>
      <c r="AY598" s="77"/>
      <c r="AZ598" s="77"/>
      <c r="BA598" s="77"/>
      <c r="BB598" s="77"/>
      <c r="BC598" s="77"/>
      <c r="BD598" s="77"/>
      <c r="BE598" s="77"/>
      <c r="BF598" s="77"/>
      <c r="BG598" s="77"/>
      <c r="BH598" s="77"/>
      <c r="BI598" s="77"/>
      <c r="BJ598" s="77"/>
      <c r="BK598" s="77"/>
      <c r="BL598" s="77"/>
      <c r="BM598" s="78"/>
    </row>
    <row r="599">
      <c r="A599" s="41">
        <v>2.642857142857143</v>
      </c>
      <c r="B599" s="41" t="b">
        <v>0</v>
      </c>
      <c r="C599" s="41" t="b">
        <f t="shared" si="3"/>
        <v>0</v>
      </c>
      <c r="D599" s="42" t="s">
        <v>1565</v>
      </c>
      <c r="E599" s="43" t="s">
        <v>1237</v>
      </c>
      <c r="F599" s="44" t="s">
        <v>1461</v>
      </c>
      <c r="G599" s="29" t="s">
        <v>831</v>
      </c>
      <c r="H599" s="32">
        <v>-11.042216753425986</v>
      </c>
      <c r="I599" s="32">
        <v>-5.600079144698129</v>
      </c>
      <c r="J599" s="45" t="s">
        <v>2267</v>
      </c>
      <c r="K599" s="29">
        <v>23.9</v>
      </c>
      <c r="L599" s="41">
        <v>77.47764705882352</v>
      </c>
      <c r="M599" s="46">
        <v>23.0</v>
      </c>
      <c r="N599" s="46">
        <v>6.0</v>
      </c>
      <c r="O599" s="47">
        <v>-0.680345829396302</v>
      </c>
      <c r="P599" s="47">
        <v>-0.8171909271582386</v>
      </c>
      <c r="Q599" s="47">
        <v>-1.3193214007995953</v>
      </c>
      <c r="R599" s="47">
        <v>-1.713773626237289</v>
      </c>
      <c r="S599" s="47">
        <v>-0.7780337538657335</v>
      </c>
      <c r="T599" s="47">
        <v>-0.7565595249151053</v>
      </c>
      <c r="U599" s="47">
        <v>-0.9902239013227996</v>
      </c>
      <c r="V599" s="47">
        <v>0.0</v>
      </c>
      <c r="W599" s="47">
        <v>-2.3158628616298595</v>
      </c>
      <c r="X599" s="47">
        <v>-1.6709049281010655</v>
      </c>
      <c r="Y599" s="50" t="s">
        <v>69</v>
      </c>
      <c r="Z599" s="50" t="s">
        <v>69</v>
      </c>
      <c r="AA599" s="50" t="s">
        <v>69</v>
      </c>
      <c r="AB599" s="50" t="s">
        <v>69</v>
      </c>
      <c r="AC599" s="34" t="str">
        <f t="shared" ref="AC599:AP599" si="599">LET(
  skater, IFERROR(INDEX(AllProj, MATCH($E599, AllProjNames, 0), MATCH(AC$2, AllProjCats, 0) + 1), ""),
  goalie, IFERROR(INDEX(AllGProj, MATCH($E599, AllGProjNames, 0), MATCH(AC$2, AllGProjCats, 0) + 1), ""),
  val, IF(skater &lt;&gt; "", skater, goalie),
  IF(OR($E599="", AC$2="", val=""), "", val * AC$1)
)</f>
        <v/>
      </c>
      <c r="AD599" s="34" t="str">
        <f t="shared" si="599"/>
        <v/>
      </c>
      <c r="AE599" s="34" t="str">
        <f t="shared" si="599"/>
        <v/>
      </c>
      <c r="AF599" s="34" t="str">
        <f t="shared" si="599"/>
        <v/>
      </c>
      <c r="AG599" s="34" t="str">
        <f t="shared" si="599"/>
        <v/>
      </c>
      <c r="AH599" s="34" t="str">
        <f t="shared" si="599"/>
        <v/>
      </c>
      <c r="AI599" s="34" t="str">
        <f t="shared" si="599"/>
        <v/>
      </c>
      <c r="AJ599" s="34" t="str">
        <f t="shared" si="599"/>
        <v/>
      </c>
      <c r="AK599" s="34" t="str">
        <f t="shared" si="599"/>
        <v/>
      </c>
      <c r="AL599" s="34" t="str">
        <f t="shared" si="599"/>
        <v/>
      </c>
      <c r="AM599" s="34" t="str">
        <f t="shared" si="599"/>
        <v/>
      </c>
      <c r="AN599" s="34" t="str">
        <f t="shared" si="599"/>
        <v/>
      </c>
      <c r="AO599" s="34" t="str">
        <f t="shared" si="599"/>
        <v/>
      </c>
      <c r="AP599" s="34" t="str">
        <f t="shared" si="599"/>
        <v/>
      </c>
      <c r="AQ599" s="76" t="s">
        <v>639</v>
      </c>
      <c r="AR599" s="77"/>
      <c r="AS599" s="77"/>
      <c r="AT599" s="77"/>
      <c r="AU599" s="77"/>
      <c r="AV599" s="77"/>
      <c r="AW599" s="77"/>
      <c r="AX599" s="77"/>
      <c r="AY599" s="77"/>
      <c r="AZ599" s="77"/>
      <c r="BA599" s="77"/>
      <c r="BB599" s="77"/>
      <c r="BC599" s="77"/>
      <c r="BD599" s="77"/>
      <c r="BE599" s="77"/>
      <c r="BF599" s="77"/>
      <c r="BG599" s="77"/>
      <c r="BH599" s="77"/>
      <c r="BI599" s="77"/>
      <c r="BJ599" s="77"/>
      <c r="BK599" s="77"/>
      <c r="BL599" s="77"/>
      <c r="BM599" s="78"/>
    </row>
    <row r="600">
      <c r="A600" s="79">
        <v>2.642857142857143</v>
      </c>
      <c r="B600" s="79" t="b">
        <v>0</v>
      </c>
      <c r="C600" s="79" t="b">
        <f t="shared" si="3"/>
        <v>0</v>
      </c>
      <c r="D600" s="80" t="s">
        <v>1565</v>
      </c>
      <c r="E600" s="81" t="s">
        <v>1216</v>
      </c>
      <c r="F600" s="82" t="s">
        <v>1454</v>
      </c>
      <c r="G600" s="35" t="s">
        <v>284</v>
      </c>
      <c r="H600" s="37">
        <v>-11.049785570874999</v>
      </c>
      <c r="I600" s="37">
        <v>-6.011719550691914</v>
      </c>
      <c r="J600" s="83" t="s">
        <v>2268</v>
      </c>
      <c r="K600" s="35">
        <v>34.6</v>
      </c>
      <c r="L600" s="79">
        <v>71.4</v>
      </c>
      <c r="M600" s="84">
        <v>25.0</v>
      </c>
      <c r="N600" s="84">
        <v>6.0</v>
      </c>
      <c r="O600" s="85">
        <v>-1.776701042035778</v>
      </c>
      <c r="P600" s="85">
        <v>-2.026639492176313</v>
      </c>
      <c r="Q600" s="85">
        <v>-1.4475999702169735</v>
      </c>
      <c r="R600" s="85">
        <v>0.5561863516233814</v>
      </c>
      <c r="S600" s="85">
        <v>-1.72461069241107</v>
      </c>
      <c r="T600" s="85">
        <v>-0.16952108464970286</v>
      </c>
      <c r="U600" s="85">
        <v>-2.287379160141631</v>
      </c>
      <c r="V600" s="85">
        <v>0.12321551619921398</v>
      </c>
      <c r="W600" s="85">
        <v>-0.5670481245827733</v>
      </c>
      <c r="X600" s="85">
        <v>-1.7296878724833518</v>
      </c>
      <c r="Y600" s="50" t="s">
        <v>69</v>
      </c>
      <c r="Z600" s="50" t="s">
        <v>69</v>
      </c>
      <c r="AA600" s="50" t="s">
        <v>69</v>
      </c>
      <c r="AB600" s="50" t="s">
        <v>69</v>
      </c>
      <c r="AC600" s="34" t="str">
        <f t="shared" ref="AC600:AP600" si="600">LET(
  skater, IFERROR(INDEX(AllProj, MATCH($E600, AllProjNames, 0), MATCH(AC$2, AllProjCats, 0) + 1), ""),
  goalie, IFERROR(INDEX(AllGProj, MATCH($E600, AllGProjNames, 0), MATCH(AC$2, AllGProjCats, 0) + 1), ""),
  val, IF(skater &lt;&gt; "", skater, goalie),
  IF(OR($E600="", AC$2="", val=""), "", val * AC$1)
)</f>
        <v/>
      </c>
      <c r="AD600" s="34" t="str">
        <f t="shared" si="600"/>
        <v/>
      </c>
      <c r="AE600" s="34" t="str">
        <f t="shared" si="600"/>
        <v/>
      </c>
      <c r="AF600" s="34" t="str">
        <f t="shared" si="600"/>
        <v/>
      </c>
      <c r="AG600" s="34" t="str">
        <f t="shared" si="600"/>
        <v/>
      </c>
      <c r="AH600" s="34" t="str">
        <f t="shared" si="600"/>
        <v/>
      </c>
      <c r="AI600" s="34" t="str">
        <f t="shared" si="600"/>
        <v/>
      </c>
      <c r="AJ600" s="34" t="str">
        <f t="shared" si="600"/>
        <v/>
      </c>
      <c r="AK600" s="34" t="str">
        <f t="shared" si="600"/>
        <v/>
      </c>
      <c r="AL600" s="34" t="str">
        <f t="shared" si="600"/>
        <v/>
      </c>
      <c r="AM600" s="34" t="str">
        <f t="shared" si="600"/>
        <v/>
      </c>
      <c r="AN600" s="34" t="str">
        <f t="shared" si="600"/>
        <v/>
      </c>
      <c r="AO600" s="34" t="str">
        <f t="shared" si="600"/>
        <v/>
      </c>
      <c r="AP600" s="34" t="str">
        <f t="shared" si="600"/>
        <v/>
      </c>
      <c r="AQ600" s="76" t="s">
        <v>640</v>
      </c>
      <c r="AR600" s="77"/>
      <c r="AS600" s="77"/>
      <c r="AT600" s="77"/>
      <c r="AU600" s="77"/>
      <c r="AV600" s="77"/>
      <c r="AW600" s="77"/>
      <c r="AX600" s="77"/>
      <c r="AY600" s="77"/>
      <c r="AZ600" s="77"/>
      <c r="BA600" s="77"/>
      <c r="BB600" s="77"/>
      <c r="BC600" s="77"/>
      <c r="BD600" s="77"/>
      <c r="BE600" s="77"/>
      <c r="BF600" s="77"/>
      <c r="BG600" s="77"/>
      <c r="BH600" s="77"/>
      <c r="BI600" s="77"/>
      <c r="BJ600" s="77"/>
      <c r="BK600" s="77"/>
      <c r="BL600" s="77"/>
      <c r="BM600" s="78"/>
    </row>
    <row r="601">
      <c r="A601" s="41">
        <v>2.642857142857143</v>
      </c>
      <c r="B601" s="41" t="b">
        <v>0</v>
      </c>
      <c r="C601" s="41" t="b">
        <f t="shared" si="3"/>
        <v>0</v>
      </c>
      <c r="D601" s="42" t="s">
        <v>1565</v>
      </c>
      <c r="E601" s="43" t="s">
        <v>1154</v>
      </c>
      <c r="F601" s="44" t="s">
        <v>854</v>
      </c>
      <c r="G601" s="29" t="s">
        <v>832</v>
      </c>
      <c r="H601" s="32">
        <v>-11.062975571638994</v>
      </c>
      <c r="I601" s="32">
        <v>-5.6208379629111365</v>
      </c>
      <c r="J601" s="45" t="s">
        <v>2269</v>
      </c>
      <c r="K601" s="29">
        <v>27.5</v>
      </c>
      <c r="L601" s="41">
        <v>71.42857142857143</v>
      </c>
      <c r="M601" s="46">
        <v>16.0</v>
      </c>
      <c r="N601" s="46">
        <v>6.0</v>
      </c>
      <c r="O601" s="47">
        <v>-1.38505583953311</v>
      </c>
      <c r="P601" s="47">
        <v>-1.6577662509297846</v>
      </c>
      <c r="Q601" s="47">
        <v>0.050690505356446335</v>
      </c>
      <c r="R601" s="47">
        <v>-1.122430077383452</v>
      </c>
      <c r="S601" s="47">
        <v>-1.561257134129456</v>
      </c>
      <c r="T601" s="47">
        <v>-0.7871777123417198</v>
      </c>
      <c r="U601" s="47">
        <v>-1.8759680011081425</v>
      </c>
      <c r="V601" s="47">
        <v>0.0</v>
      </c>
      <c r="W601" s="47">
        <v>-1.4013550733189786</v>
      </c>
      <c r="X601" s="47">
        <v>-1.3226559882507962</v>
      </c>
      <c r="Y601" s="50" t="s">
        <v>69</v>
      </c>
      <c r="Z601" s="50" t="s">
        <v>69</v>
      </c>
      <c r="AA601" s="50" t="s">
        <v>69</v>
      </c>
      <c r="AB601" s="50" t="s">
        <v>69</v>
      </c>
      <c r="AC601" s="34" t="str">
        <f t="shared" ref="AC601:AP601" si="601">LET(
  skater, IFERROR(INDEX(AllProj, MATCH($E601, AllProjNames, 0), MATCH(AC$2, AllProjCats, 0) + 1), ""),
  goalie, IFERROR(INDEX(AllGProj, MATCH($E601, AllGProjNames, 0), MATCH(AC$2, AllGProjCats, 0) + 1), ""),
  val, IF(skater &lt;&gt; "", skater, goalie),
  IF(OR($E601="", AC$2="", val=""), "", val * AC$1)
)</f>
        <v/>
      </c>
      <c r="AD601" s="34" t="str">
        <f t="shared" si="601"/>
        <v/>
      </c>
      <c r="AE601" s="34" t="str">
        <f t="shared" si="601"/>
        <v/>
      </c>
      <c r="AF601" s="34" t="str">
        <f t="shared" si="601"/>
        <v/>
      </c>
      <c r="AG601" s="34" t="str">
        <f t="shared" si="601"/>
        <v/>
      </c>
      <c r="AH601" s="34" t="str">
        <f t="shared" si="601"/>
        <v/>
      </c>
      <c r="AI601" s="34" t="str">
        <f t="shared" si="601"/>
        <v/>
      </c>
      <c r="AJ601" s="34" t="str">
        <f t="shared" si="601"/>
        <v/>
      </c>
      <c r="AK601" s="34" t="str">
        <f t="shared" si="601"/>
        <v/>
      </c>
      <c r="AL601" s="34" t="str">
        <f t="shared" si="601"/>
        <v/>
      </c>
      <c r="AM601" s="34" t="str">
        <f t="shared" si="601"/>
        <v/>
      </c>
      <c r="AN601" s="34" t="str">
        <f t="shared" si="601"/>
        <v/>
      </c>
      <c r="AO601" s="34" t="str">
        <f t="shared" si="601"/>
        <v/>
      </c>
      <c r="AP601" s="34" t="str">
        <f t="shared" si="601"/>
        <v/>
      </c>
      <c r="AQ601" s="76" t="s">
        <v>641</v>
      </c>
      <c r="AR601" s="77"/>
      <c r="AS601" s="77"/>
      <c r="AT601" s="77"/>
      <c r="AU601" s="77"/>
      <c r="AV601" s="77"/>
      <c r="AW601" s="77"/>
      <c r="AX601" s="77"/>
      <c r="AY601" s="77"/>
      <c r="AZ601" s="77"/>
      <c r="BA601" s="77"/>
      <c r="BB601" s="77"/>
      <c r="BC601" s="77"/>
      <c r="BD601" s="77"/>
      <c r="BE601" s="77"/>
      <c r="BF601" s="77"/>
      <c r="BG601" s="77"/>
      <c r="BH601" s="77"/>
      <c r="BI601" s="77"/>
      <c r="BJ601" s="77"/>
      <c r="BK601" s="77"/>
      <c r="BL601" s="77"/>
      <c r="BM601" s="78"/>
    </row>
    <row r="602">
      <c r="A602" s="79">
        <v>2.642857142857143</v>
      </c>
      <c r="B602" s="79" t="b">
        <v>0</v>
      </c>
      <c r="C602" s="79" t="b">
        <f t="shared" si="3"/>
        <v>0</v>
      </c>
      <c r="D602" s="80" t="s">
        <v>1565</v>
      </c>
      <c r="E602" s="81" t="s">
        <v>1155</v>
      </c>
      <c r="F602" s="82" t="s">
        <v>1498</v>
      </c>
      <c r="G602" s="35" t="s">
        <v>284</v>
      </c>
      <c r="H602" s="37">
        <v>-11.08112291497983</v>
      </c>
      <c r="I602" s="37">
        <v>-6.043056894796744</v>
      </c>
      <c r="J602" s="83" t="s">
        <v>2270</v>
      </c>
      <c r="K602" s="35">
        <v>28.8</v>
      </c>
      <c r="L602" s="79">
        <v>73.9225</v>
      </c>
      <c r="M602" s="84">
        <v>28.0</v>
      </c>
      <c r="N602" s="84">
        <v>7.0</v>
      </c>
      <c r="O602" s="85">
        <v>-1.3541635220891661</v>
      </c>
      <c r="P602" s="85">
        <v>-1.544481760439002</v>
      </c>
      <c r="Q602" s="85">
        <v>-1.1799780082751308</v>
      </c>
      <c r="R602" s="85">
        <v>-1.0033888297204132</v>
      </c>
      <c r="S602" s="85">
        <v>-1.6666756328518182</v>
      </c>
      <c r="T602" s="85">
        <v>0.028608577793078765</v>
      </c>
      <c r="U602" s="85">
        <v>-2.1167214610823257</v>
      </c>
      <c r="V602" s="85">
        <v>0.2849306044284761</v>
      </c>
      <c r="W602" s="85">
        <v>-1.1436848749419608</v>
      </c>
      <c r="X602" s="85">
        <v>-1.3855680078015669</v>
      </c>
      <c r="Y602" s="50" t="s">
        <v>69</v>
      </c>
      <c r="Z602" s="50" t="s">
        <v>69</v>
      </c>
      <c r="AA602" s="50" t="s">
        <v>69</v>
      </c>
      <c r="AB602" s="50" t="s">
        <v>69</v>
      </c>
      <c r="AC602" s="34" t="str">
        <f t="shared" ref="AC602:AP602" si="602">LET(
  skater, IFERROR(INDEX(AllProj, MATCH($E602, AllProjNames, 0), MATCH(AC$2, AllProjCats, 0) + 1), ""),
  goalie, IFERROR(INDEX(AllGProj, MATCH($E602, AllGProjNames, 0), MATCH(AC$2, AllGProjCats, 0) + 1), ""),
  val, IF(skater &lt;&gt; "", skater, goalie),
  IF(OR($E602="", AC$2="", val=""), "", val * AC$1)
)</f>
        <v/>
      </c>
      <c r="AD602" s="34" t="str">
        <f t="shared" si="602"/>
        <v/>
      </c>
      <c r="AE602" s="34" t="str">
        <f t="shared" si="602"/>
        <v/>
      </c>
      <c r="AF602" s="34" t="str">
        <f t="shared" si="602"/>
        <v/>
      </c>
      <c r="AG602" s="34" t="str">
        <f t="shared" si="602"/>
        <v/>
      </c>
      <c r="AH602" s="34" t="str">
        <f t="shared" si="602"/>
        <v/>
      </c>
      <c r="AI602" s="34" t="str">
        <f t="shared" si="602"/>
        <v/>
      </c>
      <c r="AJ602" s="34" t="str">
        <f t="shared" si="602"/>
        <v/>
      </c>
      <c r="AK602" s="34" t="str">
        <f t="shared" si="602"/>
        <v/>
      </c>
      <c r="AL602" s="34" t="str">
        <f t="shared" si="602"/>
        <v/>
      </c>
      <c r="AM602" s="34" t="str">
        <f t="shared" si="602"/>
        <v/>
      </c>
      <c r="AN602" s="34" t="str">
        <f t="shared" si="602"/>
        <v/>
      </c>
      <c r="AO602" s="34" t="str">
        <f t="shared" si="602"/>
        <v/>
      </c>
      <c r="AP602" s="34" t="str">
        <f t="shared" si="602"/>
        <v/>
      </c>
      <c r="AQ602" s="76" t="s">
        <v>642</v>
      </c>
      <c r="AR602" s="77"/>
      <c r="AS602" s="77"/>
      <c r="AT602" s="77"/>
      <c r="AU602" s="77"/>
      <c r="AV602" s="77"/>
      <c r="AW602" s="77"/>
      <c r="AX602" s="77"/>
      <c r="AY602" s="77"/>
      <c r="AZ602" s="77"/>
      <c r="BA602" s="77"/>
      <c r="BB602" s="77"/>
      <c r="BC602" s="77"/>
      <c r="BD602" s="77"/>
      <c r="BE602" s="77"/>
      <c r="BF602" s="77"/>
      <c r="BG602" s="77"/>
      <c r="BH602" s="77"/>
      <c r="BI602" s="77"/>
      <c r="BJ602" s="77"/>
      <c r="BK602" s="77"/>
      <c r="BL602" s="77"/>
      <c r="BM602" s="78"/>
    </row>
    <row r="603">
      <c r="A603" s="41">
        <v>2.5714285714285716</v>
      </c>
      <c r="B603" s="41" t="b">
        <v>0</v>
      </c>
      <c r="C603" s="41" t="b">
        <f t="shared" si="3"/>
        <v>0</v>
      </c>
      <c r="D603" s="42" t="s">
        <v>1565</v>
      </c>
      <c r="E603" s="43" t="s">
        <v>1065</v>
      </c>
      <c r="F603" s="44" t="s">
        <v>1436</v>
      </c>
      <c r="G603" s="29" t="s">
        <v>835</v>
      </c>
      <c r="H603" s="32">
        <v>-11.106276483987967</v>
      </c>
      <c r="I603" s="32">
        <v>-5.7183963590752285</v>
      </c>
      <c r="J603" s="45" t="s">
        <v>2271</v>
      </c>
      <c r="K603" s="29">
        <v>21.6</v>
      </c>
      <c r="L603" s="41">
        <v>74.0</v>
      </c>
      <c r="M603" s="46">
        <v>26.0</v>
      </c>
      <c r="N603" s="46">
        <v>5.0</v>
      </c>
      <c r="O603" s="47">
        <v>-1.6509434082046461</v>
      </c>
      <c r="P603" s="47">
        <v>-2.18903651662447</v>
      </c>
      <c r="Q603" s="94" t="s">
        <v>69</v>
      </c>
      <c r="R603" s="47">
        <v>-1.6819688870523963</v>
      </c>
      <c r="S603" s="94" t="s">
        <v>69</v>
      </c>
      <c r="T603" s="94" t="s">
        <v>69</v>
      </c>
      <c r="U603" s="47">
        <v>-1.680120516456418</v>
      </c>
      <c r="V603" s="94" t="s">
        <v>69</v>
      </c>
      <c r="W603" s="47">
        <v>-1.6777009538828302</v>
      </c>
      <c r="X603" s="47">
        <v>-2.2265062017672066</v>
      </c>
      <c r="Y603" s="50" t="s">
        <v>69</v>
      </c>
      <c r="Z603" s="50" t="s">
        <v>69</v>
      </c>
      <c r="AA603" s="50" t="s">
        <v>69</v>
      </c>
      <c r="AB603" s="50" t="s">
        <v>69</v>
      </c>
      <c r="AC603" s="34" t="str">
        <f t="shared" ref="AC603:AP603" si="603">LET(
  skater, IFERROR(INDEX(AllProj, MATCH($E603, AllProjNames, 0), MATCH(AC$2, AllProjCats, 0) + 1), ""),
  goalie, IFERROR(INDEX(AllGProj, MATCH($E603, AllGProjNames, 0), MATCH(AC$2, AllGProjCats, 0) + 1), ""),
  val, IF(skater &lt;&gt; "", skater, goalie),
  IF(OR($E603="", AC$2="", val=""), "", val * AC$1)
)</f>
        <v/>
      </c>
      <c r="AD603" s="34" t="str">
        <f t="shared" si="603"/>
        <v/>
      </c>
      <c r="AE603" s="34" t="str">
        <f t="shared" si="603"/>
        <v/>
      </c>
      <c r="AF603" s="34" t="str">
        <f t="shared" si="603"/>
        <v/>
      </c>
      <c r="AG603" s="34" t="str">
        <f t="shared" si="603"/>
        <v/>
      </c>
      <c r="AH603" s="34" t="str">
        <f t="shared" si="603"/>
        <v/>
      </c>
      <c r="AI603" s="34" t="str">
        <f t="shared" si="603"/>
        <v/>
      </c>
      <c r="AJ603" s="34" t="str">
        <f t="shared" si="603"/>
        <v/>
      </c>
      <c r="AK603" s="34" t="str">
        <f t="shared" si="603"/>
        <v/>
      </c>
      <c r="AL603" s="34" t="str">
        <f t="shared" si="603"/>
        <v/>
      </c>
      <c r="AM603" s="34" t="str">
        <f t="shared" si="603"/>
        <v/>
      </c>
      <c r="AN603" s="34" t="str">
        <f t="shared" si="603"/>
        <v/>
      </c>
      <c r="AO603" s="34" t="str">
        <f t="shared" si="603"/>
        <v/>
      </c>
      <c r="AP603" s="34" t="str">
        <f t="shared" si="603"/>
        <v/>
      </c>
      <c r="AQ603" s="76" t="s">
        <v>643</v>
      </c>
      <c r="AR603" s="77"/>
      <c r="AS603" s="77"/>
      <c r="AT603" s="77"/>
      <c r="AU603" s="77"/>
      <c r="AV603" s="77"/>
      <c r="AW603" s="77"/>
      <c r="AX603" s="77"/>
      <c r="AY603" s="77"/>
      <c r="AZ603" s="77"/>
      <c r="BA603" s="77"/>
      <c r="BB603" s="77"/>
      <c r="BC603" s="77"/>
      <c r="BD603" s="77"/>
      <c r="BE603" s="77"/>
      <c r="BF603" s="77"/>
      <c r="BG603" s="77"/>
      <c r="BH603" s="77"/>
      <c r="BI603" s="77"/>
      <c r="BJ603" s="77"/>
      <c r="BK603" s="77"/>
      <c r="BL603" s="77"/>
      <c r="BM603" s="78"/>
    </row>
    <row r="604">
      <c r="A604" s="79">
        <v>2.5714285714285716</v>
      </c>
      <c r="B604" s="79" t="b">
        <v>0</v>
      </c>
      <c r="C604" s="79" t="b">
        <f t="shared" si="3"/>
        <v>0</v>
      </c>
      <c r="D604" s="80" t="s">
        <v>1565</v>
      </c>
      <c r="E604" s="81" t="s">
        <v>1071</v>
      </c>
      <c r="F604" s="82" t="s">
        <v>1436</v>
      </c>
      <c r="G604" s="35" t="s">
        <v>835</v>
      </c>
      <c r="H604" s="37">
        <v>-11.119348126098558</v>
      </c>
      <c r="I604" s="37">
        <v>-5.731468001185819</v>
      </c>
      <c r="J604" s="83" t="s">
        <v>2272</v>
      </c>
      <c r="K604" s="35">
        <v>28.3</v>
      </c>
      <c r="L604" s="79">
        <v>73.85714285714286</v>
      </c>
      <c r="M604" s="84">
        <v>26.0</v>
      </c>
      <c r="N604" s="84">
        <v>5.0</v>
      </c>
      <c r="O604" s="85">
        <v>-1.5467442258874227</v>
      </c>
      <c r="P604" s="85">
        <v>-1.9361611499837683</v>
      </c>
      <c r="Q604" s="85">
        <v>-1.680920088266446</v>
      </c>
      <c r="R604" s="85">
        <v>-1.912889665645929</v>
      </c>
      <c r="S604" s="85">
        <v>-1.701274469799411</v>
      </c>
      <c r="T604" s="85">
        <v>0.44813554304231407</v>
      </c>
      <c r="U604" s="85">
        <v>-1.8838544770001584</v>
      </c>
      <c r="V604" s="85">
        <v>0.0</v>
      </c>
      <c r="W604" s="85">
        <v>1.0840014160741376</v>
      </c>
      <c r="X604" s="85">
        <v>-1.989641008631875</v>
      </c>
      <c r="Y604" s="50" t="s">
        <v>69</v>
      </c>
      <c r="Z604" s="50" t="s">
        <v>69</v>
      </c>
      <c r="AA604" s="50" t="s">
        <v>69</v>
      </c>
      <c r="AB604" s="50" t="s">
        <v>69</v>
      </c>
      <c r="AC604" s="34" t="str">
        <f t="shared" ref="AC604:AP604" si="604">LET(
  skater, IFERROR(INDEX(AllProj, MATCH($E604, AllProjNames, 0), MATCH(AC$2, AllProjCats, 0) + 1), ""),
  goalie, IFERROR(INDEX(AllGProj, MATCH($E604, AllGProjNames, 0), MATCH(AC$2, AllGProjCats, 0) + 1), ""),
  val, IF(skater &lt;&gt; "", skater, goalie),
  IF(OR($E604="", AC$2="", val=""), "", val * AC$1)
)</f>
        <v/>
      </c>
      <c r="AD604" s="34" t="str">
        <f t="shared" si="604"/>
        <v/>
      </c>
      <c r="AE604" s="34" t="str">
        <f t="shared" si="604"/>
        <v/>
      </c>
      <c r="AF604" s="34" t="str">
        <f t="shared" si="604"/>
        <v/>
      </c>
      <c r="AG604" s="34" t="str">
        <f t="shared" si="604"/>
        <v/>
      </c>
      <c r="AH604" s="34" t="str">
        <f t="shared" si="604"/>
        <v/>
      </c>
      <c r="AI604" s="34" t="str">
        <f t="shared" si="604"/>
        <v/>
      </c>
      <c r="AJ604" s="34" t="str">
        <f t="shared" si="604"/>
        <v/>
      </c>
      <c r="AK604" s="34" t="str">
        <f t="shared" si="604"/>
        <v/>
      </c>
      <c r="AL604" s="34" t="str">
        <f t="shared" si="604"/>
        <v/>
      </c>
      <c r="AM604" s="34" t="str">
        <f t="shared" si="604"/>
        <v/>
      </c>
      <c r="AN604" s="34" t="str">
        <f t="shared" si="604"/>
        <v/>
      </c>
      <c r="AO604" s="34" t="str">
        <f t="shared" si="604"/>
        <v/>
      </c>
      <c r="AP604" s="34" t="str">
        <f t="shared" si="604"/>
        <v/>
      </c>
      <c r="AQ604" s="76" t="s">
        <v>644</v>
      </c>
      <c r="AR604" s="77"/>
      <c r="AS604" s="77"/>
      <c r="AT604" s="77"/>
      <c r="AU604" s="77"/>
      <c r="AV604" s="77"/>
      <c r="AW604" s="77"/>
      <c r="AX604" s="77"/>
      <c r="AY604" s="77"/>
      <c r="AZ604" s="77"/>
      <c r="BA604" s="77"/>
      <c r="BB604" s="77"/>
      <c r="BC604" s="77"/>
      <c r="BD604" s="77"/>
      <c r="BE604" s="77"/>
      <c r="BF604" s="77"/>
      <c r="BG604" s="77"/>
      <c r="BH604" s="77"/>
      <c r="BI604" s="77"/>
      <c r="BJ604" s="77"/>
      <c r="BK604" s="77"/>
      <c r="BL604" s="77"/>
      <c r="BM604" s="78"/>
    </row>
    <row r="605">
      <c r="A605" s="41">
        <v>2.642857142857143</v>
      </c>
      <c r="B605" s="41" t="b">
        <v>0</v>
      </c>
      <c r="C605" s="41" t="b">
        <f t="shared" si="3"/>
        <v>0</v>
      </c>
      <c r="D605" s="42" t="s">
        <v>1565</v>
      </c>
      <c r="E605" s="43" t="s">
        <v>1280</v>
      </c>
      <c r="F605" s="44" t="s">
        <v>1401</v>
      </c>
      <c r="G605" s="29" t="s">
        <v>829</v>
      </c>
      <c r="H605" s="32">
        <v>-11.137303257097908</v>
      </c>
      <c r="I605" s="32">
        <v>-5.695165648370051</v>
      </c>
      <c r="J605" s="45" t="s">
        <v>2273</v>
      </c>
      <c r="K605" s="29">
        <v>29.6</v>
      </c>
      <c r="L605" s="41">
        <v>77.69735294117648</v>
      </c>
      <c r="M605" s="46">
        <v>25.0</v>
      </c>
      <c r="N605" s="46">
        <v>7.0</v>
      </c>
      <c r="O605" s="47">
        <v>-0.2588656915417551</v>
      </c>
      <c r="P605" s="47">
        <v>-1.0427010948621105</v>
      </c>
      <c r="Q605" s="47">
        <v>-1.6067337892927074</v>
      </c>
      <c r="R605" s="47">
        <v>-1.9308539713577018</v>
      </c>
      <c r="S605" s="47">
        <v>-1.1594058927253406</v>
      </c>
      <c r="T605" s="47">
        <v>-0.786119342999152</v>
      </c>
      <c r="U605" s="47">
        <v>-0.5808838305852748</v>
      </c>
      <c r="V605" s="47">
        <v>0.0</v>
      </c>
      <c r="W605" s="47">
        <v>-1.906610154497109</v>
      </c>
      <c r="X605" s="47">
        <v>-1.8651294892367565</v>
      </c>
      <c r="Y605" s="50" t="s">
        <v>69</v>
      </c>
      <c r="Z605" s="50" t="s">
        <v>69</v>
      </c>
      <c r="AA605" s="50" t="s">
        <v>69</v>
      </c>
      <c r="AB605" s="50" t="s">
        <v>69</v>
      </c>
      <c r="AC605" s="34" t="str">
        <f t="shared" ref="AC605:AP605" si="605">LET(
  skater, IFERROR(INDEX(AllProj, MATCH($E605, AllProjNames, 0), MATCH(AC$2, AllProjCats, 0) + 1), ""),
  goalie, IFERROR(INDEX(AllGProj, MATCH($E605, AllGProjNames, 0), MATCH(AC$2, AllGProjCats, 0) + 1), ""),
  val, IF(skater &lt;&gt; "", skater, goalie),
  IF(OR($E605="", AC$2="", val=""), "", val * AC$1)
)</f>
        <v/>
      </c>
      <c r="AD605" s="34" t="str">
        <f t="shared" si="605"/>
        <v/>
      </c>
      <c r="AE605" s="34" t="str">
        <f t="shared" si="605"/>
        <v/>
      </c>
      <c r="AF605" s="34" t="str">
        <f t="shared" si="605"/>
        <v/>
      </c>
      <c r="AG605" s="34" t="str">
        <f t="shared" si="605"/>
        <v/>
      </c>
      <c r="AH605" s="34" t="str">
        <f t="shared" si="605"/>
        <v/>
      </c>
      <c r="AI605" s="34" t="str">
        <f t="shared" si="605"/>
        <v/>
      </c>
      <c r="AJ605" s="34" t="str">
        <f t="shared" si="605"/>
        <v/>
      </c>
      <c r="AK605" s="34" t="str">
        <f t="shared" si="605"/>
        <v/>
      </c>
      <c r="AL605" s="34" t="str">
        <f t="shared" si="605"/>
        <v/>
      </c>
      <c r="AM605" s="34" t="str">
        <f t="shared" si="605"/>
        <v/>
      </c>
      <c r="AN605" s="34" t="str">
        <f t="shared" si="605"/>
        <v/>
      </c>
      <c r="AO605" s="34" t="str">
        <f t="shared" si="605"/>
        <v/>
      </c>
      <c r="AP605" s="34" t="str">
        <f t="shared" si="605"/>
        <v/>
      </c>
      <c r="AQ605" s="76" t="s">
        <v>645</v>
      </c>
      <c r="AR605" s="77"/>
      <c r="AS605" s="77"/>
      <c r="AT605" s="77"/>
      <c r="AU605" s="77"/>
      <c r="AV605" s="77"/>
      <c r="AW605" s="77"/>
      <c r="AX605" s="77"/>
      <c r="AY605" s="77"/>
      <c r="AZ605" s="77"/>
      <c r="BA605" s="77"/>
      <c r="BB605" s="77"/>
      <c r="BC605" s="77"/>
      <c r="BD605" s="77"/>
      <c r="BE605" s="77"/>
      <c r="BF605" s="77"/>
      <c r="BG605" s="77"/>
      <c r="BH605" s="77"/>
      <c r="BI605" s="77"/>
      <c r="BJ605" s="77"/>
      <c r="BK605" s="77"/>
      <c r="BL605" s="77"/>
      <c r="BM605" s="78"/>
    </row>
    <row r="606">
      <c r="A606" s="79">
        <v>2.642857142857143</v>
      </c>
      <c r="B606" s="79" t="b">
        <v>0</v>
      </c>
      <c r="C606" s="79" t="b">
        <f t="shared" si="3"/>
        <v>0</v>
      </c>
      <c r="D606" s="80" t="s">
        <v>1565</v>
      </c>
      <c r="E606" s="81" t="s">
        <v>1224</v>
      </c>
      <c r="F606" s="82" t="s">
        <v>1416</v>
      </c>
      <c r="G606" s="35" t="s">
        <v>836</v>
      </c>
      <c r="H606" s="37">
        <v>-11.16593707586793</v>
      </c>
      <c r="I606" s="37">
        <v>-5.723799467140073</v>
      </c>
      <c r="J606" s="83" t="s">
        <v>2274</v>
      </c>
      <c r="K606" s="35">
        <v>27.0</v>
      </c>
      <c r="L606" s="79">
        <v>69.81818181818181</v>
      </c>
      <c r="M606" s="84">
        <v>29.0</v>
      </c>
      <c r="N606" s="84">
        <v>7.0</v>
      </c>
      <c r="O606" s="85">
        <v>-1.1296208534137717</v>
      </c>
      <c r="P606" s="85">
        <v>-1.3076635748467447</v>
      </c>
      <c r="Q606" s="85">
        <v>-0.980818281865234</v>
      </c>
      <c r="R606" s="85">
        <v>-1.0444337584599022</v>
      </c>
      <c r="S606" s="85">
        <v>-1.340859476130453</v>
      </c>
      <c r="T606" s="85">
        <v>-0.7871777123417198</v>
      </c>
      <c r="U606" s="85">
        <v>-1.481046746212505</v>
      </c>
      <c r="V606" s="85">
        <v>0.0</v>
      </c>
      <c r="W606" s="85">
        <v>-1.1262866005235266</v>
      </c>
      <c r="X606" s="85">
        <v>-1.9680300720740729</v>
      </c>
      <c r="Y606" s="50" t="s">
        <v>69</v>
      </c>
      <c r="Z606" s="50" t="s">
        <v>69</v>
      </c>
      <c r="AA606" s="50" t="s">
        <v>69</v>
      </c>
      <c r="AB606" s="50" t="s">
        <v>69</v>
      </c>
      <c r="AC606" s="34" t="str">
        <f t="shared" ref="AC606:AP606" si="606">LET(
  skater, IFERROR(INDEX(AllProj, MATCH($E606, AllProjNames, 0), MATCH(AC$2, AllProjCats, 0) + 1), ""),
  goalie, IFERROR(INDEX(AllGProj, MATCH($E606, AllGProjNames, 0), MATCH(AC$2, AllGProjCats, 0) + 1), ""),
  val, IF(skater &lt;&gt; "", skater, goalie),
  IF(OR($E606="", AC$2="", val=""), "", val * AC$1)
)</f>
        <v/>
      </c>
      <c r="AD606" s="34" t="str">
        <f t="shared" si="606"/>
        <v/>
      </c>
      <c r="AE606" s="34" t="str">
        <f t="shared" si="606"/>
        <v/>
      </c>
      <c r="AF606" s="34" t="str">
        <f t="shared" si="606"/>
        <v/>
      </c>
      <c r="AG606" s="34" t="str">
        <f t="shared" si="606"/>
        <v/>
      </c>
      <c r="AH606" s="34" t="str">
        <f t="shared" si="606"/>
        <v/>
      </c>
      <c r="AI606" s="34" t="str">
        <f t="shared" si="606"/>
        <v/>
      </c>
      <c r="AJ606" s="34" t="str">
        <f t="shared" si="606"/>
        <v/>
      </c>
      <c r="AK606" s="34" t="str">
        <f t="shared" si="606"/>
        <v/>
      </c>
      <c r="AL606" s="34" t="str">
        <f t="shared" si="606"/>
        <v/>
      </c>
      <c r="AM606" s="34" t="str">
        <f t="shared" si="606"/>
        <v/>
      </c>
      <c r="AN606" s="34" t="str">
        <f t="shared" si="606"/>
        <v/>
      </c>
      <c r="AO606" s="34" t="str">
        <f t="shared" si="606"/>
        <v/>
      </c>
      <c r="AP606" s="34" t="str">
        <f t="shared" si="606"/>
        <v/>
      </c>
      <c r="AQ606" s="76" t="s">
        <v>646</v>
      </c>
      <c r="AR606" s="77"/>
      <c r="AS606" s="77"/>
      <c r="AT606" s="77"/>
      <c r="AU606" s="77"/>
      <c r="AV606" s="77"/>
      <c r="AW606" s="77"/>
      <c r="AX606" s="77"/>
      <c r="AY606" s="77"/>
      <c r="AZ606" s="77"/>
      <c r="BA606" s="77"/>
      <c r="BB606" s="77"/>
      <c r="BC606" s="77"/>
      <c r="BD606" s="77"/>
      <c r="BE606" s="77"/>
      <c r="BF606" s="77"/>
      <c r="BG606" s="77"/>
      <c r="BH606" s="77"/>
      <c r="BI606" s="77"/>
      <c r="BJ606" s="77"/>
      <c r="BK606" s="77"/>
      <c r="BL606" s="77"/>
      <c r="BM606" s="78"/>
    </row>
    <row r="607">
      <c r="A607" s="41">
        <v>2.642857142857143</v>
      </c>
      <c r="B607" s="41" t="b">
        <v>0</v>
      </c>
      <c r="C607" s="41" t="b">
        <f t="shared" si="3"/>
        <v>0</v>
      </c>
      <c r="D607" s="42" t="s">
        <v>1565</v>
      </c>
      <c r="E607" s="43" t="s">
        <v>1181</v>
      </c>
      <c r="F607" s="44" t="s">
        <v>1710</v>
      </c>
      <c r="G607" s="29" t="s">
        <v>837</v>
      </c>
      <c r="H607" s="32">
        <v>-11.171451375170829</v>
      </c>
      <c r="I607" s="32">
        <v>-5.641592603241928</v>
      </c>
      <c r="J607" s="45" t="s">
        <v>2275</v>
      </c>
      <c r="K607" s="29">
        <v>24.5</v>
      </c>
      <c r="L607" s="41">
        <v>77.57142857142857</v>
      </c>
      <c r="M607" s="46">
        <v>23.0</v>
      </c>
      <c r="N607" s="46">
        <v>6.0</v>
      </c>
      <c r="O607" s="47">
        <v>-1.9491686541470448</v>
      </c>
      <c r="P607" s="47">
        <v>-1.715765188232698</v>
      </c>
      <c r="Q607" s="47">
        <v>-3.159741042547066</v>
      </c>
      <c r="R607" s="47">
        <v>-0.882627730382476</v>
      </c>
      <c r="S607" s="47">
        <v>-1.7199434478887383</v>
      </c>
      <c r="T607" s="47">
        <v>-0.7871777123417198</v>
      </c>
      <c r="U607" s="47">
        <v>-1.6209719472662998</v>
      </c>
      <c r="V607" s="47">
        <v>0.0</v>
      </c>
      <c r="W607" s="47">
        <v>-0.6642375656285345</v>
      </c>
      <c r="X607" s="47">
        <v>1.3281819132637478</v>
      </c>
      <c r="Y607" s="50" t="s">
        <v>69</v>
      </c>
      <c r="Z607" s="50" t="s">
        <v>69</v>
      </c>
      <c r="AA607" s="50" t="s">
        <v>69</v>
      </c>
      <c r="AB607" s="50" t="s">
        <v>69</v>
      </c>
      <c r="AC607" s="34" t="str">
        <f t="shared" ref="AC607:AP607" si="607">LET(
  skater, IFERROR(INDEX(AllProj, MATCH($E607, AllProjNames, 0), MATCH(AC$2, AllProjCats, 0) + 1), ""),
  goalie, IFERROR(INDEX(AllGProj, MATCH($E607, AllGProjNames, 0), MATCH(AC$2, AllGProjCats, 0) + 1), ""),
  val, IF(skater &lt;&gt; "", skater, goalie),
  IF(OR($E607="", AC$2="", val=""), "", val * AC$1)
)</f>
        <v/>
      </c>
      <c r="AD607" s="34" t="str">
        <f t="shared" si="607"/>
        <v/>
      </c>
      <c r="AE607" s="34" t="str">
        <f t="shared" si="607"/>
        <v/>
      </c>
      <c r="AF607" s="34" t="str">
        <f t="shared" si="607"/>
        <v/>
      </c>
      <c r="AG607" s="34" t="str">
        <f t="shared" si="607"/>
        <v/>
      </c>
      <c r="AH607" s="34" t="str">
        <f t="shared" si="607"/>
        <v/>
      </c>
      <c r="AI607" s="34" t="str">
        <f t="shared" si="607"/>
        <v/>
      </c>
      <c r="AJ607" s="34" t="str">
        <f t="shared" si="607"/>
        <v/>
      </c>
      <c r="AK607" s="34" t="str">
        <f t="shared" si="607"/>
        <v/>
      </c>
      <c r="AL607" s="34" t="str">
        <f t="shared" si="607"/>
        <v/>
      </c>
      <c r="AM607" s="34" t="str">
        <f t="shared" si="607"/>
        <v/>
      </c>
      <c r="AN607" s="34" t="str">
        <f t="shared" si="607"/>
        <v/>
      </c>
      <c r="AO607" s="34" t="str">
        <f t="shared" si="607"/>
        <v/>
      </c>
      <c r="AP607" s="34" t="str">
        <f t="shared" si="607"/>
        <v/>
      </c>
      <c r="AQ607" s="76" t="s">
        <v>647</v>
      </c>
      <c r="AR607" s="77"/>
      <c r="AS607" s="77"/>
      <c r="AT607" s="77"/>
      <c r="AU607" s="77"/>
      <c r="AV607" s="77"/>
      <c r="AW607" s="77"/>
      <c r="AX607" s="77"/>
      <c r="AY607" s="77"/>
      <c r="AZ607" s="77"/>
      <c r="BA607" s="77"/>
      <c r="BB607" s="77"/>
      <c r="BC607" s="77"/>
      <c r="BD607" s="77"/>
      <c r="BE607" s="77"/>
      <c r="BF607" s="77"/>
      <c r="BG607" s="77"/>
      <c r="BH607" s="77"/>
      <c r="BI607" s="77"/>
      <c r="BJ607" s="77"/>
      <c r="BK607" s="77"/>
      <c r="BL607" s="77"/>
      <c r="BM607" s="78"/>
    </row>
    <row r="608">
      <c r="A608" s="79">
        <v>2.7142857142857144</v>
      </c>
      <c r="B608" s="79" t="b">
        <v>0</v>
      </c>
      <c r="C608" s="79" t="b">
        <f t="shared" si="3"/>
        <v>0</v>
      </c>
      <c r="D608" s="80" t="s">
        <v>1565</v>
      </c>
      <c r="E608" s="81" t="s">
        <v>1333</v>
      </c>
      <c r="F608" s="82" t="s">
        <v>1710</v>
      </c>
      <c r="G608" s="35" t="s">
        <v>284</v>
      </c>
      <c r="H608" s="37">
        <v>-11.184661490980439</v>
      </c>
      <c r="I608" s="37">
        <v>-6.146595470797354</v>
      </c>
      <c r="J608" s="83" t="s">
        <v>2276</v>
      </c>
      <c r="K608" s="35">
        <v>24.0</v>
      </c>
      <c r="L608" s="79">
        <v>66.0</v>
      </c>
      <c r="M608" s="84">
        <v>23.0</v>
      </c>
      <c r="N608" s="84">
        <v>6.0</v>
      </c>
      <c r="O608" s="85">
        <v>-2.028216309698042</v>
      </c>
      <c r="P608" s="85">
        <v>-2.5138305655207844</v>
      </c>
      <c r="Q608" s="96" t="s">
        <v>69</v>
      </c>
      <c r="R608" s="85">
        <v>-0.8737461619750322</v>
      </c>
      <c r="S608" s="96" t="s">
        <v>69</v>
      </c>
      <c r="T608" s="96" t="s">
        <v>69</v>
      </c>
      <c r="U608" s="85">
        <v>-2.6002093705249227</v>
      </c>
      <c r="V608" s="96" t="s">
        <v>69</v>
      </c>
      <c r="W608" s="85">
        <v>-1.7801597019732414</v>
      </c>
      <c r="X608" s="85">
        <v>-1.3884993812884154</v>
      </c>
      <c r="Y608" s="50" t="s">
        <v>69</v>
      </c>
      <c r="Z608" s="50" t="s">
        <v>69</v>
      </c>
      <c r="AA608" s="50" t="s">
        <v>69</v>
      </c>
      <c r="AB608" s="50" t="s">
        <v>69</v>
      </c>
      <c r="AC608" s="34" t="str">
        <f t="shared" ref="AC608:AP608" si="608">LET(
  skater, IFERROR(INDEX(AllProj, MATCH($E608, AllProjNames, 0), MATCH(AC$2, AllProjCats, 0) + 1), ""),
  goalie, IFERROR(INDEX(AllGProj, MATCH($E608, AllGProjNames, 0), MATCH(AC$2, AllGProjCats, 0) + 1), ""),
  val, IF(skater &lt;&gt; "", skater, goalie),
  IF(OR($E608="", AC$2="", val=""), "", val * AC$1)
)</f>
        <v/>
      </c>
      <c r="AD608" s="34" t="str">
        <f t="shared" si="608"/>
        <v/>
      </c>
      <c r="AE608" s="34" t="str">
        <f t="shared" si="608"/>
        <v/>
      </c>
      <c r="AF608" s="34" t="str">
        <f t="shared" si="608"/>
        <v/>
      </c>
      <c r="AG608" s="34" t="str">
        <f t="shared" si="608"/>
        <v/>
      </c>
      <c r="AH608" s="34" t="str">
        <f t="shared" si="608"/>
        <v/>
      </c>
      <c r="AI608" s="34" t="str">
        <f t="shared" si="608"/>
        <v/>
      </c>
      <c r="AJ608" s="34" t="str">
        <f t="shared" si="608"/>
        <v/>
      </c>
      <c r="AK608" s="34" t="str">
        <f t="shared" si="608"/>
        <v/>
      </c>
      <c r="AL608" s="34" t="str">
        <f t="shared" si="608"/>
        <v/>
      </c>
      <c r="AM608" s="34" t="str">
        <f t="shared" si="608"/>
        <v/>
      </c>
      <c r="AN608" s="34" t="str">
        <f t="shared" si="608"/>
        <v/>
      </c>
      <c r="AO608" s="34" t="str">
        <f t="shared" si="608"/>
        <v/>
      </c>
      <c r="AP608" s="34" t="str">
        <f t="shared" si="608"/>
        <v/>
      </c>
      <c r="AQ608" s="76" t="s">
        <v>648</v>
      </c>
      <c r="AR608" s="77"/>
      <c r="AS608" s="77"/>
      <c r="AT608" s="77"/>
      <c r="AU608" s="77"/>
      <c r="AV608" s="77"/>
      <c r="AW608" s="77"/>
      <c r="AX608" s="77"/>
      <c r="AY608" s="77"/>
      <c r="AZ608" s="77"/>
      <c r="BA608" s="77"/>
      <c r="BB608" s="77"/>
      <c r="BC608" s="77"/>
      <c r="BD608" s="77"/>
      <c r="BE608" s="77"/>
      <c r="BF608" s="77"/>
      <c r="BG608" s="77"/>
      <c r="BH608" s="77"/>
      <c r="BI608" s="77"/>
      <c r="BJ608" s="77"/>
      <c r="BK608" s="77"/>
      <c r="BL608" s="77"/>
      <c r="BM608" s="78"/>
    </row>
    <row r="609">
      <c r="A609" s="41">
        <v>2.5714285714285716</v>
      </c>
      <c r="B609" s="41" t="b">
        <v>0</v>
      </c>
      <c r="C609" s="41" t="b">
        <f t="shared" si="3"/>
        <v>0</v>
      </c>
      <c r="D609" s="42" t="s">
        <v>1565</v>
      </c>
      <c r="E609" s="43" t="s">
        <v>998</v>
      </c>
      <c r="F609" s="44" t="s">
        <v>1419</v>
      </c>
      <c r="G609" s="29" t="s">
        <v>835</v>
      </c>
      <c r="H609" s="32">
        <v>-11.210288154412128</v>
      </c>
      <c r="I609" s="32">
        <v>-5.822408029499389</v>
      </c>
      <c r="J609" s="45" t="s">
        <v>2277</v>
      </c>
      <c r="K609" s="29">
        <v>31.3</v>
      </c>
      <c r="L609" s="41">
        <v>75.71428571428571</v>
      </c>
      <c r="M609" s="46">
        <v>23.0</v>
      </c>
      <c r="N609" s="46">
        <v>7.0</v>
      </c>
      <c r="O609" s="47">
        <v>-1.2880428077205226</v>
      </c>
      <c r="P609" s="47">
        <v>-1.803923572933126</v>
      </c>
      <c r="Q609" s="47">
        <v>0.2630656646355087</v>
      </c>
      <c r="R609" s="47">
        <v>-2.0638763285724697</v>
      </c>
      <c r="S609" s="47">
        <v>-1.72461069241107</v>
      </c>
      <c r="T609" s="47">
        <v>-0.16952108464970286</v>
      </c>
      <c r="U609" s="47">
        <v>-1.7504415931602249</v>
      </c>
      <c r="V609" s="47">
        <v>0.0</v>
      </c>
      <c r="W609" s="47">
        <v>-0.5652916889012234</v>
      </c>
      <c r="X609" s="47">
        <v>-2.1076460506992962</v>
      </c>
      <c r="Y609" s="50" t="s">
        <v>69</v>
      </c>
      <c r="Z609" s="50" t="s">
        <v>69</v>
      </c>
      <c r="AA609" s="50" t="s">
        <v>69</v>
      </c>
      <c r="AB609" s="50" t="s">
        <v>69</v>
      </c>
      <c r="AC609" s="34" t="str">
        <f t="shared" ref="AC609:AP609" si="609">LET(
  skater, IFERROR(INDEX(AllProj, MATCH($E609, AllProjNames, 0), MATCH(AC$2, AllProjCats, 0) + 1), ""),
  goalie, IFERROR(INDEX(AllGProj, MATCH($E609, AllGProjNames, 0), MATCH(AC$2, AllGProjCats, 0) + 1), ""),
  val, IF(skater &lt;&gt; "", skater, goalie),
  IF(OR($E609="", AC$2="", val=""), "", val * AC$1)
)</f>
        <v/>
      </c>
      <c r="AD609" s="34" t="str">
        <f t="shared" si="609"/>
        <v/>
      </c>
      <c r="AE609" s="34" t="str">
        <f t="shared" si="609"/>
        <v/>
      </c>
      <c r="AF609" s="34" t="str">
        <f t="shared" si="609"/>
        <v/>
      </c>
      <c r="AG609" s="34" t="str">
        <f t="shared" si="609"/>
        <v/>
      </c>
      <c r="AH609" s="34" t="str">
        <f t="shared" si="609"/>
        <v/>
      </c>
      <c r="AI609" s="34" t="str">
        <f t="shared" si="609"/>
        <v/>
      </c>
      <c r="AJ609" s="34" t="str">
        <f t="shared" si="609"/>
        <v/>
      </c>
      <c r="AK609" s="34" t="str">
        <f t="shared" si="609"/>
        <v/>
      </c>
      <c r="AL609" s="34" t="str">
        <f t="shared" si="609"/>
        <v/>
      </c>
      <c r="AM609" s="34" t="str">
        <f t="shared" si="609"/>
        <v/>
      </c>
      <c r="AN609" s="34" t="str">
        <f t="shared" si="609"/>
        <v/>
      </c>
      <c r="AO609" s="34" t="str">
        <f t="shared" si="609"/>
        <v/>
      </c>
      <c r="AP609" s="34" t="str">
        <f t="shared" si="609"/>
        <v/>
      </c>
      <c r="AQ609" s="76" t="s">
        <v>649</v>
      </c>
      <c r="AR609" s="77"/>
      <c r="AS609" s="77"/>
      <c r="AT609" s="77"/>
      <c r="AU609" s="77"/>
      <c r="AV609" s="77"/>
      <c r="AW609" s="77"/>
      <c r="AX609" s="77"/>
      <c r="AY609" s="77"/>
      <c r="AZ609" s="77"/>
      <c r="BA609" s="77"/>
      <c r="BB609" s="77"/>
      <c r="BC609" s="77"/>
      <c r="BD609" s="77"/>
      <c r="BE609" s="77"/>
      <c r="BF609" s="77"/>
      <c r="BG609" s="77"/>
      <c r="BH609" s="77"/>
      <c r="BI609" s="77"/>
      <c r="BJ609" s="77"/>
      <c r="BK609" s="77"/>
      <c r="BL609" s="77"/>
      <c r="BM609" s="78"/>
    </row>
    <row r="610">
      <c r="A610" s="79">
        <v>2.642857142857143</v>
      </c>
      <c r="B610" s="79" t="b">
        <v>0</v>
      </c>
      <c r="C610" s="79" t="b">
        <f t="shared" si="3"/>
        <v>0</v>
      </c>
      <c r="D610" s="80" t="s">
        <v>1565</v>
      </c>
      <c r="E610" s="81" t="s">
        <v>1281</v>
      </c>
      <c r="F610" s="82" t="s">
        <v>1043</v>
      </c>
      <c r="G610" s="35" t="s">
        <v>832</v>
      </c>
      <c r="H610" s="37">
        <v>-11.24740193791153</v>
      </c>
      <c r="I610" s="37">
        <v>-5.8052643291836725</v>
      </c>
      <c r="J610" s="83" t="s">
        <v>2278</v>
      </c>
      <c r="K610" s="35">
        <v>23.2</v>
      </c>
      <c r="L610" s="79">
        <v>77.08200000000001</v>
      </c>
      <c r="M610" s="84">
        <v>28.0</v>
      </c>
      <c r="N610" s="84">
        <v>6.0</v>
      </c>
      <c r="O610" s="85">
        <v>-0.9003253186456589</v>
      </c>
      <c r="P610" s="85">
        <v>-0.6930918774565806</v>
      </c>
      <c r="Q610" s="85">
        <v>-1.2910036114876056</v>
      </c>
      <c r="R610" s="85">
        <v>-1.6941525294277073</v>
      </c>
      <c r="S610" s="85">
        <v>-1.1004210405700836</v>
      </c>
      <c r="T610" s="85">
        <v>-0.7849323247846122</v>
      </c>
      <c r="U610" s="85">
        <v>-1.2079793774745244</v>
      </c>
      <c r="V610" s="85">
        <v>0.0</v>
      </c>
      <c r="W610" s="85">
        <v>-1.9510655047604264</v>
      </c>
      <c r="X610" s="85">
        <v>-1.6244303533043316</v>
      </c>
      <c r="Y610" s="50" t="s">
        <v>69</v>
      </c>
      <c r="Z610" s="50" t="s">
        <v>69</v>
      </c>
      <c r="AA610" s="50" t="s">
        <v>69</v>
      </c>
      <c r="AB610" s="50" t="s">
        <v>69</v>
      </c>
      <c r="AC610" s="34" t="str">
        <f t="shared" ref="AC610:AP610" si="610">LET(
  skater, IFERROR(INDEX(AllProj, MATCH($E610, AllProjNames, 0), MATCH(AC$2, AllProjCats, 0) + 1), ""),
  goalie, IFERROR(INDEX(AllGProj, MATCH($E610, AllGProjNames, 0), MATCH(AC$2, AllGProjCats, 0) + 1), ""),
  val, IF(skater &lt;&gt; "", skater, goalie),
  IF(OR($E610="", AC$2="", val=""), "", val * AC$1)
)</f>
        <v/>
      </c>
      <c r="AD610" s="34" t="str">
        <f t="shared" si="610"/>
        <v/>
      </c>
      <c r="AE610" s="34" t="str">
        <f t="shared" si="610"/>
        <v/>
      </c>
      <c r="AF610" s="34" t="str">
        <f t="shared" si="610"/>
        <v/>
      </c>
      <c r="AG610" s="34" t="str">
        <f t="shared" si="610"/>
        <v/>
      </c>
      <c r="AH610" s="34" t="str">
        <f t="shared" si="610"/>
        <v/>
      </c>
      <c r="AI610" s="34" t="str">
        <f t="shared" si="610"/>
        <v/>
      </c>
      <c r="AJ610" s="34" t="str">
        <f t="shared" si="610"/>
        <v/>
      </c>
      <c r="AK610" s="34" t="str">
        <f t="shared" si="610"/>
        <v/>
      </c>
      <c r="AL610" s="34" t="str">
        <f t="shared" si="610"/>
        <v/>
      </c>
      <c r="AM610" s="34" t="str">
        <f t="shared" si="610"/>
        <v/>
      </c>
      <c r="AN610" s="34" t="str">
        <f t="shared" si="610"/>
        <v/>
      </c>
      <c r="AO610" s="34" t="str">
        <f t="shared" si="610"/>
        <v/>
      </c>
      <c r="AP610" s="34" t="str">
        <f t="shared" si="610"/>
        <v/>
      </c>
      <c r="AQ610" s="76" t="s">
        <v>650</v>
      </c>
      <c r="AR610" s="77"/>
      <c r="AS610" s="77"/>
      <c r="AT610" s="77"/>
      <c r="AU610" s="77"/>
      <c r="AV610" s="77"/>
      <c r="AW610" s="77"/>
      <c r="AX610" s="77"/>
      <c r="AY610" s="77"/>
      <c r="AZ610" s="77"/>
      <c r="BA610" s="77"/>
      <c r="BB610" s="77"/>
      <c r="BC610" s="77"/>
      <c r="BD610" s="77"/>
      <c r="BE610" s="77"/>
      <c r="BF610" s="77"/>
      <c r="BG610" s="77"/>
      <c r="BH610" s="77"/>
      <c r="BI610" s="77"/>
      <c r="BJ610" s="77"/>
      <c r="BK610" s="77"/>
      <c r="BL610" s="77"/>
      <c r="BM610" s="78"/>
    </row>
    <row r="611">
      <c r="A611" s="41">
        <v>2.7142857142857144</v>
      </c>
      <c r="B611" s="41" t="b">
        <v>0</v>
      </c>
      <c r="C611" s="41" t="b">
        <f t="shared" si="3"/>
        <v>0</v>
      </c>
      <c r="D611" s="42" t="s">
        <v>1565</v>
      </c>
      <c r="E611" s="43" t="s">
        <v>1327</v>
      </c>
      <c r="F611" s="44" t="s">
        <v>1426</v>
      </c>
      <c r="G611" s="29" t="s">
        <v>284</v>
      </c>
      <c r="H611" s="32">
        <v>-11.293925321344812</v>
      </c>
      <c r="I611" s="32">
        <v>-6.255859301161727</v>
      </c>
      <c r="J611" s="45" t="s">
        <v>2279</v>
      </c>
      <c r="K611" s="29">
        <v>27.8</v>
      </c>
      <c r="L611" s="41">
        <v>79.8364705882353</v>
      </c>
      <c r="M611" s="46">
        <v>23.0</v>
      </c>
      <c r="N611" s="46">
        <v>6.0</v>
      </c>
      <c r="O611" s="47">
        <v>-0.6884692701368602</v>
      </c>
      <c r="P611" s="47">
        <v>-0.43270063383609964</v>
      </c>
      <c r="Q611" s="47">
        <v>-1.2675116415340184</v>
      </c>
      <c r="R611" s="47">
        <v>-1.699789731370445</v>
      </c>
      <c r="S611" s="47">
        <v>-0.7519026184960231</v>
      </c>
      <c r="T611" s="47">
        <v>-0.7836692397917715</v>
      </c>
      <c r="U611" s="47">
        <v>-1.6459420347470088</v>
      </c>
      <c r="V611" s="47">
        <v>0.0</v>
      </c>
      <c r="W611" s="47">
        <v>-2.100187767441637</v>
      </c>
      <c r="X611" s="47">
        <v>-1.9237523839909485</v>
      </c>
      <c r="Y611" s="50" t="s">
        <v>69</v>
      </c>
      <c r="Z611" s="50" t="s">
        <v>69</v>
      </c>
      <c r="AA611" s="50" t="s">
        <v>69</v>
      </c>
      <c r="AB611" s="50" t="s">
        <v>69</v>
      </c>
      <c r="AC611" s="34" t="str">
        <f t="shared" ref="AC611:AP611" si="611">LET(
  skater, IFERROR(INDEX(AllProj, MATCH($E611, AllProjNames, 0), MATCH(AC$2, AllProjCats, 0) + 1), ""),
  goalie, IFERROR(INDEX(AllGProj, MATCH($E611, AllGProjNames, 0), MATCH(AC$2, AllGProjCats, 0) + 1), ""),
  val, IF(skater &lt;&gt; "", skater, goalie),
  IF(OR($E611="", AC$2="", val=""), "", val * AC$1)
)</f>
        <v/>
      </c>
      <c r="AD611" s="34" t="str">
        <f t="shared" si="611"/>
        <v/>
      </c>
      <c r="AE611" s="34" t="str">
        <f t="shared" si="611"/>
        <v/>
      </c>
      <c r="AF611" s="34" t="str">
        <f t="shared" si="611"/>
        <v/>
      </c>
      <c r="AG611" s="34" t="str">
        <f t="shared" si="611"/>
        <v/>
      </c>
      <c r="AH611" s="34" t="str">
        <f t="shared" si="611"/>
        <v/>
      </c>
      <c r="AI611" s="34" t="str">
        <f t="shared" si="611"/>
        <v/>
      </c>
      <c r="AJ611" s="34" t="str">
        <f t="shared" si="611"/>
        <v/>
      </c>
      <c r="AK611" s="34" t="str">
        <f t="shared" si="611"/>
        <v/>
      </c>
      <c r="AL611" s="34" t="str">
        <f t="shared" si="611"/>
        <v/>
      </c>
      <c r="AM611" s="34" t="str">
        <f t="shared" si="611"/>
        <v/>
      </c>
      <c r="AN611" s="34" t="str">
        <f t="shared" si="611"/>
        <v/>
      </c>
      <c r="AO611" s="34" t="str">
        <f t="shared" si="611"/>
        <v/>
      </c>
      <c r="AP611" s="34" t="str">
        <f t="shared" si="611"/>
        <v/>
      </c>
      <c r="AQ611" s="76" t="s">
        <v>651</v>
      </c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 s="77"/>
      <c r="BH611" s="77"/>
      <c r="BI611" s="77"/>
      <c r="BJ611" s="77"/>
      <c r="BK611" s="77"/>
      <c r="BL611" s="77"/>
      <c r="BM611" s="78"/>
    </row>
    <row r="612">
      <c r="A612" s="79">
        <v>2.7142857142857144</v>
      </c>
      <c r="B612" s="79" t="b">
        <v>0</v>
      </c>
      <c r="C612" s="79" t="b">
        <f t="shared" si="3"/>
        <v>0</v>
      </c>
      <c r="D612" s="80" t="s">
        <v>1565</v>
      </c>
      <c r="E612" s="81" t="s">
        <v>1334</v>
      </c>
      <c r="F612" s="82" t="s">
        <v>1451</v>
      </c>
      <c r="G612" s="35" t="s">
        <v>284</v>
      </c>
      <c r="H612" s="37">
        <v>-11.300664879556729</v>
      </c>
      <c r="I612" s="37">
        <v>-6.262598859373644</v>
      </c>
      <c r="J612" s="83" t="s">
        <v>2280</v>
      </c>
      <c r="K612" s="35">
        <v>31.4</v>
      </c>
      <c r="L612" s="79">
        <v>81.00958333333334</v>
      </c>
      <c r="M612" s="84">
        <v>29.0</v>
      </c>
      <c r="N612" s="84">
        <v>7.0</v>
      </c>
      <c r="O612" s="85">
        <v>-1.2750019899524458</v>
      </c>
      <c r="P612" s="85">
        <v>-1.2592529540242545</v>
      </c>
      <c r="Q612" s="85">
        <v>-1.9222948582842734</v>
      </c>
      <c r="R612" s="85">
        <v>-1.3415843870339417</v>
      </c>
      <c r="S612" s="85">
        <v>-1.336572880359028</v>
      </c>
      <c r="T612" s="85">
        <v>-0.32954569782303395</v>
      </c>
      <c r="U612" s="85">
        <v>-1.7389305253732577</v>
      </c>
      <c r="V612" s="85">
        <v>1.0061509678563685</v>
      </c>
      <c r="W612" s="85">
        <v>-2.0896768607487486</v>
      </c>
      <c r="X612" s="85">
        <v>-1.013955693814116</v>
      </c>
      <c r="Y612" s="50" t="s">
        <v>69</v>
      </c>
      <c r="Z612" s="50" t="s">
        <v>69</v>
      </c>
      <c r="AA612" s="50" t="s">
        <v>69</v>
      </c>
      <c r="AB612" s="50" t="s">
        <v>69</v>
      </c>
      <c r="AC612" s="34" t="str">
        <f t="shared" ref="AC612:AP612" si="612">LET(
  skater, IFERROR(INDEX(AllProj, MATCH($E612, AllProjNames, 0), MATCH(AC$2, AllProjCats, 0) + 1), ""),
  goalie, IFERROR(INDEX(AllGProj, MATCH($E612, AllGProjNames, 0), MATCH(AC$2, AllGProjCats, 0) + 1), ""),
  val, IF(skater &lt;&gt; "", skater, goalie),
  IF(OR($E612="", AC$2="", val=""), "", val * AC$1)
)</f>
        <v/>
      </c>
      <c r="AD612" s="34" t="str">
        <f t="shared" si="612"/>
        <v/>
      </c>
      <c r="AE612" s="34" t="str">
        <f t="shared" si="612"/>
        <v/>
      </c>
      <c r="AF612" s="34" t="str">
        <f t="shared" si="612"/>
        <v/>
      </c>
      <c r="AG612" s="34" t="str">
        <f t="shared" si="612"/>
        <v/>
      </c>
      <c r="AH612" s="34" t="str">
        <f t="shared" si="612"/>
        <v/>
      </c>
      <c r="AI612" s="34" t="str">
        <f t="shared" si="612"/>
        <v/>
      </c>
      <c r="AJ612" s="34" t="str">
        <f t="shared" si="612"/>
        <v/>
      </c>
      <c r="AK612" s="34" t="str">
        <f t="shared" si="612"/>
        <v/>
      </c>
      <c r="AL612" s="34" t="str">
        <f t="shared" si="612"/>
        <v/>
      </c>
      <c r="AM612" s="34" t="str">
        <f t="shared" si="612"/>
        <v/>
      </c>
      <c r="AN612" s="34" t="str">
        <f t="shared" si="612"/>
        <v/>
      </c>
      <c r="AO612" s="34" t="str">
        <f t="shared" si="612"/>
        <v/>
      </c>
      <c r="AP612" s="34" t="str">
        <f t="shared" si="612"/>
        <v/>
      </c>
      <c r="AQ612" s="76" t="s">
        <v>652</v>
      </c>
      <c r="AR612" s="77"/>
      <c r="AS612" s="77"/>
      <c r="AT612" s="77"/>
      <c r="AU612" s="77"/>
      <c r="AV612" s="77"/>
      <c r="AW612" s="77"/>
      <c r="AX612" s="77"/>
      <c r="AY612" s="77"/>
      <c r="AZ612" s="77"/>
      <c r="BA612" s="77"/>
      <c r="BB612" s="77"/>
      <c r="BC612" s="77"/>
      <c r="BD612" s="77"/>
      <c r="BE612" s="77"/>
      <c r="BF612" s="77"/>
      <c r="BG612" s="77"/>
      <c r="BH612" s="77"/>
      <c r="BI612" s="77"/>
      <c r="BJ612" s="77"/>
      <c r="BK612" s="77"/>
      <c r="BL612" s="77"/>
      <c r="BM612" s="78"/>
    </row>
    <row r="613">
      <c r="A613" s="41">
        <v>2.642857142857143</v>
      </c>
      <c r="B613" s="41" t="b">
        <v>0</v>
      </c>
      <c r="C613" s="41" t="b">
        <f t="shared" si="3"/>
        <v>0</v>
      </c>
      <c r="D613" s="42" t="s">
        <v>1565</v>
      </c>
      <c r="E613" s="43" t="s">
        <v>1188</v>
      </c>
      <c r="F613" s="44" t="s">
        <v>1505</v>
      </c>
      <c r="G613" s="29" t="s">
        <v>837</v>
      </c>
      <c r="H613" s="32">
        <v>-11.362703495441094</v>
      </c>
      <c r="I613" s="32">
        <v>-5.832844723512193</v>
      </c>
      <c r="J613" s="45" t="s">
        <v>2281</v>
      </c>
      <c r="K613" s="29">
        <v>21.6</v>
      </c>
      <c r="L613" s="41">
        <v>70.8</v>
      </c>
      <c r="M613" s="46">
        <v>30.0</v>
      </c>
      <c r="N613" s="46">
        <v>5.0</v>
      </c>
      <c r="O613" s="47">
        <v>-2.1539739435291736</v>
      </c>
      <c r="P613" s="47">
        <v>-1.7765480745261513</v>
      </c>
      <c r="Q613" s="47">
        <v>-0.058349553772084436</v>
      </c>
      <c r="R613" s="47">
        <v>-0.9732197281384002</v>
      </c>
      <c r="S613" s="47">
        <v>-1.7199434478887383</v>
      </c>
      <c r="T613" s="47">
        <v>-0.7871777123417198</v>
      </c>
      <c r="U613" s="47">
        <v>-2.1171627221389575</v>
      </c>
      <c r="V613" s="47">
        <v>0.0</v>
      </c>
      <c r="W613" s="47">
        <v>-1.4449146782214162</v>
      </c>
      <c r="X613" s="47">
        <v>-0.33141363488445413</v>
      </c>
      <c r="Y613" s="50" t="s">
        <v>69</v>
      </c>
      <c r="Z613" s="50" t="s">
        <v>69</v>
      </c>
      <c r="AA613" s="50" t="s">
        <v>69</v>
      </c>
      <c r="AB613" s="50" t="s">
        <v>69</v>
      </c>
      <c r="AC613" s="34" t="str">
        <f t="shared" ref="AC613:AP613" si="613">LET(
  skater, IFERROR(INDEX(AllProj, MATCH($E613, AllProjNames, 0), MATCH(AC$2, AllProjCats, 0) + 1), ""),
  goalie, IFERROR(INDEX(AllGProj, MATCH($E613, AllGProjNames, 0), MATCH(AC$2, AllGProjCats, 0) + 1), ""),
  val, IF(skater &lt;&gt; "", skater, goalie),
  IF(OR($E613="", AC$2="", val=""), "", val * AC$1)
)</f>
        <v/>
      </c>
      <c r="AD613" s="34" t="str">
        <f t="shared" si="613"/>
        <v/>
      </c>
      <c r="AE613" s="34" t="str">
        <f t="shared" si="613"/>
        <v/>
      </c>
      <c r="AF613" s="34" t="str">
        <f t="shared" si="613"/>
        <v/>
      </c>
      <c r="AG613" s="34" t="str">
        <f t="shared" si="613"/>
        <v/>
      </c>
      <c r="AH613" s="34" t="str">
        <f t="shared" si="613"/>
        <v/>
      </c>
      <c r="AI613" s="34" t="str">
        <f t="shared" si="613"/>
        <v/>
      </c>
      <c r="AJ613" s="34" t="str">
        <f t="shared" si="613"/>
        <v/>
      </c>
      <c r="AK613" s="34" t="str">
        <f t="shared" si="613"/>
        <v/>
      </c>
      <c r="AL613" s="34" t="str">
        <f t="shared" si="613"/>
        <v/>
      </c>
      <c r="AM613" s="34" t="str">
        <f t="shared" si="613"/>
        <v/>
      </c>
      <c r="AN613" s="34" t="str">
        <f t="shared" si="613"/>
        <v/>
      </c>
      <c r="AO613" s="34" t="str">
        <f t="shared" si="613"/>
        <v/>
      </c>
      <c r="AP613" s="34" t="str">
        <f t="shared" si="613"/>
        <v/>
      </c>
      <c r="AQ613" s="76" t="s">
        <v>653</v>
      </c>
      <c r="AR613" s="77"/>
      <c r="AS613" s="77"/>
      <c r="AT613" s="77"/>
      <c r="AU613" s="77"/>
      <c r="AV613" s="77"/>
      <c r="AW613" s="77"/>
      <c r="AX613" s="77"/>
      <c r="AY613" s="77"/>
      <c r="AZ613" s="77"/>
      <c r="BA613" s="77"/>
      <c r="BB613" s="77"/>
      <c r="BC613" s="77"/>
      <c r="BD613" s="77"/>
      <c r="BE613" s="77"/>
      <c r="BF613" s="77"/>
      <c r="BG613" s="77"/>
      <c r="BH613" s="77"/>
      <c r="BI613" s="77"/>
      <c r="BJ613" s="77"/>
      <c r="BK613" s="77"/>
      <c r="BL613" s="77"/>
      <c r="BM613" s="78"/>
    </row>
    <row r="614">
      <c r="A614" s="79">
        <v>2.7857142857142856</v>
      </c>
      <c r="B614" s="79" t="b">
        <v>0</v>
      </c>
      <c r="C614" s="79" t="b">
        <f t="shared" si="3"/>
        <v>0</v>
      </c>
      <c r="D614" s="80" t="s">
        <v>1565</v>
      </c>
      <c r="E614" s="81" t="s">
        <v>1370</v>
      </c>
      <c r="F614" s="82" t="s">
        <v>1710</v>
      </c>
      <c r="G614" s="35" t="s">
        <v>284</v>
      </c>
      <c r="H614" s="37">
        <v>-11.379399076728212</v>
      </c>
      <c r="I614" s="37">
        <v>-6.341333056545127</v>
      </c>
      <c r="J614" s="83" t="s">
        <v>2282</v>
      </c>
      <c r="K614" s="35">
        <v>33.2</v>
      </c>
      <c r="L614" s="79">
        <v>79.93458333333334</v>
      </c>
      <c r="M614" s="84">
        <v>23.0</v>
      </c>
      <c r="N614" s="84">
        <v>6.0</v>
      </c>
      <c r="O614" s="85">
        <v>-1.2724048122817606</v>
      </c>
      <c r="P614" s="85">
        <v>-0.9976980365585072</v>
      </c>
      <c r="Q614" s="85">
        <v>-2.5901357117249857</v>
      </c>
      <c r="R614" s="85">
        <v>0.3133960960532154</v>
      </c>
      <c r="S614" s="85">
        <v>-1.2156284121798235</v>
      </c>
      <c r="T614" s="85">
        <v>-0.7716346797733514</v>
      </c>
      <c r="U614" s="85">
        <v>-1.4835324685150473</v>
      </c>
      <c r="V614" s="85">
        <v>0.3492951137522264</v>
      </c>
      <c r="W614" s="85">
        <v>-1.8131748674051276</v>
      </c>
      <c r="X614" s="85">
        <v>-1.8978812980950501</v>
      </c>
      <c r="Y614" s="50" t="s">
        <v>69</v>
      </c>
      <c r="Z614" s="50" t="s">
        <v>69</v>
      </c>
      <c r="AA614" s="50" t="s">
        <v>69</v>
      </c>
      <c r="AB614" s="50" t="s">
        <v>69</v>
      </c>
      <c r="AC614" s="34" t="str">
        <f t="shared" ref="AC614:AP614" si="614">LET(
  skater, IFERROR(INDEX(AllProj, MATCH($E614, AllProjNames, 0), MATCH(AC$2, AllProjCats, 0) + 1), ""),
  goalie, IFERROR(INDEX(AllGProj, MATCH($E614, AllGProjNames, 0), MATCH(AC$2, AllGProjCats, 0) + 1), ""),
  val, IF(skater &lt;&gt; "", skater, goalie),
  IF(OR($E614="", AC$2="", val=""), "", val * AC$1)
)</f>
        <v/>
      </c>
      <c r="AD614" s="34" t="str">
        <f t="shared" si="614"/>
        <v/>
      </c>
      <c r="AE614" s="34" t="str">
        <f t="shared" si="614"/>
        <v/>
      </c>
      <c r="AF614" s="34" t="str">
        <f t="shared" si="614"/>
        <v/>
      </c>
      <c r="AG614" s="34" t="str">
        <f t="shared" si="614"/>
        <v/>
      </c>
      <c r="AH614" s="34" t="str">
        <f t="shared" si="614"/>
        <v/>
      </c>
      <c r="AI614" s="34" t="str">
        <f t="shared" si="614"/>
        <v/>
      </c>
      <c r="AJ614" s="34" t="str">
        <f t="shared" si="614"/>
        <v/>
      </c>
      <c r="AK614" s="34" t="str">
        <f t="shared" si="614"/>
        <v/>
      </c>
      <c r="AL614" s="34" t="str">
        <f t="shared" si="614"/>
        <v/>
      </c>
      <c r="AM614" s="34" t="str">
        <f t="shared" si="614"/>
        <v/>
      </c>
      <c r="AN614" s="34" t="str">
        <f t="shared" si="614"/>
        <v/>
      </c>
      <c r="AO614" s="34" t="str">
        <f t="shared" si="614"/>
        <v/>
      </c>
      <c r="AP614" s="34" t="str">
        <f t="shared" si="614"/>
        <v/>
      </c>
      <c r="AQ614" s="76" t="s">
        <v>654</v>
      </c>
      <c r="AR614" s="77"/>
      <c r="AS614" s="77"/>
      <c r="AT614" s="77"/>
      <c r="AU614" s="77"/>
      <c r="AV614" s="77"/>
      <c r="AW614" s="77"/>
      <c r="AX614" s="77"/>
      <c r="AY614" s="77"/>
      <c r="AZ614" s="77"/>
      <c r="BA614" s="77"/>
      <c r="BB614" s="77"/>
      <c r="BC614" s="77"/>
      <c r="BD614" s="77"/>
      <c r="BE614" s="77"/>
      <c r="BF614" s="77"/>
      <c r="BG614" s="77"/>
      <c r="BH614" s="77"/>
      <c r="BI614" s="77"/>
      <c r="BJ614" s="77"/>
      <c r="BK614" s="77"/>
      <c r="BL614" s="77"/>
      <c r="BM614" s="78"/>
    </row>
    <row r="615">
      <c r="A615" s="41">
        <v>2.7142857142857144</v>
      </c>
      <c r="B615" s="41" t="b">
        <v>0</v>
      </c>
      <c r="C615" s="41" t="b">
        <f t="shared" si="3"/>
        <v>0</v>
      </c>
      <c r="D615" s="42" t="s">
        <v>1565</v>
      </c>
      <c r="E615" s="43" t="s">
        <v>1314</v>
      </c>
      <c r="F615" s="44" t="s">
        <v>1426</v>
      </c>
      <c r="G615" s="29" t="s">
        <v>837</v>
      </c>
      <c r="H615" s="32">
        <v>-11.386515064226646</v>
      </c>
      <c r="I615" s="32">
        <v>-5.856656292297745</v>
      </c>
      <c r="J615" s="45" t="s">
        <v>2283</v>
      </c>
      <c r="K615" s="29">
        <v>25.7</v>
      </c>
      <c r="L615" s="41">
        <v>78.56678571428571</v>
      </c>
      <c r="M615" s="46">
        <v>23.0</v>
      </c>
      <c r="N615" s="46">
        <v>6.0</v>
      </c>
      <c r="O615" s="47">
        <v>-1.9041905188790549</v>
      </c>
      <c r="P615" s="47">
        <v>-1.0365690917467796</v>
      </c>
      <c r="Q615" s="47">
        <v>-1.7788350599239733</v>
      </c>
      <c r="R615" s="47">
        <v>-1.3877867284729253</v>
      </c>
      <c r="S615" s="47">
        <v>-0.8186741677385693</v>
      </c>
      <c r="T615" s="47">
        <v>-0.7804401026118492</v>
      </c>
      <c r="U615" s="47">
        <v>-1.9272895770822809</v>
      </c>
      <c r="V615" s="47">
        <v>0.0</v>
      </c>
      <c r="W615" s="47">
        <v>-1.9603361084432545</v>
      </c>
      <c r="X615" s="47">
        <v>0.20760629067204187</v>
      </c>
      <c r="Y615" s="50" t="s">
        <v>69</v>
      </c>
      <c r="Z615" s="50" t="s">
        <v>69</v>
      </c>
      <c r="AA615" s="50" t="s">
        <v>69</v>
      </c>
      <c r="AB615" s="50" t="s">
        <v>69</v>
      </c>
      <c r="AC615" s="34" t="str">
        <f t="shared" ref="AC615:AP615" si="615">LET(
  skater, IFERROR(INDEX(AllProj, MATCH($E615, AllProjNames, 0), MATCH(AC$2, AllProjCats, 0) + 1), ""),
  goalie, IFERROR(INDEX(AllGProj, MATCH($E615, AllGProjNames, 0), MATCH(AC$2, AllGProjCats, 0) + 1), ""),
  val, IF(skater &lt;&gt; "", skater, goalie),
  IF(OR($E615="", AC$2="", val=""), "", val * AC$1)
)</f>
        <v/>
      </c>
      <c r="AD615" s="34" t="str">
        <f t="shared" si="615"/>
        <v/>
      </c>
      <c r="AE615" s="34" t="str">
        <f t="shared" si="615"/>
        <v/>
      </c>
      <c r="AF615" s="34" t="str">
        <f t="shared" si="615"/>
        <v/>
      </c>
      <c r="AG615" s="34" t="str">
        <f t="shared" si="615"/>
        <v/>
      </c>
      <c r="AH615" s="34" t="str">
        <f t="shared" si="615"/>
        <v/>
      </c>
      <c r="AI615" s="34" t="str">
        <f t="shared" si="615"/>
        <v/>
      </c>
      <c r="AJ615" s="34" t="str">
        <f t="shared" si="615"/>
        <v/>
      </c>
      <c r="AK615" s="34" t="str">
        <f t="shared" si="615"/>
        <v/>
      </c>
      <c r="AL615" s="34" t="str">
        <f t="shared" si="615"/>
        <v/>
      </c>
      <c r="AM615" s="34" t="str">
        <f t="shared" si="615"/>
        <v/>
      </c>
      <c r="AN615" s="34" t="str">
        <f t="shared" si="615"/>
        <v/>
      </c>
      <c r="AO615" s="34" t="str">
        <f t="shared" si="615"/>
        <v/>
      </c>
      <c r="AP615" s="34" t="str">
        <f t="shared" si="615"/>
        <v/>
      </c>
      <c r="AQ615" s="76" t="s">
        <v>655</v>
      </c>
      <c r="AR615" s="77"/>
      <c r="AS615" s="77"/>
      <c r="AT615" s="77"/>
      <c r="AU615" s="77"/>
      <c r="AV615" s="77"/>
      <c r="AW615" s="77"/>
      <c r="AX615" s="77"/>
      <c r="AY615" s="77"/>
      <c r="AZ615" s="77"/>
      <c r="BA615" s="77"/>
      <c r="BB615" s="77"/>
      <c r="BC615" s="77"/>
      <c r="BD615" s="77"/>
      <c r="BE615" s="77"/>
      <c r="BF615" s="77"/>
      <c r="BG615" s="77"/>
      <c r="BH615" s="77"/>
      <c r="BI615" s="77"/>
      <c r="BJ615" s="77"/>
      <c r="BK615" s="77"/>
      <c r="BL615" s="77"/>
      <c r="BM615" s="78"/>
    </row>
    <row r="616">
      <c r="A616" s="79">
        <v>2.7142857142857144</v>
      </c>
      <c r="B616" s="79" t="b">
        <v>0</v>
      </c>
      <c r="C616" s="79" t="b">
        <f t="shared" si="3"/>
        <v>0</v>
      </c>
      <c r="D616" s="80" t="s">
        <v>1565</v>
      </c>
      <c r="E616" s="81" t="s">
        <v>1316</v>
      </c>
      <c r="F616" s="82" t="s">
        <v>930</v>
      </c>
      <c r="G616" s="35" t="s">
        <v>837</v>
      </c>
      <c r="H616" s="37">
        <v>-11.443044839409712</v>
      </c>
      <c r="I616" s="37">
        <v>-5.913186067480811</v>
      </c>
      <c r="J616" s="83" t="s">
        <v>2284</v>
      </c>
      <c r="K616" s="35">
        <v>30.1</v>
      </c>
      <c r="L616" s="79">
        <v>83.0</v>
      </c>
      <c r="M616" s="84">
        <v>29.0</v>
      </c>
      <c r="N616" s="84">
        <v>7.0</v>
      </c>
      <c r="O616" s="85">
        <v>-2.028216309698042</v>
      </c>
      <c r="P616" s="85">
        <v>-1.133455857711449</v>
      </c>
      <c r="Q616" s="85">
        <v>-2.6276862099030516</v>
      </c>
      <c r="R616" s="85">
        <v>-0.8737461619750322</v>
      </c>
      <c r="S616" s="85">
        <v>-0.7911617879447048</v>
      </c>
      <c r="T616" s="85">
        <v>-0.7871777123417198</v>
      </c>
      <c r="U616" s="85">
        <v>-1.7491271805115558</v>
      </c>
      <c r="V616" s="85">
        <v>0.0</v>
      </c>
      <c r="W616" s="85">
        <v>-0.6326217233606365</v>
      </c>
      <c r="X616" s="85">
        <v>-0.8198518959635213</v>
      </c>
      <c r="Y616" s="50" t="s">
        <v>69</v>
      </c>
      <c r="Z616" s="50" t="s">
        <v>69</v>
      </c>
      <c r="AA616" s="50" t="s">
        <v>69</v>
      </c>
      <c r="AB616" s="50" t="s">
        <v>69</v>
      </c>
      <c r="AC616" s="34" t="str">
        <f t="shared" ref="AC616:AP616" si="616">LET(
  skater, IFERROR(INDEX(AllProj, MATCH($E616, AllProjNames, 0), MATCH(AC$2, AllProjCats, 0) + 1), ""),
  goalie, IFERROR(INDEX(AllGProj, MATCH($E616, AllGProjNames, 0), MATCH(AC$2, AllGProjCats, 0) + 1), ""),
  val, IF(skater &lt;&gt; "", skater, goalie),
  IF(OR($E616="", AC$2="", val=""), "", val * AC$1)
)</f>
        <v/>
      </c>
      <c r="AD616" s="34" t="str">
        <f t="shared" si="616"/>
        <v/>
      </c>
      <c r="AE616" s="34" t="str">
        <f t="shared" si="616"/>
        <v/>
      </c>
      <c r="AF616" s="34" t="str">
        <f t="shared" si="616"/>
        <v/>
      </c>
      <c r="AG616" s="34" t="str">
        <f t="shared" si="616"/>
        <v/>
      </c>
      <c r="AH616" s="34" t="str">
        <f t="shared" si="616"/>
        <v/>
      </c>
      <c r="AI616" s="34" t="str">
        <f t="shared" si="616"/>
        <v/>
      </c>
      <c r="AJ616" s="34" t="str">
        <f t="shared" si="616"/>
        <v/>
      </c>
      <c r="AK616" s="34" t="str">
        <f t="shared" si="616"/>
        <v/>
      </c>
      <c r="AL616" s="34" t="str">
        <f t="shared" si="616"/>
        <v/>
      </c>
      <c r="AM616" s="34" t="str">
        <f t="shared" si="616"/>
        <v/>
      </c>
      <c r="AN616" s="34" t="str">
        <f t="shared" si="616"/>
        <v/>
      </c>
      <c r="AO616" s="34" t="str">
        <f t="shared" si="616"/>
        <v/>
      </c>
      <c r="AP616" s="34" t="str">
        <f t="shared" si="616"/>
        <v/>
      </c>
      <c r="AQ616" s="76" t="s">
        <v>656</v>
      </c>
      <c r="AR616" s="77"/>
      <c r="AS616" s="77"/>
      <c r="AT616" s="77"/>
      <c r="AU616" s="77"/>
      <c r="AV616" s="77"/>
      <c r="AW616" s="77"/>
      <c r="AX616" s="77"/>
      <c r="AY616" s="77"/>
      <c r="AZ616" s="77"/>
      <c r="BA616" s="77"/>
      <c r="BB616" s="77"/>
      <c r="BC616" s="77"/>
      <c r="BD616" s="77"/>
      <c r="BE616" s="77"/>
      <c r="BF616" s="77"/>
      <c r="BG616" s="77"/>
      <c r="BH616" s="77"/>
      <c r="BI616" s="77"/>
      <c r="BJ616" s="77"/>
      <c r="BK616" s="77"/>
      <c r="BL616" s="77"/>
      <c r="BM616" s="78"/>
    </row>
    <row r="617">
      <c r="A617" s="41">
        <v>2.5714285714285716</v>
      </c>
      <c r="B617" s="41" t="b">
        <v>0</v>
      </c>
      <c r="C617" s="41" t="b">
        <f t="shared" si="3"/>
        <v>0</v>
      </c>
      <c r="D617" s="42" t="s">
        <v>1565</v>
      </c>
      <c r="E617" s="43" t="s">
        <v>1086</v>
      </c>
      <c r="F617" s="44" t="s">
        <v>1779</v>
      </c>
      <c r="G617" s="29" t="s">
        <v>832</v>
      </c>
      <c r="H617" s="32">
        <v>-11.46721464437579</v>
      </c>
      <c r="I617" s="32">
        <v>-6.025077035647933</v>
      </c>
      <c r="J617" s="45" t="s">
        <v>2285</v>
      </c>
      <c r="K617" s="29">
        <v>34.4</v>
      </c>
      <c r="L617" s="41">
        <v>77.0</v>
      </c>
      <c r="M617" s="46">
        <v>27.0</v>
      </c>
      <c r="N617" s="46">
        <v>6.0</v>
      </c>
      <c r="O617" s="47">
        <v>-1.2844497324682045</v>
      </c>
      <c r="P617" s="47">
        <v>-1.5696078662293564</v>
      </c>
      <c r="Q617" s="47">
        <v>-2.2555731148713036</v>
      </c>
      <c r="R617" s="47">
        <v>-0.42966774160285387</v>
      </c>
      <c r="S617" s="47">
        <v>-1.1925448168652417</v>
      </c>
      <c r="T617" s="47">
        <v>-0.7871777123417198</v>
      </c>
      <c r="U617" s="47">
        <v>-1.1648707581780553</v>
      </c>
      <c r="V617" s="47">
        <v>0.0</v>
      </c>
      <c r="W617" s="47">
        <v>-0.93648509626877</v>
      </c>
      <c r="X617" s="47">
        <v>-1.846837805550285</v>
      </c>
      <c r="Y617" s="50" t="s">
        <v>69</v>
      </c>
      <c r="Z617" s="50" t="s">
        <v>69</v>
      </c>
      <c r="AA617" s="50" t="s">
        <v>69</v>
      </c>
      <c r="AB617" s="50" t="s">
        <v>69</v>
      </c>
      <c r="AC617" s="34" t="str">
        <f t="shared" ref="AC617:AP617" si="617">LET(
  skater, IFERROR(INDEX(AllProj, MATCH($E617, AllProjNames, 0), MATCH(AC$2, AllProjCats, 0) + 1), ""),
  goalie, IFERROR(INDEX(AllGProj, MATCH($E617, AllGProjNames, 0), MATCH(AC$2, AllGProjCats, 0) + 1), ""),
  val, IF(skater &lt;&gt; "", skater, goalie),
  IF(OR($E617="", AC$2="", val=""), "", val * AC$1)
)</f>
        <v/>
      </c>
      <c r="AD617" s="34" t="str">
        <f t="shared" si="617"/>
        <v/>
      </c>
      <c r="AE617" s="34" t="str">
        <f t="shared" si="617"/>
        <v/>
      </c>
      <c r="AF617" s="34" t="str">
        <f t="shared" si="617"/>
        <v/>
      </c>
      <c r="AG617" s="34" t="str">
        <f t="shared" si="617"/>
        <v/>
      </c>
      <c r="AH617" s="34" t="str">
        <f t="shared" si="617"/>
        <v/>
      </c>
      <c r="AI617" s="34" t="str">
        <f t="shared" si="617"/>
        <v/>
      </c>
      <c r="AJ617" s="34" t="str">
        <f t="shared" si="617"/>
        <v/>
      </c>
      <c r="AK617" s="34" t="str">
        <f t="shared" si="617"/>
        <v/>
      </c>
      <c r="AL617" s="34" t="str">
        <f t="shared" si="617"/>
        <v/>
      </c>
      <c r="AM617" s="34" t="str">
        <f t="shared" si="617"/>
        <v/>
      </c>
      <c r="AN617" s="34" t="str">
        <f t="shared" si="617"/>
        <v/>
      </c>
      <c r="AO617" s="34" t="str">
        <f t="shared" si="617"/>
        <v/>
      </c>
      <c r="AP617" s="34" t="str">
        <f t="shared" si="617"/>
        <v/>
      </c>
      <c r="AQ617" s="76" t="s">
        <v>657</v>
      </c>
      <c r="AR617" s="77"/>
      <c r="AS617" s="77"/>
      <c r="AT617" s="77"/>
      <c r="AU617" s="77"/>
      <c r="AV617" s="77"/>
      <c r="AW617" s="77"/>
      <c r="AX617" s="77"/>
      <c r="AY617" s="77"/>
      <c r="AZ617" s="77"/>
      <c r="BA617" s="77"/>
      <c r="BB617" s="77"/>
      <c r="BC617" s="77"/>
      <c r="BD617" s="77"/>
      <c r="BE617" s="77"/>
      <c r="BF617" s="77"/>
      <c r="BG617" s="77"/>
      <c r="BH617" s="77"/>
      <c r="BI617" s="77"/>
      <c r="BJ617" s="77"/>
      <c r="BK617" s="77"/>
      <c r="BL617" s="77"/>
      <c r="BM617" s="78"/>
    </row>
    <row r="618">
      <c r="A618" s="79">
        <v>2.5714285714285716</v>
      </c>
      <c r="B618" s="79" t="b">
        <v>0</v>
      </c>
      <c r="C618" s="79" t="b">
        <f t="shared" si="3"/>
        <v>0</v>
      </c>
      <c r="D618" s="80" t="s">
        <v>1565</v>
      </c>
      <c r="E618" s="81" t="s">
        <v>1062</v>
      </c>
      <c r="F618" s="82" t="s">
        <v>1439</v>
      </c>
      <c r="G618" s="35" t="s">
        <v>284</v>
      </c>
      <c r="H618" s="37">
        <v>-11.476689165925126</v>
      </c>
      <c r="I618" s="37">
        <v>-6.438623145742041</v>
      </c>
      <c r="J618" s="83" t="s">
        <v>2286</v>
      </c>
      <c r="K618" s="35">
        <v>32.7</v>
      </c>
      <c r="L618" s="79">
        <v>72.28571428571429</v>
      </c>
      <c r="M618" s="84">
        <v>25.0</v>
      </c>
      <c r="N618" s="84">
        <v>6.0</v>
      </c>
      <c r="O618" s="85">
        <v>-1.9994717076794974</v>
      </c>
      <c r="P618" s="85">
        <v>-1.7552044655986792</v>
      </c>
      <c r="Q618" s="85">
        <v>-1.0223352077631156</v>
      </c>
      <c r="R618" s="85">
        <v>-1.504337518903525</v>
      </c>
      <c r="S618" s="85">
        <v>-1.7106089588440747</v>
      </c>
      <c r="T618" s="85">
        <v>0.44813554304231407</v>
      </c>
      <c r="U618" s="85">
        <v>-2.4786262005230135</v>
      </c>
      <c r="V618" s="85">
        <v>0.37214652746520394</v>
      </c>
      <c r="W618" s="85">
        <v>-0.7063920219857327</v>
      </c>
      <c r="X618" s="85">
        <v>-1.1199951551350067</v>
      </c>
      <c r="Y618" s="50" t="s">
        <v>69</v>
      </c>
      <c r="Z618" s="50" t="s">
        <v>69</v>
      </c>
      <c r="AA618" s="50" t="s">
        <v>69</v>
      </c>
      <c r="AB618" s="50" t="s">
        <v>69</v>
      </c>
      <c r="AC618" s="34" t="str">
        <f t="shared" ref="AC618:AP618" si="618">LET(
  skater, IFERROR(INDEX(AllProj, MATCH($E618, AllProjNames, 0), MATCH(AC$2, AllProjCats, 0) + 1), ""),
  goalie, IFERROR(INDEX(AllGProj, MATCH($E618, AllGProjNames, 0), MATCH(AC$2, AllGProjCats, 0) + 1), ""),
  val, IF(skater &lt;&gt; "", skater, goalie),
  IF(OR($E618="", AC$2="", val=""), "", val * AC$1)
)</f>
        <v/>
      </c>
      <c r="AD618" s="34" t="str">
        <f t="shared" si="618"/>
        <v/>
      </c>
      <c r="AE618" s="34" t="str">
        <f t="shared" si="618"/>
        <v/>
      </c>
      <c r="AF618" s="34" t="str">
        <f t="shared" si="618"/>
        <v/>
      </c>
      <c r="AG618" s="34" t="str">
        <f t="shared" si="618"/>
        <v/>
      </c>
      <c r="AH618" s="34" t="str">
        <f t="shared" si="618"/>
        <v/>
      </c>
      <c r="AI618" s="34" t="str">
        <f t="shared" si="618"/>
        <v/>
      </c>
      <c r="AJ618" s="34" t="str">
        <f t="shared" si="618"/>
        <v/>
      </c>
      <c r="AK618" s="34" t="str">
        <f t="shared" si="618"/>
        <v/>
      </c>
      <c r="AL618" s="34" t="str">
        <f t="shared" si="618"/>
        <v/>
      </c>
      <c r="AM618" s="34" t="str">
        <f t="shared" si="618"/>
        <v/>
      </c>
      <c r="AN618" s="34" t="str">
        <f t="shared" si="618"/>
        <v/>
      </c>
      <c r="AO618" s="34" t="str">
        <f t="shared" si="618"/>
        <v/>
      </c>
      <c r="AP618" s="34" t="str">
        <f t="shared" si="618"/>
        <v/>
      </c>
      <c r="AQ618" s="76" t="s">
        <v>658</v>
      </c>
      <c r="AR618" s="77"/>
      <c r="AS618" s="77"/>
      <c r="AT618" s="77"/>
      <c r="AU618" s="77"/>
      <c r="AV618" s="77"/>
      <c r="AW618" s="77"/>
      <c r="AX618" s="77"/>
      <c r="AY618" s="77"/>
      <c r="AZ618" s="77"/>
      <c r="BA618" s="77"/>
      <c r="BB618" s="77"/>
      <c r="BC618" s="77"/>
      <c r="BD618" s="77"/>
      <c r="BE618" s="77"/>
      <c r="BF618" s="77"/>
      <c r="BG618" s="77"/>
      <c r="BH618" s="77"/>
      <c r="BI618" s="77"/>
      <c r="BJ618" s="77"/>
      <c r="BK618" s="77"/>
      <c r="BL618" s="77"/>
      <c r="BM618" s="78"/>
    </row>
    <row r="619">
      <c r="A619" s="41">
        <v>2.642857142857143</v>
      </c>
      <c r="B619" s="41" t="b">
        <v>0</v>
      </c>
      <c r="C619" s="41" t="b">
        <f t="shared" si="3"/>
        <v>0</v>
      </c>
      <c r="D619" s="42" t="s">
        <v>1565</v>
      </c>
      <c r="E619" s="43" t="s">
        <v>1263</v>
      </c>
      <c r="F619" s="44" t="s">
        <v>1444</v>
      </c>
      <c r="G619" s="29" t="s">
        <v>837</v>
      </c>
      <c r="H619" s="32">
        <v>-11.539276852853993</v>
      </c>
      <c r="I619" s="32">
        <v>-6.009418080925092</v>
      </c>
      <c r="J619" s="45" t="s">
        <v>2287</v>
      </c>
      <c r="K619" s="29">
        <v>25.5</v>
      </c>
      <c r="L619" s="41">
        <v>74.14285714285714</v>
      </c>
      <c r="M619" s="46">
        <v>33.0</v>
      </c>
      <c r="N619" s="46">
        <v>6.0</v>
      </c>
      <c r="O619" s="47">
        <v>-1.9958786324271793</v>
      </c>
      <c r="P619" s="47">
        <v>-1.7528845081065627</v>
      </c>
      <c r="Q619" s="47">
        <v>-1.7076860807572898</v>
      </c>
      <c r="R619" s="47">
        <v>-0.5806544045293945</v>
      </c>
      <c r="S619" s="47">
        <v>-1.7059417143217428</v>
      </c>
      <c r="T619" s="47">
        <v>-0.7871777123417198</v>
      </c>
      <c r="U619" s="47">
        <v>-1.9561471726769692</v>
      </c>
      <c r="V619" s="47">
        <v>0.0</v>
      </c>
      <c r="W619" s="47">
        <v>-0.623839544952887</v>
      </c>
      <c r="X619" s="47">
        <v>-0.42906708274024846</v>
      </c>
      <c r="Y619" s="50" t="s">
        <v>69</v>
      </c>
      <c r="Z619" s="50" t="s">
        <v>69</v>
      </c>
      <c r="AA619" s="50" t="s">
        <v>69</v>
      </c>
      <c r="AB619" s="50" t="s">
        <v>69</v>
      </c>
      <c r="AC619" s="34" t="str">
        <f t="shared" ref="AC619:AP619" si="619">LET(
  skater, IFERROR(INDEX(AllProj, MATCH($E619, AllProjNames, 0), MATCH(AC$2, AllProjCats, 0) + 1), ""),
  goalie, IFERROR(INDEX(AllGProj, MATCH($E619, AllGProjNames, 0), MATCH(AC$2, AllGProjCats, 0) + 1), ""),
  val, IF(skater &lt;&gt; "", skater, goalie),
  IF(OR($E619="", AC$2="", val=""), "", val * AC$1)
)</f>
        <v/>
      </c>
      <c r="AD619" s="34" t="str">
        <f t="shared" si="619"/>
        <v/>
      </c>
      <c r="AE619" s="34" t="str">
        <f t="shared" si="619"/>
        <v/>
      </c>
      <c r="AF619" s="34" t="str">
        <f t="shared" si="619"/>
        <v/>
      </c>
      <c r="AG619" s="34" t="str">
        <f t="shared" si="619"/>
        <v/>
      </c>
      <c r="AH619" s="34" t="str">
        <f t="shared" si="619"/>
        <v/>
      </c>
      <c r="AI619" s="34" t="str">
        <f t="shared" si="619"/>
        <v/>
      </c>
      <c r="AJ619" s="34" t="str">
        <f t="shared" si="619"/>
        <v/>
      </c>
      <c r="AK619" s="34" t="str">
        <f t="shared" si="619"/>
        <v/>
      </c>
      <c r="AL619" s="34" t="str">
        <f t="shared" si="619"/>
        <v/>
      </c>
      <c r="AM619" s="34" t="str">
        <f t="shared" si="619"/>
        <v/>
      </c>
      <c r="AN619" s="34" t="str">
        <f t="shared" si="619"/>
        <v/>
      </c>
      <c r="AO619" s="34" t="str">
        <f t="shared" si="619"/>
        <v/>
      </c>
      <c r="AP619" s="34" t="str">
        <f t="shared" si="619"/>
        <v/>
      </c>
      <c r="AQ619" s="76" t="s">
        <v>659</v>
      </c>
      <c r="AR619" s="77"/>
      <c r="AS619" s="77"/>
      <c r="AT619" s="77"/>
      <c r="AU619" s="77"/>
      <c r="AV619" s="77"/>
      <c r="AW619" s="77"/>
      <c r="AX619" s="77"/>
      <c r="AY619" s="77"/>
      <c r="AZ619" s="77"/>
      <c r="BA619" s="77"/>
      <c r="BB619" s="77"/>
      <c r="BC619" s="77"/>
      <c r="BD619" s="77"/>
      <c r="BE619" s="77"/>
      <c r="BF619" s="77"/>
      <c r="BG619" s="77"/>
      <c r="BH619" s="77"/>
      <c r="BI619" s="77"/>
      <c r="BJ619" s="77"/>
      <c r="BK619" s="77"/>
      <c r="BL619" s="77"/>
      <c r="BM619" s="78"/>
    </row>
    <row r="620">
      <c r="A620" s="79">
        <v>2.642857142857143</v>
      </c>
      <c r="B620" s="79" t="b">
        <v>0</v>
      </c>
      <c r="C620" s="79" t="b">
        <f t="shared" si="3"/>
        <v>0</v>
      </c>
      <c r="D620" s="80" t="s">
        <v>1565</v>
      </c>
      <c r="E620" s="81" t="s">
        <v>1219</v>
      </c>
      <c r="F620" s="82" t="s">
        <v>1517</v>
      </c>
      <c r="G620" s="35" t="s">
        <v>837</v>
      </c>
      <c r="H620" s="37">
        <v>-11.541516871324072</v>
      </c>
      <c r="I620" s="37">
        <v>-6.011658099395171</v>
      </c>
      <c r="J620" s="83" t="s">
        <v>2288</v>
      </c>
      <c r="K620" s="35">
        <v>32.4</v>
      </c>
      <c r="L620" s="79">
        <v>71.85714285714286</v>
      </c>
      <c r="M620" s="84">
        <v>18.0</v>
      </c>
      <c r="N620" s="84">
        <v>6.0</v>
      </c>
      <c r="O620" s="85">
        <v>-2.480943791490117</v>
      </c>
      <c r="P620" s="85">
        <v>-1.838722935314874</v>
      </c>
      <c r="Q620" s="85">
        <v>-1.6346087618555838</v>
      </c>
      <c r="R620" s="85">
        <v>-0.3319704891209748</v>
      </c>
      <c r="S620" s="85">
        <v>-1.72461069241107</v>
      </c>
      <c r="T620" s="85">
        <v>-0.7871777123417198</v>
      </c>
      <c r="U620" s="85">
        <v>-2.842061297880073</v>
      </c>
      <c r="V620" s="85">
        <v>0.0</v>
      </c>
      <c r="W620" s="85">
        <v>-0.7344949928905308</v>
      </c>
      <c r="X620" s="85">
        <v>0.83307380198087</v>
      </c>
      <c r="Y620" s="50" t="s">
        <v>69</v>
      </c>
      <c r="Z620" s="50" t="s">
        <v>69</v>
      </c>
      <c r="AA620" s="50" t="s">
        <v>69</v>
      </c>
      <c r="AB620" s="50" t="s">
        <v>69</v>
      </c>
      <c r="AC620" s="34" t="str">
        <f t="shared" ref="AC620:AP620" si="620">LET(
  skater, IFERROR(INDEX(AllProj, MATCH($E620, AllProjNames, 0), MATCH(AC$2, AllProjCats, 0) + 1), ""),
  goalie, IFERROR(INDEX(AllGProj, MATCH($E620, AllGProjNames, 0), MATCH(AC$2, AllGProjCats, 0) + 1), ""),
  val, IF(skater &lt;&gt; "", skater, goalie),
  IF(OR($E620="", AC$2="", val=""), "", val * AC$1)
)</f>
        <v/>
      </c>
      <c r="AD620" s="34" t="str">
        <f t="shared" si="620"/>
        <v/>
      </c>
      <c r="AE620" s="34" t="str">
        <f t="shared" si="620"/>
        <v/>
      </c>
      <c r="AF620" s="34" t="str">
        <f t="shared" si="620"/>
        <v/>
      </c>
      <c r="AG620" s="34" t="str">
        <f t="shared" si="620"/>
        <v/>
      </c>
      <c r="AH620" s="34" t="str">
        <f t="shared" si="620"/>
        <v/>
      </c>
      <c r="AI620" s="34" t="str">
        <f t="shared" si="620"/>
        <v/>
      </c>
      <c r="AJ620" s="34" t="str">
        <f t="shared" si="620"/>
        <v/>
      </c>
      <c r="AK620" s="34" t="str">
        <f t="shared" si="620"/>
        <v/>
      </c>
      <c r="AL620" s="34" t="str">
        <f t="shared" si="620"/>
        <v/>
      </c>
      <c r="AM620" s="34" t="str">
        <f t="shared" si="620"/>
        <v/>
      </c>
      <c r="AN620" s="34" t="str">
        <f t="shared" si="620"/>
        <v/>
      </c>
      <c r="AO620" s="34" t="str">
        <f t="shared" si="620"/>
        <v/>
      </c>
      <c r="AP620" s="34" t="str">
        <f t="shared" si="620"/>
        <v/>
      </c>
      <c r="AQ620" s="76" t="s">
        <v>660</v>
      </c>
      <c r="AR620" s="77"/>
      <c r="AS620" s="77"/>
      <c r="AT620" s="77"/>
      <c r="AU620" s="77"/>
      <c r="AV620" s="77"/>
      <c r="AW620" s="77"/>
      <c r="AX620" s="77"/>
      <c r="AY620" s="77"/>
      <c r="AZ620" s="77"/>
      <c r="BA620" s="77"/>
      <c r="BB620" s="77"/>
      <c r="BC620" s="77"/>
      <c r="BD620" s="77"/>
      <c r="BE620" s="77"/>
      <c r="BF620" s="77"/>
      <c r="BG620" s="77"/>
      <c r="BH620" s="77"/>
      <c r="BI620" s="77"/>
      <c r="BJ620" s="77"/>
      <c r="BK620" s="77"/>
      <c r="BL620" s="77"/>
      <c r="BM620" s="78"/>
    </row>
    <row r="621">
      <c r="A621" s="41">
        <v>2.642857142857143</v>
      </c>
      <c r="B621" s="41" t="b">
        <v>0</v>
      </c>
      <c r="C621" s="41" t="b">
        <f t="shared" si="3"/>
        <v>0</v>
      </c>
      <c r="D621" s="42" t="s">
        <v>1565</v>
      </c>
      <c r="E621" s="43" t="s">
        <v>1221</v>
      </c>
      <c r="F621" s="44" t="s">
        <v>1706</v>
      </c>
      <c r="G621" s="29" t="s">
        <v>831</v>
      </c>
      <c r="H621" s="32">
        <v>-11.548196587931745</v>
      </c>
      <c r="I621" s="32">
        <v>-6.106058979203888</v>
      </c>
      <c r="J621" s="45" t="s">
        <v>2289</v>
      </c>
      <c r="K621" s="29">
        <v>30.4</v>
      </c>
      <c r="L621" s="41">
        <v>81.92208333333333</v>
      </c>
      <c r="M621" s="46">
        <v>31.0</v>
      </c>
      <c r="N621" s="46">
        <v>7.0</v>
      </c>
      <c r="O621" s="47">
        <v>-0.4965814856713122</v>
      </c>
      <c r="P621" s="47">
        <v>-1.2700990037413156</v>
      </c>
      <c r="Q621" s="47">
        <v>-3.214936417545085</v>
      </c>
      <c r="R621" s="47">
        <v>-0.7087807923164663</v>
      </c>
      <c r="S621" s="47">
        <v>-1.279506730837379</v>
      </c>
      <c r="T621" s="47">
        <v>-0.7868914786652097</v>
      </c>
      <c r="U621" s="47">
        <v>-0.761297549861373</v>
      </c>
      <c r="V621" s="47">
        <v>0.0</v>
      </c>
      <c r="W621" s="47">
        <v>-0.9621563560532744</v>
      </c>
      <c r="X621" s="47">
        <v>-2.06794677324033</v>
      </c>
      <c r="Y621" s="50" t="s">
        <v>69</v>
      </c>
      <c r="Z621" s="50" t="s">
        <v>69</v>
      </c>
      <c r="AA621" s="50" t="s">
        <v>69</v>
      </c>
      <c r="AB621" s="50" t="s">
        <v>69</v>
      </c>
      <c r="AC621" s="34" t="str">
        <f t="shared" ref="AC621:AP621" si="621">LET(
  skater, IFERROR(INDEX(AllProj, MATCH($E621, AllProjNames, 0), MATCH(AC$2, AllProjCats, 0) + 1), ""),
  goalie, IFERROR(INDEX(AllGProj, MATCH($E621, AllGProjNames, 0), MATCH(AC$2, AllGProjCats, 0) + 1), ""),
  val, IF(skater &lt;&gt; "", skater, goalie),
  IF(OR($E621="", AC$2="", val=""), "", val * AC$1)
)</f>
        <v/>
      </c>
      <c r="AD621" s="34" t="str">
        <f t="shared" si="621"/>
        <v/>
      </c>
      <c r="AE621" s="34" t="str">
        <f t="shared" si="621"/>
        <v/>
      </c>
      <c r="AF621" s="34" t="str">
        <f t="shared" si="621"/>
        <v/>
      </c>
      <c r="AG621" s="34" t="str">
        <f t="shared" si="621"/>
        <v/>
      </c>
      <c r="AH621" s="34" t="str">
        <f t="shared" si="621"/>
        <v/>
      </c>
      <c r="AI621" s="34" t="str">
        <f t="shared" si="621"/>
        <v/>
      </c>
      <c r="AJ621" s="34" t="str">
        <f t="shared" si="621"/>
        <v/>
      </c>
      <c r="AK621" s="34" t="str">
        <f t="shared" si="621"/>
        <v/>
      </c>
      <c r="AL621" s="34" t="str">
        <f t="shared" si="621"/>
        <v/>
      </c>
      <c r="AM621" s="34" t="str">
        <f t="shared" si="621"/>
        <v/>
      </c>
      <c r="AN621" s="34" t="str">
        <f t="shared" si="621"/>
        <v/>
      </c>
      <c r="AO621" s="34" t="str">
        <f t="shared" si="621"/>
        <v/>
      </c>
      <c r="AP621" s="34" t="str">
        <f t="shared" si="621"/>
        <v/>
      </c>
      <c r="AQ621" s="76" t="s">
        <v>661</v>
      </c>
      <c r="AR621" s="77"/>
      <c r="AS621" s="77"/>
      <c r="AT621" s="77"/>
      <c r="AU621" s="77"/>
      <c r="AV621" s="77"/>
      <c r="AW621" s="77"/>
      <c r="AX621" s="77"/>
      <c r="AY621" s="77"/>
      <c r="AZ621" s="77"/>
      <c r="BA621" s="77"/>
      <c r="BB621" s="77"/>
      <c r="BC621" s="77"/>
      <c r="BD621" s="77"/>
      <c r="BE621" s="77"/>
      <c r="BF621" s="77"/>
      <c r="BG621" s="77"/>
      <c r="BH621" s="77"/>
      <c r="BI621" s="77"/>
      <c r="BJ621" s="77"/>
      <c r="BK621" s="77"/>
      <c r="BL621" s="77"/>
      <c r="BM621" s="78"/>
    </row>
    <row r="622">
      <c r="A622" s="79">
        <v>2.642857142857143</v>
      </c>
      <c r="B622" s="79" t="b">
        <v>0</v>
      </c>
      <c r="C622" s="79" t="b">
        <f t="shared" si="3"/>
        <v>0</v>
      </c>
      <c r="D622" s="80" t="s">
        <v>1565</v>
      </c>
      <c r="E622" s="81" t="s">
        <v>1206</v>
      </c>
      <c r="F622" s="82" t="s">
        <v>1461</v>
      </c>
      <c r="G622" s="35" t="s">
        <v>837</v>
      </c>
      <c r="H622" s="37">
        <v>-11.5657973422113</v>
      </c>
      <c r="I622" s="37">
        <v>-6.035938570282398</v>
      </c>
      <c r="J622" s="83" t="s">
        <v>2290</v>
      </c>
      <c r="K622" s="35">
        <v>28.2</v>
      </c>
      <c r="L622" s="79">
        <v>71.85714285714286</v>
      </c>
      <c r="M622" s="84">
        <v>23.0</v>
      </c>
      <c r="N622" s="84">
        <v>6.0</v>
      </c>
      <c r="O622" s="85">
        <v>-2.089298588987449</v>
      </c>
      <c r="P622" s="85">
        <v>-1.785363912996194</v>
      </c>
      <c r="Q622" s="85">
        <v>-1.528954428229246</v>
      </c>
      <c r="R622" s="85">
        <v>-0.7760489094931531</v>
      </c>
      <c r="S622" s="85">
        <v>-1.7106089588440747</v>
      </c>
      <c r="T622" s="85">
        <v>-0.7871777123417198</v>
      </c>
      <c r="U622" s="85">
        <v>-2.199970719005123</v>
      </c>
      <c r="V622" s="85">
        <v>0.0</v>
      </c>
      <c r="W622" s="85">
        <v>-1.3615425312038472</v>
      </c>
      <c r="X622" s="85">
        <v>0.6731684188895088</v>
      </c>
      <c r="Y622" s="50" t="s">
        <v>69</v>
      </c>
      <c r="Z622" s="50" t="s">
        <v>69</v>
      </c>
      <c r="AA622" s="50" t="s">
        <v>69</v>
      </c>
      <c r="AB622" s="50" t="s">
        <v>69</v>
      </c>
      <c r="AC622" s="34" t="str">
        <f t="shared" ref="AC622:AP622" si="622">LET(
  skater, IFERROR(INDEX(AllProj, MATCH($E622, AllProjNames, 0), MATCH(AC$2, AllProjCats, 0) + 1), ""),
  goalie, IFERROR(INDEX(AllGProj, MATCH($E622, AllGProjNames, 0), MATCH(AC$2, AllGProjCats, 0) + 1), ""),
  val, IF(skater &lt;&gt; "", skater, goalie),
  IF(OR($E622="", AC$2="", val=""), "", val * AC$1)
)</f>
        <v/>
      </c>
      <c r="AD622" s="34" t="str">
        <f t="shared" si="622"/>
        <v/>
      </c>
      <c r="AE622" s="34" t="str">
        <f t="shared" si="622"/>
        <v/>
      </c>
      <c r="AF622" s="34" t="str">
        <f t="shared" si="622"/>
        <v/>
      </c>
      <c r="AG622" s="34" t="str">
        <f t="shared" si="622"/>
        <v/>
      </c>
      <c r="AH622" s="34" t="str">
        <f t="shared" si="622"/>
        <v/>
      </c>
      <c r="AI622" s="34" t="str">
        <f t="shared" si="622"/>
        <v/>
      </c>
      <c r="AJ622" s="34" t="str">
        <f t="shared" si="622"/>
        <v/>
      </c>
      <c r="AK622" s="34" t="str">
        <f t="shared" si="622"/>
        <v/>
      </c>
      <c r="AL622" s="34" t="str">
        <f t="shared" si="622"/>
        <v/>
      </c>
      <c r="AM622" s="34" t="str">
        <f t="shared" si="622"/>
        <v/>
      </c>
      <c r="AN622" s="34" t="str">
        <f t="shared" si="622"/>
        <v/>
      </c>
      <c r="AO622" s="34" t="str">
        <f t="shared" si="622"/>
        <v/>
      </c>
      <c r="AP622" s="34" t="str">
        <f t="shared" si="622"/>
        <v/>
      </c>
      <c r="AQ622" s="76" t="s">
        <v>662</v>
      </c>
      <c r="AR622" s="77"/>
      <c r="AS622" s="77"/>
      <c r="AT622" s="77"/>
      <c r="AU622" s="77"/>
      <c r="AV622" s="77"/>
      <c r="AW622" s="77"/>
      <c r="AX622" s="77"/>
      <c r="AY622" s="77"/>
      <c r="AZ622" s="77"/>
      <c r="BA622" s="77"/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8"/>
    </row>
    <row r="623">
      <c r="A623" s="41">
        <v>2.642857142857143</v>
      </c>
      <c r="B623" s="41" t="b">
        <v>0</v>
      </c>
      <c r="C623" s="41" t="b">
        <f t="shared" si="3"/>
        <v>0</v>
      </c>
      <c r="D623" s="42" t="s">
        <v>1565</v>
      </c>
      <c r="E623" s="43" t="s">
        <v>1189</v>
      </c>
      <c r="F623" s="44" t="s">
        <v>854</v>
      </c>
      <c r="G623" s="29" t="s">
        <v>837</v>
      </c>
      <c r="H623" s="32">
        <v>-11.565939804355459</v>
      </c>
      <c r="I623" s="32">
        <v>-6.036081032426558</v>
      </c>
      <c r="J623" s="45" t="s">
        <v>2291</v>
      </c>
      <c r="K623" s="29">
        <v>26.4</v>
      </c>
      <c r="L623" s="41">
        <v>69.0</v>
      </c>
      <c r="M623" s="46">
        <v>16.0</v>
      </c>
      <c r="N623" s="46">
        <v>6.0</v>
      </c>
      <c r="O623" s="47">
        <v>-2.2797315773603057</v>
      </c>
      <c r="P623" s="47">
        <v>-1.6206469310559204</v>
      </c>
      <c r="Q623" s="47">
        <v>-0.3443236678169363</v>
      </c>
      <c r="R623" s="47">
        <v>-0.998088119679242</v>
      </c>
      <c r="S623" s="47">
        <v>-1.72461069241107</v>
      </c>
      <c r="T623" s="47">
        <v>-0.7871777123417198</v>
      </c>
      <c r="U623" s="47">
        <v>-1.9331449513252568</v>
      </c>
      <c r="V623" s="47">
        <v>0.0</v>
      </c>
      <c r="W623" s="47">
        <v>-1.2678659615211856</v>
      </c>
      <c r="X623" s="47">
        <v>-0.6103501908438235</v>
      </c>
      <c r="Y623" s="50" t="s">
        <v>69</v>
      </c>
      <c r="Z623" s="50" t="s">
        <v>69</v>
      </c>
      <c r="AA623" s="50" t="s">
        <v>69</v>
      </c>
      <c r="AB623" s="50" t="s">
        <v>69</v>
      </c>
      <c r="AC623" s="34" t="str">
        <f t="shared" ref="AC623:AP623" si="623">LET(
  skater, IFERROR(INDEX(AllProj, MATCH($E623, AllProjNames, 0), MATCH(AC$2, AllProjCats, 0) + 1), ""),
  goalie, IFERROR(INDEX(AllGProj, MATCH($E623, AllGProjNames, 0), MATCH(AC$2, AllGProjCats, 0) + 1), ""),
  val, IF(skater &lt;&gt; "", skater, goalie),
  IF(OR($E623="", AC$2="", val=""), "", val * AC$1)
)</f>
        <v/>
      </c>
      <c r="AD623" s="34" t="str">
        <f t="shared" si="623"/>
        <v/>
      </c>
      <c r="AE623" s="34" t="str">
        <f t="shared" si="623"/>
        <v/>
      </c>
      <c r="AF623" s="34" t="str">
        <f t="shared" si="623"/>
        <v/>
      </c>
      <c r="AG623" s="34" t="str">
        <f t="shared" si="623"/>
        <v/>
      </c>
      <c r="AH623" s="34" t="str">
        <f t="shared" si="623"/>
        <v/>
      </c>
      <c r="AI623" s="34" t="str">
        <f t="shared" si="623"/>
        <v/>
      </c>
      <c r="AJ623" s="34" t="str">
        <f t="shared" si="623"/>
        <v/>
      </c>
      <c r="AK623" s="34" t="str">
        <f t="shared" si="623"/>
        <v/>
      </c>
      <c r="AL623" s="34" t="str">
        <f t="shared" si="623"/>
        <v/>
      </c>
      <c r="AM623" s="34" t="str">
        <f t="shared" si="623"/>
        <v/>
      </c>
      <c r="AN623" s="34" t="str">
        <f t="shared" si="623"/>
        <v/>
      </c>
      <c r="AO623" s="34" t="str">
        <f t="shared" si="623"/>
        <v/>
      </c>
      <c r="AP623" s="34" t="str">
        <f t="shared" si="623"/>
        <v/>
      </c>
      <c r="AQ623" s="76" t="s">
        <v>663</v>
      </c>
      <c r="AR623" s="77"/>
      <c r="AS623" s="77"/>
      <c r="AT623" s="77"/>
      <c r="AU623" s="77"/>
      <c r="AV623" s="77"/>
      <c r="AW623" s="77"/>
      <c r="AX623" s="77"/>
      <c r="AY623" s="77"/>
      <c r="AZ623" s="77"/>
      <c r="BA623" s="77"/>
      <c r="BB623" s="77"/>
      <c r="BC623" s="77"/>
      <c r="BD623" s="77"/>
      <c r="BE623" s="77"/>
      <c r="BF623" s="77"/>
      <c r="BG623" s="77"/>
      <c r="BH623" s="77"/>
      <c r="BI623" s="77"/>
      <c r="BJ623" s="77"/>
      <c r="BK623" s="77"/>
      <c r="BL623" s="77"/>
      <c r="BM623" s="78"/>
    </row>
    <row r="624">
      <c r="A624" s="79">
        <v>2.642857142857143</v>
      </c>
      <c r="B624" s="79" t="b">
        <v>0</v>
      </c>
      <c r="C624" s="79" t="b">
        <f t="shared" si="3"/>
        <v>0</v>
      </c>
      <c r="D624" s="80" t="s">
        <v>1565</v>
      </c>
      <c r="E624" s="81" t="s">
        <v>1225</v>
      </c>
      <c r="F624" s="82" t="s">
        <v>1482</v>
      </c>
      <c r="G624" s="35" t="s">
        <v>284</v>
      </c>
      <c r="H624" s="37">
        <v>-11.56913195802347</v>
      </c>
      <c r="I624" s="37">
        <v>-6.531065937840386</v>
      </c>
      <c r="J624" s="83" t="s">
        <v>2292</v>
      </c>
      <c r="K624" s="35">
        <v>24.2</v>
      </c>
      <c r="L624" s="79">
        <v>78.71428571428571</v>
      </c>
      <c r="M624" s="84">
        <v>27.0</v>
      </c>
      <c r="N624" s="84">
        <v>6.0</v>
      </c>
      <c r="O624" s="85">
        <v>-1.1479128728801185</v>
      </c>
      <c r="P624" s="85">
        <v>-1.4721696515604623</v>
      </c>
      <c r="Q624" s="85">
        <v>-1.0441670409975614</v>
      </c>
      <c r="R624" s="85">
        <v>-1.868481823608711</v>
      </c>
      <c r="S624" s="85">
        <v>-1.2812224627895468</v>
      </c>
      <c r="T624" s="85">
        <v>-0.7871777123417198</v>
      </c>
      <c r="U624" s="85">
        <v>-1.5223909986161026</v>
      </c>
      <c r="V624" s="85">
        <v>0.0</v>
      </c>
      <c r="W624" s="85">
        <v>-0.6894131437307501</v>
      </c>
      <c r="X624" s="85">
        <v>-1.7561962514984972</v>
      </c>
      <c r="Y624" s="50" t="s">
        <v>69</v>
      </c>
      <c r="Z624" s="50" t="s">
        <v>69</v>
      </c>
      <c r="AA624" s="50" t="s">
        <v>69</v>
      </c>
      <c r="AB624" s="50" t="s">
        <v>69</v>
      </c>
      <c r="AC624" s="34" t="str">
        <f t="shared" ref="AC624:AP624" si="624">LET(
  skater, IFERROR(INDEX(AllProj, MATCH($E624, AllProjNames, 0), MATCH(AC$2, AllProjCats, 0) + 1), ""),
  goalie, IFERROR(INDEX(AllGProj, MATCH($E624, AllGProjNames, 0), MATCH(AC$2, AllGProjCats, 0) + 1), ""),
  val, IF(skater &lt;&gt; "", skater, goalie),
  IF(OR($E624="", AC$2="", val=""), "", val * AC$1)
)</f>
        <v/>
      </c>
      <c r="AD624" s="34" t="str">
        <f t="shared" si="624"/>
        <v/>
      </c>
      <c r="AE624" s="34" t="str">
        <f t="shared" si="624"/>
        <v/>
      </c>
      <c r="AF624" s="34" t="str">
        <f t="shared" si="624"/>
        <v/>
      </c>
      <c r="AG624" s="34" t="str">
        <f t="shared" si="624"/>
        <v/>
      </c>
      <c r="AH624" s="34" t="str">
        <f t="shared" si="624"/>
        <v/>
      </c>
      <c r="AI624" s="34" t="str">
        <f t="shared" si="624"/>
        <v/>
      </c>
      <c r="AJ624" s="34" t="str">
        <f t="shared" si="624"/>
        <v/>
      </c>
      <c r="AK624" s="34" t="str">
        <f t="shared" si="624"/>
        <v/>
      </c>
      <c r="AL624" s="34" t="str">
        <f t="shared" si="624"/>
        <v/>
      </c>
      <c r="AM624" s="34" t="str">
        <f t="shared" si="624"/>
        <v/>
      </c>
      <c r="AN624" s="34" t="str">
        <f t="shared" si="624"/>
        <v/>
      </c>
      <c r="AO624" s="34" t="str">
        <f t="shared" si="624"/>
        <v/>
      </c>
      <c r="AP624" s="34" t="str">
        <f t="shared" si="624"/>
        <v/>
      </c>
      <c r="AQ624" s="76" t="s">
        <v>664</v>
      </c>
      <c r="AR624" s="77"/>
      <c r="AS624" s="77"/>
      <c r="AT624" s="77"/>
      <c r="AU624" s="77"/>
      <c r="AV624" s="77"/>
      <c r="AW624" s="77"/>
      <c r="AX624" s="77"/>
      <c r="AY624" s="77"/>
      <c r="AZ624" s="77"/>
      <c r="BA624" s="77"/>
      <c r="BB624" s="77"/>
      <c r="BC624" s="77"/>
      <c r="BD624" s="77"/>
      <c r="BE624" s="77"/>
      <c r="BF624" s="77"/>
      <c r="BG624" s="77"/>
      <c r="BH624" s="77"/>
      <c r="BI624" s="77"/>
      <c r="BJ624" s="77"/>
      <c r="BK624" s="77"/>
      <c r="BL624" s="77"/>
      <c r="BM624" s="78"/>
    </row>
    <row r="625">
      <c r="A625" s="41">
        <v>2.642857142857143</v>
      </c>
      <c r="B625" s="41" t="b">
        <v>0</v>
      </c>
      <c r="C625" s="41" t="b">
        <f t="shared" si="3"/>
        <v>0</v>
      </c>
      <c r="D625" s="42" t="s">
        <v>1565</v>
      </c>
      <c r="E625" s="43" t="s">
        <v>1242</v>
      </c>
      <c r="F625" s="44" t="s">
        <v>1439</v>
      </c>
      <c r="G625" s="29" t="s">
        <v>837</v>
      </c>
      <c r="H625" s="32">
        <v>-11.575288272110924</v>
      </c>
      <c r="I625" s="32">
        <v>-6.045429500182023</v>
      </c>
      <c r="J625" s="45" t="s">
        <v>2293</v>
      </c>
      <c r="K625" s="29">
        <v>26.1</v>
      </c>
      <c r="L625" s="41">
        <v>70.0</v>
      </c>
      <c r="M625" s="46">
        <v>25.0</v>
      </c>
      <c r="N625" s="46">
        <v>6.0</v>
      </c>
      <c r="O625" s="47">
        <v>-2.182718545547718</v>
      </c>
      <c r="P625" s="47">
        <v>-1.5858475686741722</v>
      </c>
      <c r="Q625" s="47">
        <v>0.5424317721194057</v>
      </c>
      <c r="R625" s="47">
        <v>-1.2290088982727747</v>
      </c>
      <c r="S625" s="47">
        <v>-1.6079295793527744</v>
      </c>
      <c r="T625" s="47">
        <v>-0.7871777123417198</v>
      </c>
      <c r="U625" s="47">
        <v>-2.046841645435151</v>
      </c>
      <c r="V625" s="47">
        <v>0.0</v>
      </c>
      <c r="W625" s="47">
        <v>-1.8591993076429871</v>
      </c>
      <c r="X625" s="47">
        <v>-0.8189967869630328</v>
      </c>
      <c r="Y625" s="50" t="s">
        <v>69</v>
      </c>
      <c r="Z625" s="50" t="s">
        <v>69</v>
      </c>
      <c r="AA625" s="50" t="s">
        <v>69</v>
      </c>
      <c r="AB625" s="50" t="s">
        <v>69</v>
      </c>
      <c r="AC625" s="34" t="str">
        <f t="shared" ref="AC625:AP625" si="625">LET(
  skater, IFERROR(INDEX(AllProj, MATCH($E625, AllProjNames, 0), MATCH(AC$2, AllProjCats, 0) + 1), ""),
  goalie, IFERROR(INDEX(AllGProj, MATCH($E625, AllGProjNames, 0), MATCH(AC$2, AllGProjCats, 0) + 1), ""),
  val, IF(skater &lt;&gt; "", skater, goalie),
  IF(OR($E625="", AC$2="", val=""), "", val * AC$1)
)</f>
        <v/>
      </c>
      <c r="AD625" s="34" t="str">
        <f t="shared" si="625"/>
        <v/>
      </c>
      <c r="AE625" s="34" t="str">
        <f t="shared" si="625"/>
        <v/>
      </c>
      <c r="AF625" s="34" t="str">
        <f t="shared" si="625"/>
        <v/>
      </c>
      <c r="AG625" s="34" t="str">
        <f t="shared" si="625"/>
        <v/>
      </c>
      <c r="AH625" s="34" t="str">
        <f t="shared" si="625"/>
        <v/>
      </c>
      <c r="AI625" s="34" t="str">
        <f t="shared" si="625"/>
        <v/>
      </c>
      <c r="AJ625" s="34" t="str">
        <f t="shared" si="625"/>
        <v/>
      </c>
      <c r="AK625" s="34" t="str">
        <f t="shared" si="625"/>
        <v/>
      </c>
      <c r="AL625" s="34" t="str">
        <f t="shared" si="625"/>
        <v/>
      </c>
      <c r="AM625" s="34" t="str">
        <f t="shared" si="625"/>
        <v/>
      </c>
      <c r="AN625" s="34" t="str">
        <f t="shared" si="625"/>
        <v/>
      </c>
      <c r="AO625" s="34" t="str">
        <f t="shared" si="625"/>
        <v/>
      </c>
      <c r="AP625" s="34" t="str">
        <f t="shared" si="625"/>
        <v/>
      </c>
      <c r="AQ625" s="76" t="s">
        <v>665</v>
      </c>
      <c r="AR625" s="77"/>
      <c r="AS625" s="77"/>
      <c r="AT625" s="77"/>
      <c r="AU625" s="77"/>
      <c r="AV625" s="77"/>
      <c r="AW625" s="77"/>
      <c r="AX625" s="77"/>
      <c r="AY625" s="77"/>
      <c r="AZ625" s="77"/>
      <c r="BA625" s="77"/>
      <c r="BB625" s="77"/>
      <c r="BC625" s="77"/>
      <c r="BD625" s="77"/>
      <c r="BE625" s="77"/>
      <c r="BF625" s="77"/>
      <c r="BG625" s="77"/>
      <c r="BH625" s="77"/>
      <c r="BI625" s="77"/>
      <c r="BJ625" s="77"/>
      <c r="BK625" s="77"/>
      <c r="BL625" s="77"/>
      <c r="BM625" s="78"/>
    </row>
    <row r="626">
      <c r="A626" s="79" t="s">
        <v>69</v>
      </c>
      <c r="B626" s="79" t="b">
        <v>0</v>
      </c>
      <c r="C626" s="79" t="b">
        <f t="shared" si="3"/>
        <v>1</v>
      </c>
      <c r="D626" s="80" t="s">
        <v>824</v>
      </c>
      <c r="E626" s="81" t="s">
        <v>2294</v>
      </c>
      <c r="F626" s="82" t="s">
        <v>1710</v>
      </c>
      <c r="G626" s="35" t="s">
        <v>837</v>
      </c>
      <c r="H626" s="37">
        <v>-11.575547633996997</v>
      </c>
      <c r="I626" s="37">
        <v>-6.045688862068096</v>
      </c>
      <c r="J626" s="83" t="s">
        <v>2295</v>
      </c>
      <c r="K626" s="35">
        <v>20.6</v>
      </c>
      <c r="L626" s="79">
        <v>79.14285714285714</v>
      </c>
      <c r="M626" s="84">
        <v>23.0</v>
      </c>
      <c r="N626" s="84">
        <v>6.0</v>
      </c>
      <c r="O626" s="85">
        <v>-1.4084108286731774</v>
      </c>
      <c r="P626" s="85">
        <v>-0.9408993858657771</v>
      </c>
      <c r="Q626" s="85">
        <v>-3.517081671360092</v>
      </c>
      <c r="R626" s="85">
        <v>-1.3586797970214508</v>
      </c>
      <c r="S626" s="85">
        <v>-0.2252583896119708</v>
      </c>
      <c r="T626" s="85">
        <v>-0.7871777123417198</v>
      </c>
      <c r="U626" s="85">
        <v>-0.9923540980402106</v>
      </c>
      <c r="V626" s="85">
        <v>0.0</v>
      </c>
      <c r="W626" s="85">
        <v>-1.8802765358215863</v>
      </c>
      <c r="X626" s="85">
        <v>-0.46540921526101214</v>
      </c>
      <c r="Y626" s="50" t="s">
        <v>69</v>
      </c>
      <c r="Z626" s="50" t="s">
        <v>69</v>
      </c>
      <c r="AA626" s="50" t="s">
        <v>69</v>
      </c>
      <c r="AB626" s="50" t="s">
        <v>69</v>
      </c>
      <c r="AC626" s="34" t="str">
        <f t="shared" ref="AC626:AP626" si="626">LET(
  skater, IFERROR(INDEX(AllProj, MATCH($E626, AllProjNames, 0), MATCH(AC$2, AllProjCats, 0) + 1), ""),
  goalie, IFERROR(INDEX(AllGProj, MATCH($E626, AllGProjNames, 0), MATCH(AC$2, AllGProjCats, 0) + 1), ""),
  val, IF(skater &lt;&gt; "", skater, goalie),
  IF(OR($E626="", AC$2="", val=""), "", val * AC$1)
)</f>
        <v/>
      </c>
      <c r="AD626" s="34" t="str">
        <f t="shared" si="626"/>
        <v/>
      </c>
      <c r="AE626" s="34" t="str">
        <f t="shared" si="626"/>
        <v/>
      </c>
      <c r="AF626" s="34" t="str">
        <f t="shared" si="626"/>
        <v/>
      </c>
      <c r="AG626" s="34" t="str">
        <f t="shared" si="626"/>
        <v/>
      </c>
      <c r="AH626" s="34" t="str">
        <f t="shared" si="626"/>
        <v/>
      </c>
      <c r="AI626" s="34" t="str">
        <f t="shared" si="626"/>
        <v/>
      </c>
      <c r="AJ626" s="34" t="str">
        <f t="shared" si="626"/>
        <v/>
      </c>
      <c r="AK626" s="34" t="str">
        <f t="shared" si="626"/>
        <v/>
      </c>
      <c r="AL626" s="34" t="str">
        <f t="shared" si="626"/>
        <v/>
      </c>
      <c r="AM626" s="34" t="str">
        <f t="shared" si="626"/>
        <v/>
      </c>
      <c r="AN626" s="34" t="str">
        <f t="shared" si="626"/>
        <v/>
      </c>
      <c r="AO626" s="34" t="str">
        <f t="shared" si="626"/>
        <v/>
      </c>
      <c r="AP626" s="34" t="str">
        <f t="shared" si="626"/>
        <v/>
      </c>
      <c r="AQ626" s="76" t="s">
        <v>666</v>
      </c>
      <c r="AR626" s="77"/>
      <c r="AS626" s="77"/>
      <c r="AT626" s="77"/>
      <c r="AU626" s="77"/>
      <c r="AV626" s="77"/>
      <c r="AW626" s="77"/>
      <c r="AX626" s="77"/>
      <c r="AY626" s="77"/>
      <c r="AZ626" s="77"/>
      <c r="BA626" s="77"/>
      <c r="BB626" s="77"/>
      <c r="BC626" s="77"/>
      <c r="BD626" s="77"/>
      <c r="BE626" s="77"/>
      <c r="BF626" s="77"/>
      <c r="BG626" s="77"/>
      <c r="BH626" s="77"/>
      <c r="BI626" s="77"/>
      <c r="BJ626" s="77"/>
      <c r="BK626" s="77"/>
      <c r="BL626" s="77"/>
      <c r="BM626" s="78"/>
    </row>
    <row r="627">
      <c r="A627" s="41">
        <v>2.642857142857143</v>
      </c>
      <c r="B627" s="41" t="b">
        <v>0</v>
      </c>
      <c r="C627" s="41" t="b">
        <f t="shared" si="3"/>
        <v>0</v>
      </c>
      <c r="D627" s="42" t="s">
        <v>1565</v>
      </c>
      <c r="E627" s="43" t="s">
        <v>1284</v>
      </c>
      <c r="F627" s="44" t="s">
        <v>849</v>
      </c>
      <c r="G627" s="29" t="s">
        <v>835</v>
      </c>
      <c r="H627" s="32">
        <v>-11.577717139594615</v>
      </c>
      <c r="I627" s="32">
        <v>-6.189837014681876</v>
      </c>
      <c r="J627" s="45" t="s">
        <v>2296</v>
      </c>
      <c r="K627" s="29">
        <v>22.5</v>
      </c>
      <c r="L627" s="41">
        <v>78.0909090909091</v>
      </c>
      <c r="M627" s="46">
        <v>29.0</v>
      </c>
      <c r="N627" s="46">
        <v>6.0</v>
      </c>
      <c r="O627" s="47">
        <v>-0.8918246003512681</v>
      </c>
      <c r="P627" s="47">
        <v>-1.4656315895372252</v>
      </c>
      <c r="Q627" s="47">
        <v>-0.9748687030686877</v>
      </c>
      <c r="R627" s="47">
        <v>-1.1235604588171264</v>
      </c>
      <c r="S627" s="47">
        <v>-1.260479153801405</v>
      </c>
      <c r="T627" s="47">
        <v>-0.7871777123417198</v>
      </c>
      <c r="U627" s="47">
        <v>-0.9883809870794602</v>
      </c>
      <c r="V627" s="47">
        <v>0.0</v>
      </c>
      <c r="W627" s="47">
        <v>-2.064436155765909</v>
      </c>
      <c r="X627" s="47">
        <v>-2.0213577788318142</v>
      </c>
      <c r="Y627" s="50" t="s">
        <v>69</v>
      </c>
      <c r="Z627" s="50" t="s">
        <v>69</v>
      </c>
      <c r="AA627" s="50" t="s">
        <v>69</v>
      </c>
      <c r="AB627" s="50" t="s">
        <v>69</v>
      </c>
      <c r="AC627" s="34" t="str">
        <f t="shared" ref="AC627:AP627" si="627">LET(
  skater, IFERROR(INDEX(AllProj, MATCH($E627, AllProjNames, 0), MATCH(AC$2, AllProjCats, 0) + 1), ""),
  goalie, IFERROR(INDEX(AllGProj, MATCH($E627, AllGProjNames, 0), MATCH(AC$2, AllGProjCats, 0) + 1), ""),
  val, IF(skater &lt;&gt; "", skater, goalie),
  IF(OR($E627="", AC$2="", val=""), "", val * AC$1)
)</f>
        <v/>
      </c>
      <c r="AD627" s="34" t="str">
        <f t="shared" si="627"/>
        <v/>
      </c>
      <c r="AE627" s="34" t="str">
        <f t="shared" si="627"/>
        <v/>
      </c>
      <c r="AF627" s="34" t="str">
        <f t="shared" si="627"/>
        <v/>
      </c>
      <c r="AG627" s="34" t="str">
        <f t="shared" si="627"/>
        <v/>
      </c>
      <c r="AH627" s="34" t="str">
        <f t="shared" si="627"/>
        <v/>
      </c>
      <c r="AI627" s="34" t="str">
        <f t="shared" si="627"/>
        <v/>
      </c>
      <c r="AJ627" s="34" t="str">
        <f t="shared" si="627"/>
        <v/>
      </c>
      <c r="AK627" s="34" t="str">
        <f t="shared" si="627"/>
        <v/>
      </c>
      <c r="AL627" s="34" t="str">
        <f t="shared" si="627"/>
        <v/>
      </c>
      <c r="AM627" s="34" t="str">
        <f t="shared" si="627"/>
        <v/>
      </c>
      <c r="AN627" s="34" t="str">
        <f t="shared" si="627"/>
        <v/>
      </c>
      <c r="AO627" s="34" t="str">
        <f t="shared" si="627"/>
        <v/>
      </c>
      <c r="AP627" s="34" t="str">
        <f t="shared" si="627"/>
        <v/>
      </c>
      <c r="AQ627" s="76" t="s">
        <v>667</v>
      </c>
      <c r="AR627" s="77"/>
      <c r="AS627" s="77"/>
      <c r="AT627" s="77"/>
      <c r="AU627" s="77"/>
      <c r="AV627" s="77"/>
      <c r="AW627" s="77"/>
      <c r="AX627" s="77"/>
      <c r="AY627" s="77"/>
      <c r="AZ627" s="77"/>
      <c r="BA627" s="77"/>
      <c r="BB627" s="77"/>
      <c r="BC627" s="77"/>
      <c r="BD627" s="77"/>
      <c r="BE627" s="77"/>
      <c r="BF627" s="77"/>
      <c r="BG627" s="77"/>
      <c r="BH627" s="77"/>
      <c r="BI627" s="77"/>
      <c r="BJ627" s="77"/>
      <c r="BK627" s="77"/>
      <c r="BL627" s="77"/>
      <c r="BM627" s="78"/>
    </row>
    <row r="628">
      <c r="A628" s="79">
        <v>2.7142857142857144</v>
      </c>
      <c r="B628" s="79" t="b">
        <v>0</v>
      </c>
      <c r="C628" s="79" t="b">
        <f t="shared" si="3"/>
        <v>0</v>
      </c>
      <c r="D628" s="80" t="s">
        <v>1565</v>
      </c>
      <c r="E628" s="81" t="s">
        <v>1324</v>
      </c>
      <c r="F628" s="82" t="s">
        <v>1779</v>
      </c>
      <c r="G628" s="35" t="s">
        <v>837</v>
      </c>
      <c r="H628" s="37">
        <v>-11.589770094465202</v>
      </c>
      <c r="I628" s="37">
        <v>-6.0599113225363</v>
      </c>
      <c r="J628" s="83" t="s">
        <v>2297</v>
      </c>
      <c r="K628" s="35">
        <v>33.7</v>
      </c>
      <c r="L628" s="79">
        <v>79.28571428571429</v>
      </c>
      <c r="M628" s="84">
        <v>27.0</v>
      </c>
      <c r="N628" s="84">
        <v>6.0</v>
      </c>
      <c r="O628" s="85">
        <v>-2.1575670187814917</v>
      </c>
      <c r="P628" s="85">
        <v>-1.8155233603937087</v>
      </c>
      <c r="Q628" s="85">
        <v>-2.3660840259427083</v>
      </c>
      <c r="R628" s="85">
        <v>-0.758285772678266</v>
      </c>
      <c r="S628" s="85">
        <v>-1.72461069241107</v>
      </c>
      <c r="T628" s="85">
        <v>-0.7871777123417198</v>
      </c>
      <c r="U628" s="85">
        <v>-2.170396434410064</v>
      </c>
      <c r="V628" s="85">
        <v>0.0</v>
      </c>
      <c r="W628" s="85">
        <v>-0.6337926804816696</v>
      </c>
      <c r="X628" s="85">
        <v>0.8236676029754958</v>
      </c>
      <c r="Y628" s="50" t="s">
        <v>69</v>
      </c>
      <c r="Z628" s="50" t="s">
        <v>69</v>
      </c>
      <c r="AA628" s="50" t="s">
        <v>69</v>
      </c>
      <c r="AB628" s="50" t="s">
        <v>69</v>
      </c>
      <c r="AC628" s="34" t="str">
        <f t="shared" ref="AC628:AP628" si="628">LET(
  skater, IFERROR(INDEX(AllProj, MATCH($E628, AllProjNames, 0), MATCH(AC$2, AllProjCats, 0) + 1), ""),
  goalie, IFERROR(INDEX(AllGProj, MATCH($E628, AllGProjNames, 0), MATCH(AC$2, AllGProjCats, 0) + 1), ""),
  val, IF(skater &lt;&gt; "", skater, goalie),
  IF(OR($E628="", AC$2="", val=""), "", val * AC$1)
)</f>
        <v/>
      </c>
      <c r="AD628" s="34" t="str">
        <f t="shared" si="628"/>
        <v/>
      </c>
      <c r="AE628" s="34" t="str">
        <f t="shared" si="628"/>
        <v/>
      </c>
      <c r="AF628" s="34" t="str">
        <f t="shared" si="628"/>
        <v/>
      </c>
      <c r="AG628" s="34" t="str">
        <f t="shared" si="628"/>
        <v/>
      </c>
      <c r="AH628" s="34" t="str">
        <f t="shared" si="628"/>
        <v/>
      </c>
      <c r="AI628" s="34" t="str">
        <f t="shared" si="628"/>
        <v/>
      </c>
      <c r="AJ628" s="34" t="str">
        <f t="shared" si="628"/>
        <v/>
      </c>
      <c r="AK628" s="34" t="str">
        <f t="shared" si="628"/>
        <v/>
      </c>
      <c r="AL628" s="34" t="str">
        <f t="shared" si="628"/>
        <v/>
      </c>
      <c r="AM628" s="34" t="str">
        <f t="shared" si="628"/>
        <v/>
      </c>
      <c r="AN628" s="34" t="str">
        <f t="shared" si="628"/>
        <v/>
      </c>
      <c r="AO628" s="34" t="str">
        <f t="shared" si="628"/>
        <v/>
      </c>
      <c r="AP628" s="34" t="str">
        <f t="shared" si="628"/>
        <v/>
      </c>
      <c r="AQ628" s="76" t="s">
        <v>668</v>
      </c>
      <c r="AR628" s="77"/>
      <c r="AS628" s="77"/>
      <c r="AT628" s="77"/>
      <c r="AU628" s="77"/>
      <c r="AV628" s="77"/>
      <c r="AW628" s="77"/>
      <c r="AX628" s="77"/>
      <c r="AY628" s="77"/>
      <c r="AZ628" s="77"/>
      <c r="BA628" s="77"/>
      <c r="BB628" s="77"/>
      <c r="BC628" s="77"/>
      <c r="BD628" s="77"/>
      <c r="BE628" s="77"/>
      <c r="BF628" s="77"/>
      <c r="BG628" s="77"/>
      <c r="BH628" s="77"/>
      <c r="BI628" s="77"/>
      <c r="BJ628" s="77"/>
      <c r="BK628" s="77"/>
      <c r="BL628" s="77"/>
      <c r="BM628" s="78"/>
    </row>
    <row r="629">
      <c r="A629" s="41">
        <v>2.642857142857143</v>
      </c>
      <c r="B629" s="41" t="b">
        <v>0</v>
      </c>
      <c r="C629" s="41" t="b">
        <f t="shared" si="3"/>
        <v>0</v>
      </c>
      <c r="D629" s="42" t="s">
        <v>1565</v>
      </c>
      <c r="E629" s="43" t="s">
        <v>1264</v>
      </c>
      <c r="F629" s="44" t="s">
        <v>854</v>
      </c>
      <c r="G629" s="29" t="s">
        <v>832</v>
      </c>
      <c r="H629" s="32">
        <v>-11.594074823484007</v>
      </c>
      <c r="I629" s="32">
        <v>-6.15193721475615</v>
      </c>
      <c r="J629" s="45" t="s">
        <v>2298</v>
      </c>
      <c r="K629" s="29">
        <v>34.1</v>
      </c>
      <c r="L629" s="41">
        <v>67.0</v>
      </c>
      <c r="M629" s="46">
        <v>16.0</v>
      </c>
      <c r="N629" s="46">
        <v>6.0</v>
      </c>
      <c r="O629" s="47">
        <v>-1.90245867586691</v>
      </c>
      <c r="P629" s="47">
        <v>-1.9454409799522345</v>
      </c>
      <c r="Q629" s="47">
        <v>-1.2001785977238975</v>
      </c>
      <c r="R629" s="47">
        <v>0.6805283093275912</v>
      </c>
      <c r="S629" s="47">
        <v>-1.72461069241107</v>
      </c>
      <c r="T629" s="47">
        <v>-0.7871777123417198</v>
      </c>
      <c r="U629" s="47">
        <v>-2.853233805393762</v>
      </c>
      <c r="V629" s="47">
        <v>0.0</v>
      </c>
      <c r="W629" s="47">
        <v>0.1255730125084059</v>
      </c>
      <c r="X629" s="47">
        <v>-1.9870756816304092</v>
      </c>
      <c r="Y629" s="50" t="s">
        <v>69</v>
      </c>
      <c r="Z629" s="50" t="s">
        <v>69</v>
      </c>
      <c r="AA629" s="50" t="s">
        <v>69</v>
      </c>
      <c r="AB629" s="50" t="s">
        <v>69</v>
      </c>
      <c r="AC629" s="34" t="str">
        <f t="shared" ref="AC629:AP629" si="629">LET(
  skater, IFERROR(INDEX(AllProj, MATCH($E629, AllProjNames, 0), MATCH(AC$2, AllProjCats, 0) + 1), ""),
  goalie, IFERROR(INDEX(AllGProj, MATCH($E629, AllGProjNames, 0), MATCH(AC$2, AllGProjCats, 0) + 1), ""),
  val, IF(skater &lt;&gt; "", skater, goalie),
  IF(OR($E629="", AC$2="", val=""), "", val * AC$1)
)</f>
        <v/>
      </c>
      <c r="AD629" s="34" t="str">
        <f t="shared" si="629"/>
        <v/>
      </c>
      <c r="AE629" s="34" t="str">
        <f t="shared" si="629"/>
        <v/>
      </c>
      <c r="AF629" s="34" t="str">
        <f t="shared" si="629"/>
        <v/>
      </c>
      <c r="AG629" s="34" t="str">
        <f t="shared" si="629"/>
        <v/>
      </c>
      <c r="AH629" s="34" t="str">
        <f t="shared" si="629"/>
        <v/>
      </c>
      <c r="AI629" s="34" t="str">
        <f t="shared" si="629"/>
        <v/>
      </c>
      <c r="AJ629" s="34" t="str">
        <f t="shared" si="629"/>
        <v/>
      </c>
      <c r="AK629" s="34" t="str">
        <f t="shared" si="629"/>
        <v/>
      </c>
      <c r="AL629" s="34" t="str">
        <f t="shared" si="629"/>
        <v/>
      </c>
      <c r="AM629" s="34" t="str">
        <f t="shared" si="629"/>
        <v/>
      </c>
      <c r="AN629" s="34" t="str">
        <f t="shared" si="629"/>
        <v/>
      </c>
      <c r="AO629" s="34" t="str">
        <f t="shared" si="629"/>
        <v/>
      </c>
      <c r="AP629" s="34" t="str">
        <f t="shared" si="629"/>
        <v/>
      </c>
      <c r="AQ629" s="76" t="s">
        <v>669</v>
      </c>
      <c r="AR629" s="77"/>
      <c r="AS629" s="77"/>
      <c r="AT629" s="77"/>
      <c r="AU629" s="77"/>
      <c r="AV629" s="77"/>
      <c r="AW629" s="77"/>
      <c r="AX629" s="77"/>
      <c r="AY629" s="77"/>
      <c r="AZ629" s="77"/>
      <c r="BA629" s="77"/>
      <c r="BB629" s="77"/>
      <c r="BC629" s="77"/>
      <c r="BD629" s="77"/>
      <c r="BE629" s="77"/>
      <c r="BF629" s="77"/>
      <c r="BG629" s="77"/>
      <c r="BH629" s="77"/>
      <c r="BI629" s="77"/>
      <c r="BJ629" s="77"/>
      <c r="BK629" s="77"/>
      <c r="BL629" s="77"/>
      <c r="BM629" s="78"/>
    </row>
    <row r="630">
      <c r="A630" s="79">
        <v>2.5714285714285716</v>
      </c>
      <c r="B630" s="79" t="b">
        <v>0</v>
      </c>
      <c r="C630" s="79" t="b">
        <f t="shared" si="3"/>
        <v>0</v>
      </c>
      <c r="D630" s="80" t="s">
        <v>1565</v>
      </c>
      <c r="E630" s="81" t="s">
        <v>1067</v>
      </c>
      <c r="F630" s="82" t="s">
        <v>1401</v>
      </c>
      <c r="G630" s="35" t="s">
        <v>836</v>
      </c>
      <c r="H630" s="37">
        <v>-11.600248737833017</v>
      </c>
      <c r="I630" s="37">
        <v>-6.158111129105159</v>
      </c>
      <c r="J630" s="83" t="s">
        <v>2299</v>
      </c>
      <c r="K630" s="35">
        <v>30.4</v>
      </c>
      <c r="L630" s="79">
        <v>70.6</v>
      </c>
      <c r="M630" s="84">
        <v>25.0</v>
      </c>
      <c r="N630" s="84">
        <v>7.0</v>
      </c>
      <c r="O630" s="85">
        <v>-1.8270040955682307</v>
      </c>
      <c r="P630" s="85">
        <v>-1.8967218726177872</v>
      </c>
      <c r="Q630" s="85">
        <v>-1.3474331037415355</v>
      </c>
      <c r="R630" s="85">
        <v>-2.079863151705868</v>
      </c>
      <c r="S630" s="85">
        <v>-1.72461069241107</v>
      </c>
      <c r="T630" s="85">
        <v>0.44813554304231407</v>
      </c>
      <c r="U630" s="85">
        <v>-2.296580048682316</v>
      </c>
      <c r="V630" s="85">
        <v>0.0</v>
      </c>
      <c r="W630" s="85">
        <v>0.41655585708517334</v>
      </c>
      <c r="X630" s="85">
        <v>-1.2927271732336962</v>
      </c>
      <c r="Y630" s="50" t="s">
        <v>69</v>
      </c>
      <c r="Z630" s="50" t="s">
        <v>69</v>
      </c>
      <c r="AA630" s="50" t="s">
        <v>69</v>
      </c>
      <c r="AB630" s="50" t="s">
        <v>69</v>
      </c>
      <c r="AC630" s="34" t="str">
        <f t="shared" ref="AC630:AP630" si="630">LET(
  skater, IFERROR(INDEX(AllProj, MATCH($E630, AllProjNames, 0), MATCH(AC$2, AllProjCats, 0) + 1), ""),
  goalie, IFERROR(INDEX(AllGProj, MATCH($E630, AllGProjNames, 0), MATCH(AC$2, AllGProjCats, 0) + 1), ""),
  val, IF(skater &lt;&gt; "", skater, goalie),
  IF(OR($E630="", AC$2="", val=""), "", val * AC$1)
)</f>
        <v/>
      </c>
      <c r="AD630" s="34" t="str">
        <f t="shared" si="630"/>
        <v/>
      </c>
      <c r="AE630" s="34" t="str">
        <f t="shared" si="630"/>
        <v/>
      </c>
      <c r="AF630" s="34" t="str">
        <f t="shared" si="630"/>
        <v/>
      </c>
      <c r="AG630" s="34" t="str">
        <f t="shared" si="630"/>
        <v/>
      </c>
      <c r="AH630" s="34" t="str">
        <f t="shared" si="630"/>
        <v/>
      </c>
      <c r="AI630" s="34" t="str">
        <f t="shared" si="630"/>
        <v/>
      </c>
      <c r="AJ630" s="34" t="str">
        <f t="shared" si="630"/>
        <v/>
      </c>
      <c r="AK630" s="34" t="str">
        <f t="shared" si="630"/>
        <v/>
      </c>
      <c r="AL630" s="34" t="str">
        <f t="shared" si="630"/>
        <v/>
      </c>
      <c r="AM630" s="34" t="str">
        <f t="shared" si="630"/>
        <v/>
      </c>
      <c r="AN630" s="34" t="str">
        <f t="shared" si="630"/>
        <v/>
      </c>
      <c r="AO630" s="34" t="str">
        <f t="shared" si="630"/>
        <v/>
      </c>
      <c r="AP630" s="34" t="str">
        <f t="shared" si="630"/>
        <v/>
      </c>
      <c r="AQ630" s="76" t="s">
        <v>670</v>
      </c>
      <c r="AR630" s="77"/>
      <c r="AS630" s="77"/>
      <c r="AT630" s="77"/>
      <c r="AU630" s="77"/>
      <c r="AV630" s="77"/>
      <c r="AW630" s="77"/>
      <c r="AX630" s="77"/>
      <c r="AY630" s="77"/>
      <c r="AZ630" s="77"/>
      <c r="BA630" s="77"/>
      <c r="BB630" s="77"/>
      <c r="BC630" s="77"/>
      <c r="BD630" s="77"/>
      <c r="BE630" s="77"/>
      <c r="BF630" s="77"/>
      <c r="BG630" s="77"/>
      <c r="BH630" s="77"/>
      <c r="BI630" s="77"/>
      <c r="BJ630" s="77"/>
      <c r="BK630" s="77"/>
      <c r="BL630" s="77"/>
      <c r="BM630" s="78"/>
    </row>
    <row r="631">
      <c r="A631" s="41">
        <v>2.7142857142857144</v>
      </c>
      <c r="B631" s="41" t="b">
        <v>0</v>
      </c>
      <c r="C631" s="41" t="b">
        <f t="shared" si="3"/>
        <v>0</v>
      </c>
      <c r="D631" s="42" t="s">
        <v>1565</v>
      </c>
      <c r="E631" s="43" t="s">
        <v>1319</v>
      </c>
      <c r="F631" s="44" t="s">
        <v>1512</v>
      </c>
      <c r="G631" s="29" t="s">
        <v>832</v>
      </c>
      <c r="H631" s="32">
        <v>-11.602171678934573</v>
      </c>
      <c r="I631" s="32">
        <v>-6.160034070206716</v>
      </c>
      <c r="J631" s="45" t="s">
        <v>2300</v>
      </c>
      <c r="K631" s="29">
        <v>27.2</v>
      </c>
      <c r="L631" s="41">
        <v>75.57142857142857</v>
      </c>
      <c r="M631" s="46">
        <v>21.0</v>
      </c>
      <c r="N631" s="46">
        <v>7.0</v>
      </c>
      <c r="O631" s="47">
        <v>-1.7946664182973682</v>
      </c>
      <c r="P631" s="47">
        <v>-1.9106416175704863</v>
      </c>
      <c r="Q631" s="47">
        <v>-2.320238043703256</v>
      </c>
      <c r="R631" s="47">
        <v>-1.2556536034951054</v>
      </c>
      <c r="S631" s="47">
        <v>-1.6546020245760928</v>
      </c>
      <c r="T631" s="47">
        <v>-0.16952108464970286</v>
      </c>
      <c r="U631" s="47">
        <v>-2.0139813292184185</v>
      </c>
      <c r="V631" s="47">
        <v>0.0</v>
      </c>
      <c r="W631" s="47">
        <v>0.47978754162097</v>
      </c>
      <c r="X631" s="47">
        <v>-0.962655099045111</v>
      </c>
      <c r="Y631" s="50" t="s">
        <v>69</v>
      </c>
      <c r="Z631" s="50" t="s">
        <v>69</v>
      </c>
      <c r="AA631" s="50" t="s">
        <v>69</v>
      </c>
      <c r="AB631" s="50" t="s">
        <v>69</v>
      </c>
      <c r="AC631" s="34" t="str">
        <f t="shared" ref="AC631:AP631" si="631">LET(
  skater, IFERROR(INDEX(AllProj, MATCH($E631, AllProjNames, 0), MATCH(AC$2, AllProjCats, 0) + 1), ""),
  goalie, IFERROR(INDEX(AllGProj, MATCH($E631, AllGProjNames, 0), MATCH(AC$2, AllGProjCats, 0) + 1), ""),
  val, IF(skater &lt;&gt; "", skater, goalie),
  IF(OR($E631="", AC$2="", val=""), "", val * AC$1)
)</f>
        <v/>
      </c>
      <c r="AD631" s="34" t="str">
        <f t="shared" si="631"/>
        <v/>
      </c>
      <c r="AE631" s="34" t="str">
        <f t="shared" si="631"/>
        <v/>
      </c>
      <c r="AF631" s="34" t="str">
        <f t="shared" si="631"/>
        <v/>
      </c>
      <c r="AG631" s="34" t="str">
        <f t="shared" si="631"/>
        <v/>
      </c>
      <c r="AH631" s="34" t="str">
        <f t="shared" si="631"/>
        <v/>
      </c>
      <c r="AI631" s="34" t="str">
        <f t="shared" si="631"/>
        <v/>
      </c>
      <c r="AJ631" s="34" t="str">
        <f t="shared" si="631"/>
        <v/>
      </c>
      <c r="AK631" s="34" t="str">
        <f t="shared" si="631"/>
        <v/>
      </c>
      <c r="AL631" s="34" t="str">
        <f t="shared" si="631"/>
        <v/>
      </c>
      <c r="AM631" s="34" t="str">
        <f t="shared" si="631"/>
        <v/>
      </c>
      <c r="AN631" s="34" t="str">
        <f t="shared" si="631"/>
        <v/>
      </c>
      <c r="AO631" s="34" t="str">
        <f t="shared" si="631"/>
        <v/>
      </c>
      <c r="AP631" s="34" t="str">
        <f t="shared" si="631"/>
        <v/>
      </c>
      <c r="AQ631" s="76" t="s">
        <v>671</v>
      </c>
      <c r="AR631" s="77"/>
      <c r="AS631" s="77"/>
      <c r="AT631" s="77"/>
      <c r="AU631" s="77"/>
      <c r="AV631" s="77"/>
      <c r="AW631" s="77"/>
      <c r="AX631" s="77"/>
      <c r="AY631" s="77"/>
      <c r="AZ631" s="77"/>
      <c r="BA631" s="77"/>
      <c r="BB631" s="77"/>
      <c r="BC631" s="77"/>
      <c r="BD631" s="77"/>
      <c r="BE631" s="77"/>
      <c r="BF631" s="77"/>
      <c r="BG631" s="77"/>
      <c r="BH631" s="77"/>
      <c r="BI631" s="77"/>
      <c r="BJ631" s="77"/>
      <c r="BK631" s="77"/>
      <c r="BL631" s="77"/>
      <c r="BM631" s="78"/>
    </row>
    <row r="632">
      <c r="A632" s="79">
        <v>2.642857142857143</v>
      </c>
      <c r="B632" s="79" t="b">
        <v>0</v>
      </c>
      <c r="C632" s="79" t="b">
        <f t="shared" si="3"/>
        <v>0</v>
      </c>
      <c r="D632" s="80" t="s">
        <v>1565</v>
      </c>
      <c r="E632" s="81" t="s">
        <v>1275</v>
      </c>
      <c r="F632" s="82" t="s">
        <v>1411</v>
      </c>
      <c r="G632" s="35" t="s">
        <v>837</v>
      </c>
      <c r="H632" s="37">
        <v>-11.61012121836991</v>
      </c>
      <c r="I632" s="37">
        <v>-6.080262446441009</v>
      </c>
      <c r="J632" s="83" t="s">
        <v>2301</v>
      </c>
      <c r="K632" s="35">
        <v>30.3</v>
      </c>
      <c r="L632" s="79">
        <v>57.8</v>
      </c>
      <c r="M632" s="84">
        <v>33.0</v>
      </c>
      <c r="N632" s="84">
        <v>8.0</v>
      </c>
      <c r="O632" s="85">
        <v>-2.485974096843362</v>
      </c>
      <c r="P632" s="85">
        <v>-2.1045900639114286</v>
      </c>
      <c r="Q632" s="85">
        <v>-0.7403843345717335</v>
      </c>
      <c r="R632" s="85">
        <v>-0.11526021997935178</v>
      </c>
      <c r="S632" s="85">
        <v>-1.72461069241107</v>
      </c>
      <c r="T632" s="85">
        <v>-0.7871777123417198</v>
      </c>
      <c r="U632" s="85">
        <v>-3.012409177147613</v>
      </c>
      <c r="V632" s="85">
        <v>0.0</v>
      </c>
      <c r="W632" s="85">
        <v>-0.6063922838494913</v>
      </c>
      <c r="X632" s="85">
        <v>-0.03332263731414146</v>
      </c>
      <c r="Y632" s="50" t="s">
        <v>69</v>
      </c>
      <c r="Z632" s="50" t="s">
        <v>69</v>
      </c>
      <c r="AA632" s="50" t="s">
        <v>69</v>
      </c>
      <c r="AB632" s="50" t="s">
        <v>69</v>
      </c>
      <c r="AC632" s="34" t="str">
        <f t="shared" ref="AC632:AP632" si="632">LET(
  skater, IFERROR(INDEX(AllProj, MATCH($E632, AllProjNames, 0), MATCH(AC$2, AllProjCats, 0) + 1), ""),
  goalie, IFERROR(INDEX(AllGProj, MATCH($E632, AllGProjNames, 0), MATCH(AC$2, AllGProjCats, 0) + 1), ""),
  val, IF(skater &lt;&gt; "", skater, goalie),
  IF(OR($E632="", AC$2="", val=""), "", val * AC$1)
)</f>
        <v/>
      </c>
      <c r="AD632" s="34" t="str">
        <f t="shared" si="632"/>
        <v/>
      </c>
      <c r="AE632" s="34" t="str">
        <f t="shared" si="632"/>
        <v/>
      </c>
      <c r="AF632" s="34" t="str">
        <f t="shared" si="632"/>
        <v/>
      </c>
      <c r="AG632" s="34" t="str">
        <f t="shared" si="632"/>
        <v/>
      </c>
      <c r="AH632" s="34" t="str">
        <f t="shared" si="632"/>
        <v/>
      </c>
      <c r="AI632" s="34" t="str">
        <f t="shared" si="632"/>
        <v/>
      </c>
      <c r="AJ632" s="34" t="str">
        <f t="shared" si="632"/>
        <v/>
      </c>
      <c r="AK632" s="34" t="str">
        <f t="shared" si="632"/>
        <v/>
      </c>
      <c r="AL632" s="34" t="str">
        <f t="shared" si="632"/>
        <v/>
      </c>
      <c r="AM632" s="34" t="str">
        <f t="shared" si="632"/>
        <v/>
      </c>
      <c r="AN632" s="34" t="str">
        <f t="shared" si="632"/>
        <v/>
      </c>
      <c r="AO632" s="34" t="str">
        <f t="shared" si="632"/>
        <v/>
      </c>
      <c r="AP632" s="34" t="str">
        <f t="shared" si="632"/>
        <v/>
      </c>
      <c r="AQ632" s="76" t="s">
        <v>672</v>
      </c>
      <c r="AR632" s="77"/>
      <c r="AS632" s="77"/>
      <c r="AT632" s="77"/>
      <c r="AU632" s="77"/>
      <c r="AV632" s="77"/>
      <c r="AW632" s="77"/>
      <c r="AX632" s="77"/>
      <c r="AY632" s="77"/>
      <c r="AZ632" s="77"/>
      <c r="BA632" s="77"/>
      <c r="BB632" s="77"/>
      <c r="BC632" s="77"/>
      <c r="BD632" s="77"/>
      <c r="BE632" s="77"/>
      <c r="BF632" s="77"/>
      <c r="BG632" s="77"/>
      <c r="BH632" s="77"/>
      <c r="BI632" s="77"/>
      <c r="BJ632" s="77"/>
      <c r="BK632" s="77"/>
      <c r="BL632" s="77"/>
      <c r="BM632" s="78"/>
    </row>
    <row r="633">
      <c r="A633" s="41">
        <v>2.642857142857143</v>
      </c>
      <c r="B633" s="41" t="b">
        <v>0</v>
      </c>
      <c r="C633" s="41" t="b">
        <f t="shared" si="3"/>
        <v>0</v>
      </c>
      <c r="D633" s="42" t="s">
        <v>1565</v>
      </c>
      <c r="E633" s="43" t="s">
        <v>1157</v>
      </c>
      <c r="F633" s="44" t="s">
        <v>849</v>
      </c>
      <c r="G633" s="29" t="s">
        <v>832</v>
      </c>
      <c r="H633" s="32">
        <v>-11.619678266966687</v>
      </c>
      <c r="I633" s="32">
        <v>-6.17754065823883</v>
      </c>
      <c r="J633" s="45" t="s">
        <v>2302</v>
      </c>
      <c r="K633" s="29">
        <v>30.1</v>
      </c>
      <c r="L633" s="41">
        <v>69.42857142857143</v>
      </c>
      <c r="M633" s="46">
        <v>29.0</v>
      </c>
      <c r="N633" s="46">
        <v>6.0</v>
      </c>
      <c r="O633" s="47">
        <v>-1.4569173445794712</v>
      </c>
      <c r="P633" s="47">
        <v>-1.4953692264816276</v>
      </c>
      <c r="Q633" s="47">
        <v>-1.0963617826055518</v>
      </c>
      <c r="R633" s="47">
        <v>-1.6642057502375094</v>
      </c>
      <c r="S633" s="47">
        <v>-1.5192519334284698</v>
      </c>
      <c r="T633" s="47">
        <v>-0.16952108464970286</v>
      </c>
      <c r="U633" s="47">
        <v>-1.680120516456418</v>
      </c>
      <c r="V633" s="47">
        <v>0.0</v>
      </c>
      <c r="W633" s="47">
        <v>-0.5799286529141394</v>
      </c>
      <c r="X633" s="47">
        <v>-1.9580019756137979</v>
      </c>
      <c r="Y633" s="50" t="s">
        <v>69</v>
      </c>
      <c r="Z633" s="50" t="s">
        <v>69</v>
      </c>
      <c r="AA633" s="50" t="s">
        <v>69</v>
      </c>
      <c r="AB633" s="50" t="s">
        <v>69</v>
      </c>
      <c r="AC633" s="34" t="str">
        <f t="shared" ref="AC633:AP633" si="633">LET(
  skater, IFERROR(INDEX(AllProj, MATCH($E633, AllProjNames, 0), MATCH(AC$2, AllProjCats, 0) + 1), ""),
  goalie, IFERROR(INDEX(AllGProj, MATCH($E633, AllGProjNames, 0), MATCH(AC$2, AllGProjCats, 0) + 1), ""),
  val, IF(skater &lt;&gt; "", skater, goalie),
  IF(OR($E633="", AC$2="", val=""), "", val * AC$1)
)</f>
        <v/>
      </c>
      <c r="AD633" s="34" t="str">
        <f t="shared" si="633"/>
        <v/>
      </c>
      <c r="AE633" s="34" t="str">
        <f t="shared" si="633"/>
        <v/>
      </c>
      <c r="AF633" s="34" t="str">
        <f t="shared" si="633"/>
        <v/>
      </c>
      <c r="AG633" s="34" t="str">
        <f t="shared" si="633"/>
        <v/>
      </c>
      <c r="AH633" s="34" t="str">
        <f t="shared" si="633"/>
        <v/>
      </c>
      <c r="AI633" s="34" t="str">
        <f t="shared" si="633"/>
        <v/>
      </c>
      <c r="AJ633" s="34" t="str">
        <f t="shared" si="633"/>
        <v/>
      </c>
      <c r="AK633" s="34" t="str">
        <f t="shared" si="633"/>
        <v/>
      </c>
      <c r="AL633" s="34" t="str">
        <f t="shared" si="633"/>
        <v/>
      </c>
      <c r="AM633" s="34" t="str">
        <f t="shared" si="633"/>
        <v/>
      </c>
      <c r="AN633" s="34" t="str">
        <f t="shared" si="633"/>
        <v/>
      </c>
      <c r="AO633" s="34" t="str">
        <f t="shared" si="633"/>
        <v/>
      </c>
      <c r="AP633" s="34" t="str">
        <f t="shared" si="633"/>
        <v/>
      </c>
      <c r="AQ633" s="76" t="s">
        <v>673</v>
      </c>
      <c r="AR633" s="77"/>
      <c r="AS633" s="77"/>
      <c r="AT633" s="77"/>
      <c r="AU633" s="77"/>
      <c r="AV633" s="77"/>
      <c r="AW633" s="77"/>
      <c r="AX633" s="77"/>
      <c r="AY633" s="77"/>
      <c r="AZ633" s="77"/>
      <c r="BA633" s="77"/>
      <c r="BB633" s="77"/>
      <c r="BC633" s="77"/>
      <c r="BD633" s="77"/>
      <c r="BE633" s="77"/>
      <c r="BF633" s="77"/>
      <c r="BG633" s="77"/>
      <c r="BH633" s="77"/>
      <c r="BI633" s="77"/>
      <c r="BJ633" s="77"/>
      <c r="BK633" s="77"/>
      <c r="BL633" s="77"/>
      <c r="BM633" s="78"/>
    </row>
    <row r="634">
      <c r="A634" s="79">
        <v>2.642857142857143</v>
      </c>
      <c r="B634" s="79" t="b">
        <v>0</v>
      </c>
      <c r="C634" s="79" t="b">
        <f t="shared" si="3"/>
        <v>0</v>
      </c>
      <c r="D634" s="80" t="s">
        <v>1565</v>
      </c>
      <c r="E634" s="81" t="s">
        <v>1182</v>
      </c>
      <c r="F634" s="82" t="s">
        <v>930</v>
      </c>
      <c r="G634" s="35" t="s">
        <v>284</v>
      </c>
      <c r="H634" s="37">
        <v>-11.62817170905871</v>
      </c>
      <c r="I634" s="37">
        <v>-6.590105688875625</v>
      </c>
      <c r="J634" s="83" t="s">
        <v>2303</v>
      </c>
      <c r="K634" s="35">
        <v>37.4</v>
      </c>
      <c r="L634" s="79">
        <v>78.0</v>
      </c>
      <c r="M634" s="84">
        <v>29.0</v>
      </c>
      <c r="N634" s="84">
        <v>7.0</v>
      </c>
      <c r="O634" s="85">
        <v>-1.6868741607278266</v>
      </c>
      <c r="P634" s="85">
        <v>-1.8062435304252427</v>
      </c>
      <c r="Q634" s="85">
        <v>-0.41106066293450455</v>
      </c>
      <c r="R634" s="85">
        <v>-1.468811245273751</v>
      </c>
      <c r="S634" s="85">
        <v>-1.5565898896071244</v>
      </c>
      <c r="T634" s="85">
        <v>-0.16952108464970286</v>
      </c>
      <c r="U634" s="85">
        <v>-1.956804379001304</v>
      </c>
      <c r="V634" s="85">
        <v>0.614920234565604</v>
      </c>
      <c r="W634" s="85">
        <v>-1.5635326345820864</v>
      </c>
      <c r="X634" s="85">
        <v>-1.62365435642277</v>
      </c>
      <c r="Y634" s="50" t="s">
        <v>69</v>
      </c>
      <c r="Z634" s="50" t="s">
        <v>69</v>
      </c>
      <c r="AA634" s="50" t="s">
        <v>69</v>
      </c>
      <c r="AB634" s="50" t="s">
        <v>69</v>
      </c>
      <c r="AC634" s="34" t="str">
        <f t="shared" ref="AC634:AP634" si="634">LET(
  skater, IFERROR(INDEX(AllProj, MATCH($E634, AllProjNames, 0), MATCH(AC$2, AllProjCats, 0) + 1), ""),
  goalie, IFERROR(INDEX(AllGProj, MATCH($E634, AllGProjNames, 0), MATCH(AC$2, AllGProjCats, 0) + 1), ""),
  val, IF(skater &lt;&gt; "", skater, goalie),
  IF(OR($E634="", AC$2="", val=""), "", val * AC$1)
)</f>
        <v/>
      </c>
      <c r="AD634" s="34" t="str">
        <f t="shared" si="634"/>
        <v/>
      </c>
      <c r="AE634" s="34" t="str">
        <f t="shared" si="634"/>
        <v/>
      </c>
      <c r="AF634" s="34" t="str">
        <f t="shared" si="634"/>
        <v/>
      </c>
      <c r="AG634" s="34" t="str">
        <f t="shared" si="634"/>
        <v/>
      </c>
      <c r="AH634" s="34" t="str">
        <f t="shared" si="634"/>
        <v/>
      </c>
      <c r="AI634" s="34" t="str">
        <f t="shared" si="634"/>
        <v/>
      </c>
      <c r="AJ634" s="34" t="str">
        <f t="shared" si="634"/>
        <v/>
      </c>
      <c r="AK634" s="34" t="str">
        <f t="shared" si="634"/>
        <v/>
      </c>
      <c r="AL634" s="34" t="str">
        <f t="shared" si="634"/>
        <v/>
      </c>
      <c r="AM634" s="34" t="str">
        <f t="shared" si="634"/>
        <v/>
      </c>
      <c r="AN634" s="34" t="str">
        <f t="shared" si="634"/>
        <v/>
      </c>
      <c r="AO634" s="34" t="str">
        <f t="shared" si="634"/>
        <v/>
      </c>
      <c r="AP634" s="34" t="str">
        <f t="shared" si="634"/>
        <v/>
      </c>
      <c r="AQ634" s="76" t="s">
        <v>674</v>
      </c>
      <c r="AR634" s="77"/>
      <c r="AS634" s="77"/>
      <c r="AT634" s="77"/>
      <c r="AU634" s="77"/>
      <c r="AV634" s="77"/>
      <c r="AW634" s="77"/>
      <c r="AX634" s="77"/>
      <c r="AY634" s="77"/>
      <c r="AZ634" s="77"/>
      <c r="BA634" s="77"/>
      <c r="BB634" s="77"/>
      <c r="BC634" s="77"/>
      <c r="BD634" s="77"/>
      <c r="BE634" s="77"/>
      <c r="BF634" s="77"/>
      <c r="BG634" s="77"/>
      <c r="BH634" s="77"/>
      <c r="BI634" s="77"/>
      <c r="BJ634" s="77"/>
      <c r="BK634" s="77"/>
      <c r="BL634" s="77"/>
      <c r="BM634" s="78"/>
    </row>
    <row r="635">
      <c r="A635" s="41">
        <v>2.642857142857143</v>
      </c>
      <c r="B635" s="41" t="b">
        <v>0</v>
      </c>
      <c r="C635" s="41" t="b">
        <f t="shared" si="3"/>
        <v>0</v>
      </c>
      <c r="D635" s="42" t="s">
        <v>1565</v>
      </c>
      <c r="E635" s="43" t="s">
        <v>1179</v>
      </c>
      <c r="F635" s="44" t="s">
        <v>1454</v>
      </c>
      <c r="G635" s="29" t="s">
        <v>832</v>
      </c>
      <c r="H635" s="32">
        <v>-11.665147723009463</v>
      </c>
      <c r="I635" s="32">
        <v>-6.223010114281606</v>
      </c>
      <c r="J635" s="45" t="s">
        <v>2304</v>
      </c>
      <c r="K635" s="29">
        <v>33.5</v>
      </c>
      <c r="L635" s="41">
        <v>68.0</v>
      </c>
      <c r="M635" s="46">
        <v>25.0</v>
      </c>
      <c r="N635" s="46">
        <v>6.0</v>
      </c>
      <c r="O635" s="47">
        <v>-1.4245796673086086</v>
      </c>
      <c r="P635" s="47">
        <v>-1.7180851457248145</v>
      </c>
      <c r="Q635" s="47">
        <v>-2.1708508284957233</v>
      </c>
      <c r="R635" s="47">
        <v>-1.6197979082002913</v>
      </c>
      <c r="S635" s="47">
        <v>-1.6079295793527744</v>
      </c>
      <c r="T635" s="47">
        <v>-0.16952108464970286</v>
      </c>
      <c r="U635" s="47">
        <v>-1.873339175810804</v>
      </c>
      <c r="V635" s="47">
        <v>0.34311923639885167</v>
      </c>
      <c r="W635" s="47">
        <v>-0.23918013069345767</v>
      </c>
      <c r="X635" s="47">
        <v>-1.1849834391721377</v>
      </c>
      <c r="Y635" s="50" t="s">
        <v>69</v>
      </c>
      <c r="Z635" s="50" t="s">
        <v>69</v>
      </c>
      <c r="AA635" s="50" t="s">
        <v>69</v>
      </c>
      <c r="AB635" s="50" t="s">
        <v>69</v>
      </c>
      <c r="AC635" s="34" t="str">
        <f t="shared" ref="AC635:AP635" si="635">LET(
  skater, IFERROR(INDEX(AllProj, MATCH($E635, AllProjNames, 0), MATCH(AC$2, AllProjCats, 0) + 1), ""),
  goalie, IFERROR(INDEX(AllGProj, MATCH($E635, AllGProjNames, 0), MATCH(AC$2, AllGProjCats, 0) + 1), ""),
  val, IF(skater &lt;&gt; "", skater, goalie),
  IF(OR($E635="", AC$2="", val=""), "", val * AC$1)
)</f>
        <v/>
      </c>
      <c r="AD635" s="34" t="str">
        <f t="shared" si="635"/>
        <v/>
      </c>
      <c r="AE635" s="34" t="str">
        <f t="shared" si="635"/>
        <v/>
      </c>
      <c r="AF635" s="34" t="str">
        <f t="shared" si="635"/>
        <v/>
      </c>
      <c r="AG635" s="34" t="str">
        <f t="shared" si="635"/>
        <v/>
      </c>
      <c r="AH635" s="34" t="str">
        <f t="shared" si="635"/>
        <v/>
      </c>
      <c r="AI635" s="34" t="str">
        <f t="shared" si="635"/>
        <v/>
      </c>
      <c r="AJ635" s="34" t="str">
        <f t="shared" si="635"/>
        <v/>
      </c>
      <c r="AK635" s="34" t="str">
        <f t="shared" si="635"/>
        <v/>
      </c>
      <c r="AL635" s="34" t="str">
        <f t="shared" si="635"/>
        <v/>
      </c>
      <c r="AM635" s="34" t="str">
        <f t="shared" si="635"/>
        <v/>
      </c>
      <c r="AN635" s="34" t="str">
        <f t="shared" si="635"/>
        <v/>
      </c>
      <c r="AO635" s="34" t="str">
        <f t="shared" si="635"/>
        <v/>
      </c>
      <c r="AP635" s="34" t="str">
        <f t="shared" si="635"/>
        <v/>
      </c>
      <c r="AQ635" s="76" t="s">
        <v>675</v>
      </c>
      <c r="AR635" s="77"/>
      <c r="AS635" s="77"/>
      <c r="AT635" s="77"/>
      <c r="AU635" s="77"/>
      <c r="AV635" s="77"/>
      <c r="AW635" s="77"/>
      <c r="AX635" s="77"/>
      <c r="AY635" s="77"/>
      <c r="AZ635" s="77"/>
      <c r="BA635" s="77"/>
      <c r="BB635" s="77"/>
      <c r="BC635" s="77"/>
      <c r="BD635" s="77"/>
      <c r="BE635" s="77"/>
      <c r="BF635" s="77"/>
      <c r="BG635" s="77"/>
      <c r="BH635" s="77"/>
      <c r="BI635" s="77"/>
      <c r="BJ635" s="77"/>
      <c r="BK635" s="77"/>
      <c r="BL635" s="77"/>
      <c r="BM635" s="78"/>
    </row>
    <row r="636">
      <c r="A636" s="79">
        <v>2.642857142857143</v>
      </c>
      <c r="B636" s="79" t="b">
        <v>0</v>
      </c>
      <c r="C636" s="79" t="b">
        <f t="shared" si="3"/>
        <v>0</v>
      </c>
      <c r="D636" s="80" t="s">
        <v>1565</v>
      </c>
      <c r="E636" s="81" t="s">
        <v>1176</v>
      </c>
      <c r="F636" s="82" t="s">
        <v>849</v>
      </c>
      <c r="G636" s="35" t="s">
        <v>832</v>
      </c>
      <c r="H636" s="37">
        <v>-11.670241663114183</v>
      </c>
      <c r="I636" s="37">
        <v>-6.228104054386326</v>
      </c>
      <c r="J636" s="83" t="s">
        <v>2305</v>
      </c>
      <c r="K636" s="35">
        <v>29.6</v>
      </c>
      <c r="L636" s="79">
        <v>71.57142857142857</v>
      </c>
      <c r="M636" s="84">
        <v>29.0</v>
      </c>
      <c r="N636" s="84">
        <v>6.0</v>
      </c>
      <c r="O636" s="85">
        <v>-1.970727105660953</v>
      </c>
      <c r="P636" s="85">
        <v>-1.6136870585795708</v>
      </c>
      <c r="Q636" s="85">
        <v>-1.1791605014385325</v>
      </c>
      <c r="R636" s="85">
        <v>-1.4599296768663073</v>
      </c>
      <c r="S636" s="85">
        <v>-1.6779382471877518</v>
      </c>
      <c r="T636" s="85">
        <v>-0.16952108464970286</v>
      </c>
      <c r="U636" s="85">
        <v>-2.2387458921408676</v>
      </c>
      <c r="V636" s="85">
        <v>0.0</v>
      </c>
      <c r="W636" s="85">
        <v>0.1425518907633882</v>
      </c>
      <c r="X636" s="85">
        <v>-1.5030839873538828</v>
      </c>
      <c r="Y636" s="50" t="s">
        <v>69</v>
      </c>
      <c r="Z636" s="50" t="s">
        <v>69</v>
      </c>
      <c r="AA636" s="50" t="s">
        <v>69</v>
      </c>
      <c r="AB636" s="50" t="s">
        <v>69</v>
      </c>
      <c r="AC636" s="34" t="str">
        <f t="shared" ref="AC636:AP636" si="636">LET(
  skater, IFERROR(INDEX(AllProj, MATCH($E636, AllProjNames, 0), MATCH(AC$2, AllProjCats, 0) + 1), ""),
  goalie, IFERROR(INDEX(AllGProj, MATCH($E636, AllGProjNames, 0), MATCH(AC$2, AllGProjCats, 0) + 1), ""),
  val, IF(skater &lt;&gt; "", skater, goalie),
  IF(OR($E636="", AC$2="", val=""), "", val * AC$1)
)</f>
        <v/>
      </c>
      <c r="AD636" s="34" t="str">
        <f t="shared" si="636"/>
        <v/>
      </c>
      <c r="AE636" s="34" t="str">
        <f t="shared" si="636"/>
        <v/>
      </c>
      <c r="AF636" s="34" t="str">
        <f t="shared" si="636"/>
        <v/>
      </c>
      <c r="AG636" s="34" t="str">
        <f t="shared" si="636"/>
        <v/>
      </c>
      <c r="AH636" s="34" t="str">
        <f t="shared" si="636"/>
        <v/>
      </c>
      <c r="AI636" s="34" t="str">
        <f t="shared" si="636"/>
        <v/>
      </c>
      <c r="AJ636" s="34" t="str">
        <f t="shared" si="636"/>
        <v/>
      </c>
      <c r="AK636" s="34" t="str">
        <f t="shared" si="636"/>
        <v/>
      </c>
      <c r="AL636" s="34" t="str">
        <f t="shared" si="636"/>
        <v/>
      </c>
      <c r="AM636" s="34" t="str">
        <f t="shared" si="636"/>
        <v/>
      </c>
      <c r="AN636" s="34" t="str">
        <f t="shared" si="636"/>
        <v/>
      </c>
      <c r="AO636" s="34" t="str">
        <f t="shared" si="636"/>
        <v/>
      </c>
      <c r="AP636" s="34" t="str">
        <f t="shared" si="636"/>
        <v/>
      </c>
      <c r="AQ636" s="76" t="s">
        <v>676</v>
      </c>
      <c r="AR636" s="77"/>
      <c r="AS636" s="77"/>
      <c r="AT636" s="77"/>
      <c r="AU636" s="77"/>
      <c r="AV636" s="77"/>
      <c r="AW636" s="77"/>
      <c r="AX636" s="77"/>
      <c r="AY636" s="77"/>
      <c r="AZ636" s="77"/>
      <c r="BA636" s="77"/>
      <c r="BB636" s="77"/>
      <c r="BC636" s="77"/>
      <c r="BD636" s="77"/>
      <c r="BE636" s="77"/>
      <c r="BF636" s="77"/>
      <c r="BG636" s="77"/>
      <c r="BH636" s="77"/>
      <c r="BI636" s="77"/>
      <c r="BJ636" s="77"/>
      <c r="BK636" s="77"/>
      <c r="BL636" s="77"/>
      <c r="BM636" s="78"/>
    </row>
    <row r="637">
      <c r="A637" s="41">
        <v>2.642857142857143</v>
      </c>
      <c r="B637" s="41" t="b">
        <v>0</v>
      </c>
      <c r="C637" s="41" t="b">
        <f t="shared" si="3"/>
        <v>0</v>
      </c>
      <c r="D637" s="42" t="s">
        <v>1565</v>
      </c>
      <c r="E637" s="43" t="s">
        <v>1196</v>
      </c>
      <c r="F637" s="44" t="s">
        <v>1419</v>
      </c>
      <c r="G637" s="29" t="s">
        <v>284</v>
      </c>
      <c r="H637" s="32">
        <v>-11.683978143688318</v>
      </c>
      <c r="I637" s="32">
        <v>-6.645912123505233</v>
      </c>
      <c r="J637" s="45" t="s">
        <v>2306</v>
      </c>
      <c r="K637" s="29">
        <v>32.0</v>
      </c>
      <c r="L637" s="41">
        <v>69.14285714285714</v>
      </c>
      <c r="M637" s="46">
        <v>23.0</v>
      </c>
      <c r="N637" s="46">
        <v>7.0</v>
      </c>
      <c r="O637" s="47">
        <v>-1.2377397541880697</v>
      </c>
      <c r="P637" s="47">
        <v>-1.903681745094137</v>
      </c>
      <c r="Q637" s="47">
        <v>0.20522403692706828</v>
      </c>
      <c r="R637" s="47">
        <v>-1.584271634570517</v>
      </c>
      <c r="S637" s="47">
        <v>-1.5565898896071244</v>
      </c>
      <c r="T637" s="47">
        <v>-0.16952108464970286</v>
      </c>
      <c r="U637" s="47">
        <v>-2.2407175111138713</v>
      </c>
      <c r="V637" s="47">
        <v>0.16596479940602343</v>
      </c>
      <c r="W637" s="47">
        <v>-1.8621267004455702</v>
      </c>
      <c r="X637" s="47">
        <v>-1.500518660352417</v>
      </c>
      <c r="Y637" s="50" t="s">
        <v>69</v>
      </c>
      <c r="Z637" s="50" t="s">
        <v>69</v>
      </c>
      <c r="AA637" s="50" t="s">
        <v>69</v>
      </c>
      <c r="AB637" s="50" t="s">
        <v>69</v>
      </c>
      <c r="AC637" s="34" t="str">
        <f t="shared" ref="AC637:AP637" si="637">LET(
  skater, IFERROR(INDEX(AllProj, MATCH($E637, AllProjNames, 0), MATCH(AC$2, AllProjCats, 0) + 1), ""),
  goalie, IFERROR(INDEX(AllGProj, MATCH($E637, AllGProjNames, 0), MATCH(AC$2, AllGProjCats, 0) + 1), ""),
  val, IF(skater &lt;&gt; "", skater, goalie),
  IF(OR($E637="", AC$2="", val=""), "", val * AC$1)
)</f>
        <v/>
      </c>
      <c r="AD637" s="34" t="str">
        <f t="shared" si="637"/>
        <v/>
      </c>
      <c r="AE637" s="34" t="str">
        <f t="shared" si="637"/>
        <v/>
      </c>
      <c r="AF637" s="34" t="str">
        <f t="shared" si="637"/>
        <v/>
      </c>
      <c r="AG637" s="34" t="str">
        <f t="shared" si="637"/>
        <v/>
      </c>
      <c r="AH637" s="34" t="str">
        <f t="shared" si="637"/>
        <v/>
      </c>
      <c r="AI637" s="34" t="str">
        <f t="shared" si="637"/>
        <v/>
      </c>
      <c r="AJ637" s="34" t="str">
        <f t="shared" si="637"/>
        <v/>
      </c>
      <c r="AK637" s="34" t="str">
        <f t="shared" si="637"/>
        <v/>
      </c>
      <c r="AL637" s="34" t="str">
        <f t="shared" si="637"/>
        <v/>
      </c>
      <c r="AM637" s="34" t="str">
        <f t="shared" si="637"/>
        <v/>
      </c>
      <c r="AN637" s="34" t="str">
        <f t="shared" si="637"/>
        <v/>
      </c>
      <c r="AO637" s="34" t="str">
        <f t="shared" si="637"/>
        <v/>
      </c>
      <c r="AP637" s="34" t="str">
        <f t="shared" si="637"/>
        <v/>
      </c>
      <c r="AQ637" s="76" t="s">
        <v>677</v>
      </c>
      <c r="AR637" s="77"/>
      <c r="AS637" s="77"/>
      <c r="AT637" s="77"/>
      <c r="AU637" s="77"/>
      <c r="AV637" s="77"/>
      <c r="AW637" s="77"/>
      <c r="AX637" s="77"/>
      <c r="AY637" s="77"/>
      <c r="AZ637" s="77"/>
      <c r="BA637" s="77"/>
      <c r="BB637" s="77"/>
      <c r="BC637" s="77"/>
      <c r="BD637" s="77"/>
      <c r="BE637" s="77"/>
      <c r="BF637" s="77"/>
      <c r="BG637" s="77"/>
      <c r="BH637" s="77"/>
      <c r="BI637" s="77"/>
      <c r="BJ637" s="77"/>
      <c r="BK637" s="77"/>
      <c r="BL637" s="77"/>
      <c r="BM637" s="78"/>
    </row>
    <row r="638">
      <c r="A638" s="79">
        <v>2.5714285714285716</v>
      </c>
      <c r="B638" s="79" t="b">
        <v>0</v>
      </c>
      <c r="C638" s="79" t="b">
        <f t="shared" si="3"/>
        <v>0</v>
      </c>
      <c r="D638" s="80" t="s">
        <v>1565</v>
      </c>
      <c r="E638" s="81" t="s">
        <v>992</v>
      </c>
      <c r="F638" s="82" t="s">
        <v>1473</v>
      </c>
      <c r="G638" s="35" t="s">
        <v>284</v>
      </c>
      <c r="H638" s="37">
        <v>-11.695324363038225</v>
      </c>
      <c r="I638" s="37">
        <v>-6.6572583428551395</v>
      </c>
      <c r="J638" s="83" t="s">
        <v>2307</v>
      </c>
      <c r="K638" s="35">
        <v>26.6</v>
      </c>
      <c r="L638" s="79">
        <v>77.0</v>
      </c>
      <c r="M638" s="84">
        <v>25.0</v>
      </c>
      <c r="N638" s="84">
        <v>6.0</v>
      </c>
      <c r="O638" s="85">
        <v>-1.90245867586691</v>
      </c>
      <c r="P638" s="85">
        <v>-2.18903651662447</v>
      </c>
      <c r="Q638" s="96" t="s">
        <v>69</v>
      </c>
      <c r="R638" s="85">
        <v>-2.3036786755734457</v>
      </c>
      <c r="S638" s="96" t="s">
        <v>69</v>
      </c>
      <c r="T638" s="96" t="s">
        <v>69</v>
      </c>
      <c r="U638" s="85">
        <v>-1.979149394028682</v>
      </c>
      <c r="V638" s="96" t="s">
        <v>69</v>
      </c>
      <c r="W638" s="85">
        <v>-1.12442371419461</v>
      </c>
      <c r="X638" s="85">
        <v>-2.196577386750107</v>
      </c>
      <c r="Y638" s="50" t="s">
        <v>69</v>
      </c>
      <c r="Z638" s="50" t="s">
        <v>69</v>
      </c>
      <c r="AA638" s="50" t="s">
        <v>69</v>
      </c>
      <c r="AB638" s="50" t="s">
        <v>69</v>
      </c>
      <c r="AC638" s="34" t="str">
        <f t="shared" ref="AC638:AP638" si="638">LET(
  skater, IFERROR(INDEX(AllProj, MATCH($E638, AllProjNames, 0), MATCH(AC$2, AllProjCats, 0) + 1), ""),
  goalie, IFERROR(INDEX(AllGProj, MATCH($E638, AllGProjNames, 0), MATCH(AC$2, AllGProjCats, 0) + 1), ""),
  val, IF(skater &lt;&gt; "", skater, goalie),
  IF(OR($E638="", AC$2="", val=""), "", val * AC$1)
)</f>
        <v/>
      </c>
      <c r="AD638" s="34" t="str">
        <f t="shared" si="638"/>
        <v/>
      </c>
      <c r="AE638" s="34" t="str">
        <f t="shared" si="638"/>
        <v/>
      </c>
      <c r="AF638" s="34" t="str">
        <f t="shared" si="638"/>
        <v/>
      </c>
      <c r="AG638" s="34" t="str">
        <f t="shared" si="638"/>
        <v/>
      </c>
      <c r="AH638" s="34" t="str">
        <f t="shared" si="638"/>
        <v/>
      </c>
      <c r="AI638" s="34" t="str">
        <f t="shared" si="638"/>
        <v/>
      </c>
      <c r="AJ638" s="34" t="str">
        <f t="shared" si="638"/>
        <v/>
      </c>
      <c r="AK638" s="34" t="str">
        <f t="shared" si="638"/>
        <v/>
      </c>
      <c r="AL638" s="34" t="str">
        <f t="shared" si="638"/>
        <v/>
      </c>
      <c r="AM638" s="34" t="str">
        <f t="shared" si="638"/>
        <v/>
      </c>
      <c r="AN638" s="34" t="str">
        <f t="shared" si="638"/>
        <v/>
      </c>
      <c r="AO638" s="34" t="str">
        <f t="shared" si="638"/>
        <v/>
      </c>
      <c r="AP638" s="34" t="str">
        <f t="shared" si="638"/>
        <v/>
      </c>
      <c r="AQ638" s="76" t="s">
        <v>678</v>
      </c>
      <c r="AR638" s="77"/>
      <c r="AS638" s="77"/>
      <c r="AT638" s="77"/>
      <c r="AU638" s="77"/>
      <c r="AV638" s="77"/>
      <c r="AW638" s="77"/>
      <c r="AX638" s="77"/>
      <c r="AY638" s="77"/>
      <c r="AZ638" s="77"/>
      <c r="BA638" s="77"/>
      <c r="BB638" s="77"/>
      <c r="BC638" s="77"/>
      <c r="BD638" s="77"/>
      <c r="BE638" s="77"/>
      <c r="BF638" s="77"/>
      <c r="BG638" s="77"/>
      <c r="BH638" s="77"/>
      <c r="BI638" s="77"/>
      <c r="BJ638" s="77"/>
      <c r="BK638" s="77"/>
      <c r="BL638" s="77"/>
      <c r="BM638" s="78"/>
    </row>
    <row r="639">
      <c r="A639" s="41">
        <v>2.7142857142857144</v>
      </c>
      <c r="B639" s="41" t="b">
        <v>0</v>
      </c>
      <c r="C639" s="41" t="b">
        <f t="shared" si="3"/>
        <v>0</v>
      </c>
      <c r="D639" s="42" t="s">
        <v>1565</v>
      </c>
      <c r="E639" s="43" t="s">
        <v>1318</v>
      </c>
      <c r="F639" s="44" t="s">
        <v>1517</v>
      </c>
      <c r="G639" s="29" t="s">
        <v>837</v>
      </c>
      <c r="H639" s="32">
        <v>-11.698535032307381</v>
      </c>
      <c r="I639" s="32">
        <v>-6.16867626037848</v>
      </c>
      <c r="J639" s="45" t="s">
        <v>2308</v>
      </c>
      <c r="K639" s="29">
        <v>27.8</v>
      </c>
      <c r="L639" s="41">
        <v>74.42857142857143</v>
      </c>
      <c r="M639" s="46">
        <v>18.0</v>
      </c>
      <c r="N639" s="46">
        <v>6.0</v>
      </c>
      <c r="O639" s="47">
        <v>-2.1791254702954</v>
      </c>
      <c r="P639" s="47">
        <v>-1.725045018201164</v>
      </c>
      <c r="Q639" s="47">
        <v>-2.819741865593515</v>
      </c>
      <c r="R639" s="47">
        <v>-0.12769441574977294</v>
      </c>
      <c r="S639" s="47">
        <v>-1.72461069241107</v>
      </c>
      <c r="T639" s="47">
        <v>-0.16952108464970286</v>
      </c>
      <c r="U639" s="47">
        <v>-2.090217262841237</v>
      </c>
      <c r="V639" s="47">
        <v>0.0</v>
      </c>
      <c r="W639" s="47">
        <v>-0.6917550579728167</v>
      </c>
      <c r="X639" s="47">
        <v>-0.17082416459270242</v>
      </c>
      <c r="Y639" s="50" t="s">
        <v>69</v>
      </c>
      <c r="Z639" s="50" t="s">
        <v>69</v>
      </c>
      <c r="AA639" s="50" t="s">
        <v>69</v>
      </c>
      <c r="AB639" s="50" t="s">
        <v>69</v>
      </c>
      <c r="AC639" s="34" t="str">
        <f t="shared" ref="AC639:AP639" si="639">LET(
  skater, IFERROR(INDEX(AllProj, MATCH($E639, AllProjNames, 0), MATCH(AC$2, AllProjCats, 0) + 1), ""),
  goalie, IFERROR(INDEX(AllGProj, MATCH($E639, AllGProjNames, 0), MATCH(AC$2, AllGProjCats, 0) + 1), ""),
  val, IF(skater &lt;&gt; "", skater, goalie),
  IF(OR($E639="", AC$2="", val=""), "", val * AC$1)
)</f>
        <v/>
      </c>
      <c r="AD639" s="34" t="str">
        <f t="shared" si="639"/>
        <v/>
      </c>
      <c r="AE639" s="34" t="str">
        <f t="shared" si="639"/>
        <v/>
      </c>
      <c r="AF639" s="34" t="str">
        <f t="shared" si="639"/>
        <v/>
      </c>
      <c r="AG639" s="34" t="str">
        <f t="shared" si="639"/>
        <v/>
      </c>
      <c r="AH639" s="34" t="str">
        <f t="shared" si="639"/>
        <v/>
      </c>
      <c r="AI639" s="34" t="str">
        <f t="shared" si="639"/>
        <v/>
      </c>
      <c r="AJ639" s="34" t="str">
        <f t="shared" si="639"/>
        <v/>
      </c>
      <c r="AK639" s="34" t="str">
        <f t="shared" si="639"/>
        <v/>
      </c>
      <c r="AL639" s="34" t="str">
        <f t="shared" si="639"/>
        <v/>
      </c>
      <c r="AM639" s="34" t="str">
        <f t="shared" si="639"/>
        <v/>
      </c>
      <c r="AN639" s="34" t="str">
        <f t="shared" si="639"/>
        <v/>
      </c>
      <c r="AO639" s="34" t="str">
        <f t="shared" si="639"/>
        <v/>
      </c>
      <c r="AP639" s="34" t="str">
        <f t="shared" si="639"/>
        <v/>
      </c>
      <c r="AQ639" s="76" t="s">
        <v>679</v>
      </c>
      <c r="AR639" s="77"/>
      <c r="AS639" s="77"/>
      <c r="AT639" s="77"/>
      <c r="AU639" s="77"/>
      <c r="AV639" s="77"/>
      <c r="AW639" s="77"/>
      <c r="AX639" s="77"/>
      <c r="AY639" s="77"/>
      <c r="AZ639" s="77"/>
      <c r="BA639" s="77"/>
      <c r="BB639" s="77"/>
      <c r="BC639" s="77"/>
      <c r="BD639" s="77"/>
      <c r="BE639" s="77"/>
      <c r="BF639" s="77"/>
      <c r="BG639" s="77"/>
      <c r="BH639" s="77"/>
      <c r="BI639" s="77"/>
      <c r="BJ639" s="77"/>
      <c r="BK639" s="77"/>
      <c r="BL639" s="77"/>
      <c r="BM639" s="78"/>
    </row>
    <row r="640">
      <c r="A640" s="79">
        <v>2.7142857142857144</v>
      </c>
      <c r="B640" s="79" t="b">
        <v>0</v>
      </c>
      <c r="C640" s="79" t="b">
        <f t="shared" si="3"/>
        <v>0</v>
      </c>
      <c r="D640" s="80" t="s">
        <v>1565</v>
      </c>
      <c r="E640" s="81" t="s">
        <v>1305</v>
      </c>
      <c r="F640" s="82" t="s">
        <v>1411</v>
      </c>
      <c r="G640" s="35" t="s">
        <v>837</v>
      </c>
      <c r="H640" s="37">
        <v>-11.707183950212317</v>
      </c>
      <c r="I640" s="37">
        <v>-6.177325178283415</v>
      </c>
      <c r="J640" s="83" t="s">
        <v>2309</v>
      </c>
      <c r="K640" s="35">
        <v>27.4</v>
      </c>
      <c r="L640" s="79">
        <v>68.2</v>
      </c>
      <c r="M640" s="84">
        <v>33.0</v>
      </c>
      <c r="N640" s="84">
        <v>8.0</v>
      </c>
      <c r="O640" s="85">
        <v>-2.2042769970616263</v>
      </c>
      <c r="P640" s="85">
        <v>-1.474489609052579</v>
      </c>
      <c r="Q640" s="85">
        <v>-3.0662939322368463</v>
      </c>
      <c r="R640" s="85">
        <v>-0.8488777704341903</v>
      </c>
      <c r="S640" s="85">
        <v>-1.1412051271195918</v>
      </c>
      <c r="T640" s="85">
        <v>-0.16952108464970286</v>
      </c>
      <c r="U640" s="85">
        <v>-2.126363610679643</v>
      </c>
      <c r="V640" s="85">
        <v>0.0</v>
      </c>
      <c r="W640" s="85">
        <v>-1.4604884079311586</v>
      </c>
      <c r="X640" s="85">
        <v>0.7843325889530218</v>
      </c>
      <c r="Y640" s="50" t="s">
        <v>69</v>
      </c>
      <c r="Z640" s="50" t="s">
        <v>69</v>
      </c>
      <c r="AA640" s="50" t="s">
        <v>69</v>
      </c>
      <c r="AB640" s="50" t="s">
        <v>69</v>
      </c>
      <c r="AC640" s="34" t="str">
        <f t="shared" ref="AC640:AP640" si="640">LET(
  skater, IFERROR(INDEX(AllProj, MATCH($E640, AllProjNames, 0), MATCH(AC$2, AllProjCats, 0) + 1), ""),
  goalie, IFERROR(INDEX(AllGProj, MATCH($E640, AllGProjNames, 0), MATCH(AC$2, AllGProjCats, 0) + 1), ""),
  val, IF(skater &lt;&gt; "", skater, goalie),
  IF(OR($E640="", AC$2="", val=""), "", val * AC$1)
)</f>
        <v/>
      </c>
      <c r="AD640" s="34" t="str">
        <f t="shared" si="640"/>
        <v/>
      </c>
      <c r="AE640" s="34" t="str">
        <f t="shared" si="640"/>
        <v/>
      </c>
      <c r="AF640" s="34" t="str">
        <f t="shared" si="640"/>
        <v/>
      </c>
      <c r="AG640" s="34" t="str">
        <f t="shared" si="640"/>
        <v/>
      </c>
      <c r="AH640" s="34" t="str">
        <f t="shared" si="640"/>
        <v/>
      </c>
      <c r="AI640" s="34" t="str">
        <f t="shared" si="640"/>
        <v/>
      </c>
      <c r="AJ640" s="34" t="str">
        <f t="shared" si="640"/>
        <v/>
      </c>
      <c r="AK640" s="34" t="str">
        <f t="shared" si="640"/>
        <v/>
      </c>
      <c r="AL640" s="34" t="str">
        <f t="shared" si="640"/>
        <v/>
      </c>
      <c r="AM640" s="34" t="str">
        <f t="shared" si="640"/>
        <v/>
      </c>
      <c r="AN640" s="34" t="str">
        <f t="shared" si="640"/>
        <v/>
      </c>
      <c r="AO640" s="34" t="str">
        <f t="shared" si="640"/>
        <v/>
      </c>
      <c r="AP640" s="34" t="str">
        <f t="shared" si="640"/>
        <v/>
      </c>
      <c r="AQ640" s="76" t="s">
        <v>680</v>
      </c>
      <c r="AR640" s="77"/>
      <c r="AS640" s="77"/>
      <c r="AT640" s="77"/>
      <c r="AU640" s="77"/>
      <c r="AV640" s="77"/>
      <c r="AW640" s="77"/>
      <c r="AX640" s="77"/>
      <c r="AY640" s="77"/>
      <c r="AZ640" s="77"/>
      <c r="BA640" s="77"/>
      <c r="BB640" s="77"/>
      <c r="BC640" s="77"/>
      <c r="BD640" s="77"/>
      <c r="BE640" s="77"/>
      <c r="BF640" s="77"/>
      <c r="BG640" s="77"/>
      <c r="BH640" s="77"/>
      <c r="BI640" s="77"/>
      <c r="BJ640" s="77"/>
      <c r="BK640" s="77"/>
      <c r="BL640" s="77"/>
      <c r="BM640" s="78"/>
    </row>
    <row r="641">
      <c r="A641" s="41">
        <v>2.642857142857143</v>
      </c>
      <c r="B641" s="41" t="b">
        <v>0</v>
      </c>
      <c r="C641" s="41" t="b">
        <f t="shared" si="3"/>
        <v>0</v>
      </c>
      <c r="D641" s="42" t="s">
        <v>1565</v>
      </c>
      <c r="E641" s="43" t="s">
        <v>1222</v>
      </c>
      <c r="F641" s="44" t="s">
        <v>1710</v>
      </c>
      <c r="G641" s="29" t="s">
        <v>831</v>
      </c>
      <c r="H641" s="32">
        <v>-11.743328960152924</v>
      </c>
      <c r="I641" s="32">
        <v>-6.301191351425067</v>
      </c>
      <c r="J641" s="45" t="s">
        <v>2310</v>
      </c>
      <c r="K641" s="29">
        <v>25.0</v>
      </c>
      <c r="L641" s="41">
        <v>78.32714285714285</v>
      </c>
      <c r="M641" s="46">
        <v>23.0</v>
      </c>
      <c r="N641" s="46">
        <v>6.0</v>
      </c>
      <c r="O641" s="47">
        <v>-0.6125653498769553</v>
      </c>
      <c r="P641" s="47">
        <v>-1.1572995134756812</v>
      </c>
      <c r="Q641" s="47">
        <v>-2.579745986850631</v>
      </c>
      <c r="R641" s="47">
        <v>-1.4094080283576975</v>
      </c>
      <c r="S641" s="47">
        <v>-0.7226751225627318</v>
      </c>
      <c r="T641" s="47">
        <v>-0.7835720665974945</v>
      </c>
      <c r="U641" s="47">
        <v>-0.9001365652861106</v>
      </c>
      <c r="V641" s="47">
        <v>0.0</v>
      </c>
      <c r="W641" s="47">
        <v>-1.7004858623948977</v>
      </c>
      <c r="X641" s="47">
        <v>-1.8774404647507252</v>
      </c>
      <c r="Y641" s="50" t="s">
        <v>69</v>
      </c>
      <c r="Z641" s="50" t="s">
        <v>69</v>
      </c>
      <c r="AA641" s="50" t="s">
        <v>69</v>
      </c>
      <c r="AB641" s="50" t="s">
        <v>69</v>
      </c>
      <c r="AC641" s="34" t="str">
        <f t="shared" ref="AC641:AP641" si="641">LET(
  skater, IFERROR(INDEX(AllProj, MATCH($E641, AllProjNames, 0), MATCH(AC$2, AllProjCats, 0) + 1), ""),
  goalie, IFERROR(INDEX(AllGProj, MATCH($E641, AllGProjNames, 0), MATCH(AC$2, AllGProjCats, 0) + 1), ""),
  val, IF(skater &lt;&gt; "", skater, goalie),
  IF(OR($E641="", AC$2="", val=""), "", val * AC$1)
)</f>
        <v/>
      </c>
      <c r="AD641" s="34" t="str">
        <f t="shared" si="641"/>
        <v/>
      </c>
      <c r="AE641" s="34" t="str">
        <f t="shared" si="641"/>
        <v/>
      </c>
      <c r="AF641" s="34" t="str">
        <f t="shared" si="641"/>
        <v/>
      </c>
      <c r="AG641" s="34" t="str">
        <f t="shared" si="641"/>
        <v/>
      </c>
      <c r="AH641" s="34" t="str">
        <f t="shared" si="641"/>
        <v/>
      </c>
      <c r="AI641" s="34" t="str">
        <f t="shared" si="641"/>
        <v/>
      </c>
      <c r="AJ641" s="34" t="str">
        <f t="shared" si="641"/>
        <v/>
      </c>
      <c r="AK641" s="34" t="str">
        <f t="shared" si="641"/>
        <v/>
      </c>
      <c r="AL641" s="34" t="str">
        <f t="shared" si="641"/>
        <v/>
      </c>
      <c r="AM641" s="34" t="str">
        <f t="shared" si="641"/>
        <v/>
      </c>
      <c r="AN641" s="34" t="str">
        <f t="shared" si="641"/>
        <v/>
      </c>
      <c r="AO641" s="34" t="str">
        <f t="shared" si="641"/>
        <v/>
      </c>
      <c r="AP641" s="34" t="str">
        <f t="shared" si="641"/>
        <v/>
      </c>
      <c r="AQ641" s="76" t="s">
        <v>681</v>
      </c>
      <c r="AR641" s="77"/>
      <c r="AS641" s="77"/>
      <c r="AT641" s="77"/>
      <c r="AU641" s="77"/>
      <c r="AV641" s="77"/>
      <c r="AW641" s="77"/>
      <c r="AX641" s="77"/>
      <c r="AY641" s="77"/>
      <c r="AZ641" s="77"/>
      <c r="BA641" s="77"/>
      <c r="BB641" s="77"/>
      <c r="BC641" s="77"/>
      <c r="BD641" s="77"/>
      <c r="BE641" s="77"/>
      <c r="BF641" s="77"/>
      <c r="BG641" s="77"/>
      <c r="BH641" s="77"/>
      <c r="BI641" s="77"/>
      <c r="BJ641" s="77"/>
      <c r="BK641" s="77"/>
      <c r="BL641" s="77"/>
      <c r="BM641" s="78"/>
    </row>
    <row r="642">
      <c r="A642" s="79">
        <v>2.642857142857143</v>
      </c>
      <c r="B642" s="79" t="b">
        <v>0</v>
      </c>
      <c r="C642" s="79" t="b">
        <f t="shared" si="3"/>
        <v>0</v>
      </c>
      <c r="D642" s="80" t="s">
        <v>1565</v>
      </c>
      <c r="E642" s="81" t="s">
        <v>1207</v>
      </c>
      <c r="F642" s="82" t="s">
        <v>1454</v>
      </c>
      <c r="G642" s="35" t="s">
        <v>837</v>
      </c>
      <c r="H642" s="37">
        <v>-11.74353611821174</v>
      </c>
      <c r="I642" s="37">
        <v>-6.2136773462828385</v>
      </c>
      <c r="J642" s="83" t="s">
        <v>2311</v>
      </c>
      <c r="K642" s="35">
        <v>28.0</v>
      </c>
      <c r="L642" s="79">
        <v>71.0</v>
      </c>
      <c r="M642" s="84">
        <v>25.0</v>
      </c>
      <c r="N642" s="84">
        <v>6.0</v>
      </c>
      <c r="O642" s="85">
        <v>-2.283324652612624</v>
      </c>
      <c r="P642" s="85">
        <v>-1.423450544226015</v>
      </c>
      <c r="Q642" s="85">
        <v>-1.6610026842647216</v>
      </c>
      <c r="R642" s="85">
        <v>-0.7494042042708223</v>
      </c>
      <c r="S642" s="85">
        <v>-1.72461069241107</v>
      </c>
      <c r="T642" s="85">
        <v>-0.7871777123417198</v>
      </c>
      <c r="U642" s="85">
        <v>-2.132935673922989</v>
      </c>
      <c r="V642" s="85">
        <v>0.0</v>
      </c>
      <c r="W642" s="85">
        <v>-1.4897623359569903</v>
      </c>
      <c r="X642" s="85">
        <v>0.5081323817952166</v>
      </c>
      <c r="Y642" s="50" t="s">
        <v>69</v>
      </c>
      <c r="Z642" s="50" t="s">
        <v>69</v>
      </c>
      <c r="AA642" s="50" t="s">
        <v>69</v>
      </c>
      <c r="AB642" s="50" t="s">
        <v>69</v>
      </c>
      <c r="AC642" s="34" t="str">
        <f t="shared" ref="AC642:AP642" si="642">LET(
  skater, IFERROR(INDEX(AllProj, MATCH($E642, AllProjNames, 0), MATCH(AC$2, AllProjCats, 0) + 1), ""),
  goalie, IFERROR(INDEX(AllGProj, MATCH($E642, AllGProjNames, 0), MATCH(AC$2, AllGProjCats, 0) + 1), ""),
  val, IF(skater &lt;&gt; "", skater, goalie),
  IF(OR($E642="", AC$2="", val=""), "", val * AC$1)
)</f>
        <v/>
      </c>
      <c r="AD642" s="34" t="str">
        <f t="shared" si="642"/>
        <v/>
      </c>
      <c r="AE642" s="34" t="str">
        <f t="shared" si="642"/>
        <v/>
      </c>
      <c r="AF642" s="34" t="str">
        <f t="shared" si="642"/>
        <v/>
      </c>
      <c r="AG642" s="34" t="str">
        <f t="shared" si="642"/>
        <v/>
      </c>
      <c r="AH642" s="34" t="str">
        <f t="shared" si="642"/>
        <v/>
      </c>
      <c r="AI642" s="34" t="str">
        <f t="shared" si="642"/>
        <v/>
      </c>
      <c r="AJ642" s="34" t="str">
        <f t="shared" si="642"/>
        <v/>
      </c>
      <c r="AK642" s="34" t="str">
        <f t="shared" si="642"/>
        <v/>
      </c>
      <c r="AL642" s="34" t="str">
        <f t="shared" si="642"/>
        <v/>
      </c>
      <c r="AM642" s="34" t="str">
        <f t="shared" si="642"/>
        <v/>
      </c>
      <c r="AN642" s="34" t="str">
        <f t="shared" si="642"/>
        <v/>
      </c>
      <c r="AO642" s="34" t="str">
        <f t="shared" si="642"/>
        <v/>
      </c>
      <c r="AP642" s="34" t="str">
        <f t="shared" si="642"/>
        <v/>
      </c>
      <c r="AQ642" s="76" t="s">
        <v>682</v>
      </c>
      <c r="AR642" s="77"/>
      <c r="AS642" s="77"/>
      <c r="AT642" s="77"/>
      <c r="AU642" s="77"/>
      <c r="AV642" s="77"/>
      <c r="AW642" s="77"/>
      <c r="AX642" s="77"/>
      <c r="AY642" s="77"/>
      <c r="AZ642" s="77"/>
      <c r="BA642" s="77"/>
      <c r="BB642" s="77"/>
      <c r="BC642" s="77"/>
      <c r="BD642" s="77"/>
      <c r="BE642" s="77"/>
      <c r="BF642" s="77"/>
      <c r="BG642" s="77"/>
      <c r="BH642" s="77"/>
      <c r="BI642" s="77"/>
      <c r="BJ642" s="77"/>
      <c r="BK642" s="77"/>
      <c r="BL642" s="77"/>
      <c r="BM642" s="78"/>
    </row>
    <row r="643">
      <c r="A643" s="41">
        <v>2.642857142857143</v>
      </c>
      <c r="B643" s="41" t="b">
        <v>0</v>
      </c>
      <c r="C643" s="41" t="b">
        <f t="shared" si="3"/>
        <v>0</v>
      </c>
      <c r="D643" s="42" t="s">
        <v>1565</v>
      </c>
      <c r="E643" s="43" t="s">
        <v>1211</v>
      </c>
      <c r="F643" s="44" t="s">
        <v>1498</v>
      </c>
      <c r="G643" s="29" t="s">
        <v>837</v>
      </c>
      <c r="H643" s="32">
        <v>-11.774791682857373</v>
      </c>
      <c r="I643" s="32">
        <v>-6.244932910928472</v>
      </c>
      <c r="J643" s="45" t="s">
        <v>2312</v>
      </c>
      <c r="K643" s="29">
        <v>26.3</v>
      </c>
      <c r="L643" s="41">
        <v>70.0</v>
      </c>
      <c r="M643" s="46">
        <v>28.0</v>
      </c>
      <c r="N643" s="46">
        <v>7.0</v>
      </c>
      <c r="O643" s="47">
        <v>-2.2797315773603057</v>
      </c>
      <c r="P643" s="47">
        <v>-2.026639492176313</v>
      </c>
      <c r="Q643" s="47">
        <v>-0.6005413558989255</v>
      </c>
      <c r="R643" s="47">
        <v>-0.12769441574977294</v>
      </c>
      <c r="S643" s="47">
        <v>-1.72461069241107</v>
      </c>
      <c r="T643" s="47">
        <v>-0.7871777123417198</v>
      </c>
      <c r="U643" s="47">
        <v>-2.5772071491732103</v>
      </c>
      <c r="V643" s="47">
        <v>0.0</v>
      </c>
      <c r="W643" s="47">
        <v>-0.9809814668680344</v>
      </c>
      <c r="X643" s="47">
        <v>-0.6702078208780229</v>
      </c>
      <c r="Y643" s="50" t="s">
        <v>69</v>
      </c>
      <c r="Z643" s="50" t="s">
        <v>69</v>
      </c>
      <c r="AA643" s="50" t="s">
        <v>69</v>
      </c>
      <c r="AB643" s="50" t="s">
        <v>69</v>
      </c>
      <c r="AC643" s="34" t="str">
        <f t="shared" ref="AC643:AP643" si="643">LET(
  skater, IFERROR(INDEX(AllProj, MATCH($E643, AllProjNames, 0), MATCH(AC$2, AllProjCats, 0) + 1), ""),
  goalie, IFERROR(INDEX(AllGProj, MATCH($E643, AllGProjNames, 0), MATCH(AC$2, AllGProjCats, 0) + 1), ""),
  val, IF(skater &lt;&gt; "", skater, goalie),
  IF(OR($E643="", AC$2="", val=""), "", val * AC$1)
)</f>
        <v/>
      </c>
      <c r="AD643" s="34" t="str">
        <f t="shared" si="643"/>
        <v/>
      </c>
      <c r="AE643" s="34" t="str">
        <f t="shared" si="643"/>
        <v/>
      </c>
      <c r="AF643" s="34" t="str">
        <f t="shared" si="643"/>
        <v/>
      </c>
      <c r="AG643" s="34" t="str">
        <f t="shared" si="643"/>
        <v/>
      </c>
      <c r="AH643" s="34" t="str">
        <f t="shared" si="643"/>
        <v/>
      </c>
      <c r="AI643" s="34" t="str">
        <f t="shared" si="643"/>
        <v/>
      </c>
      <c r="AJ643" s="34" t="str">
        <f t="shared" si="643"/>
        <v/>
      </c>
      <c r="AK643" s="34" t="str">
        <f t="shared" si="643"/>
        <v/>
      </c>
      <c r="AL643" s="34" t="str">
        <f t="shared" si="643"/>
        <v/>
      </c>
      <c r="AM643" s="34" t="str">
        <f t="shared" si="643"/>
        <v/>
      </c>
      <c r="AN643" s="34" t="str">
        <f t="shared" si="643"/>
        <v/>
      </c>
      <c r="AO643" s="34" t="str">
        <f t="shared" si="643"/>
        <v/>
      </c>
      <c r="AP643" s="34" t="str">
        <f t="shared" si="643"/>
        <v/>
      </c>
      <c r="AQ643" s="76" t="s">
        <v>683</v>
      </c>
      <c r="AR643" s="77"/>
      <c r="AS643" s="77"/>
      <c r="AT643" s="77"/>
      <c r="AU643" s="77"/>
      <c r="AV643" s="77"/>
      <c r="AW643" s="77"/>
      <c r="AX643" s="77"/>
      <c r="AY643" s="77"/>
      <c r="AZ643" s="77"/>
      <c r="BA643" s="77"/>
      <c r="BB643" s="77"/>
      <c r="BC643" s="77"/>
      <c r="BD643" s="77"/>
      <c r="BE643" s="77"/>
      <c r="BF643" s="77"/>
      <c r="BG643" s="77"/>
      <c r="BH643" s="77"/>
      <c r="BI643" s="77"/>
      <c r="BJ643" s="77"/>
      <c r="BK643" s="77"/>
      <c r="BL643" s="77"/>
      <c r="BM643" s="78"/>
    </row>
    <row r="644">
      <c r="A644" s="79">
        <v>2.642857142857143</v>
      </c>
      <c r="B644" s="79" t="b">
        <v>0</v>
      </c>
      <c r="C644" s="79" t="b">
        <f t="shared" si="3"/>
        <v>0</v>
      </c>
      <c r="D644" s="80" t="s">
        <v>1565</v>
      </c>
      <c r="E644" s="81" t="s">
        <v>1262</v>
      </c>
      <c r="F644" s="82" t="s">
        <v>1401</v>
      </c>
      <c r="G644" s="35" t="s">
        <v>832</v>
      </c>
      <c r="H644" s="37">
        <v>-11.807502566057924</v>
      </c>
      <c r="I644" s="37">
        <v>-6.365364957330066</v>
      </c>
      <c r="J644" s="83" t="s">
        <v>2313</v>
      </c>
      <c r="K644" s="35">
        <v>30.2</v>
      </c>
      <c r="L644" s="79">
        <v>82.0</v>
      </c>
      <c r="M644" s="84">
        <v>25.0</v>
      </c>
      <c r="N644" s="84">
        <v>7.0</v>
      </c>
      <c r="O644" s="85">
        <v>-1.6509434082046461</v>
      </c>
      <c r="P644" s="85">
        <v>-2.026639492176313</v>
      </c>
      <c r="Q644" s="85">
        <v>-1.2121686439169663</v>
      </c>
      <c r="R644" s="85">
        <v>-0.5628912677145075</v>
      </c>
      <c r="S644" s="85">
        <v>-1.72461069241107</v>
      </c>
      <c r="T644" s="85">
        <v>-0.7871777123417198</v>
      </c>
      <c r="U644" s="85">
        <v>-2.347184935656084</v>
      </c>
      <c r="V644" s="85">
        <v>0.0</v>
      </c>
      <c r="W644" s="85">
        <v>0.37147400792539265</v>
      </c>
      <c r="X644" s="85">
        <v>-1.8673604215620103</v>
      </c>
      <c r="Y644" s="50" t="s">
        <v>69</v>
      </c>
      <c r="Z644" s="50" t="s">
        <v>69</v>
      </c>
      <c r="AA644" s="50" t="s">
        <v>69</v>
      </c>
      <c r="AB644" s="50" t="s">
        <v>69</v>
      </c>
      <c r="AC644" s="34" t="str">
        <f t="shared" ref="AC644:AP644" si="644">LET(
  skater, IFERROR(INDEX(AllProj, MATCH($E644, AllProjNames, 0), MATCH(AC$2, AllProjCats, 0) + 1), ""),
  goalie, IFERROR(INDEX(AllGProj, MATCH($E644, AllGProjNames, 0), MATCH(AC$2, AllGProjCats, 0) + 1), ""),
  val, IF(skater &lt;&gt; "", skater, goalie),
  IF(OR($E644="", AC$2="", val=""), "", val * AC$1)
)</f>
        <v/>
      </c>
      <c r="AD644" s="34" t="str">
        <f t="shared" si="644"/>
        <v/>
      </c>
      <c r="AE644" s="34" t="str">
        <f t="shared" si="644"/>
        <v/>
      </c>
      <c r="AF644" s="34" t="str">
        <f t="shared" si="644"/>
        <v/>
      </c>
      <c r="AG644" s="34" t="str">
        <f t="shared" si="644"/>
        <v/>
      </c>
      <c r="AH644" s="34" t="str">
        <f t="shared" si="644"/>
        <v/>
      </c>
      <c r="AI644" s="34" t="str">
        <f t="shared" si="644"/>
        <v/>
      </c>
      <c r="AJ644" s="34" t="str">
        <f t="shared" si="644"/>
        <v/>
      </c>
      <c r="AK644" s="34" t="str">
        <f t="shared" si="644"/>
        <v/>
      </c>
      <c r="AL644" s="34" t="str">
        <f t="shared" si="644"/>
        <v/>
      </c>
      <c r="AM644" s="34" t="str">
        <f t="shared" si="644"/>
        <v/>
      </c>
      <c r="AN644" s="34" t="str">
        <f t="shared" si="644"/>
        <v/>
      </c>
      <c r="AO644" s="34" t="str">
        <f t="shared" si="644"/>
        <v/>
      </c>
      <c r="AP644" s="34" t="str">
        <f t="shared" si="644"/>
        <v/>
      </c>
      <c r="AQ644" s="76" t="s">
        <v>684</v>
      </c>
      <c r="AR644" s="77"/>
      <c r="AS644" s="77"/>
      <c r="AT644" s="77"/>
      <c r="AU644" s="77"/>
      <c r="AV644" s="77"/>
      <c r="AW644" s="77"/>
      <c r="AX644" s="77"/>
      <c r="AY644" s="77"/>
      <c r="AZ644" s="77"/>
      <c r="BA644" s="77"/>
      <c r="BB644" s="77"/>
      <c r="BC644" s="77"/>
      <c r="BD644" s="77"/>
      <c r="BE644" s="77"/>
      <c r="BF644" s="77"/>
      <c r="BG644" s="77"/>
      <c r="BH644" s="77"/>
      <c r="BI644" s="77"/>
      <c r="BJ644" s="77"/>
      <c r="BK644" s="77"/>
      <c r="BL644" s="77"/>
      <c r="BM644" s="78"/>
    </row>
    <row r="645">
      <c r="A645" s="41">
        <v>2.642857142857143</v>
      </c>
      <c r="B645" s="41" t="b">
        <v>0</v>
      </c>
      <c r="C645" s="41" t="b">
        <f t="shared" si="3"/>
        <v>0</v>
      </c>
      <c r="D645" s="42" t="s">
        <v>1565</v>
      </c>
      <c r="E645" s="43" t="s">
        <v>1156</v>
      </c>
      <c r="F645" s="44" t="s">
        <v>1461</v>
      </c>
      <c r="G645" s="29" t="s">
        <v>835</v>
      </c>
      <c r="H645" s="32">
        <v>-11.852832529290188</v>
      </c>
      <c r="I645" s="32">
        <v>-6.464952404377449</v>
      </c>
      <c r="J645" s="45" t="s">
        <v>2314</v>
      </c>
      <c r="K645" s="29">
        <v>31.2</v>
      </c>
      <c r="L645" s="41">
        <v>68.8</v>
      </c>
      <c r="M645" s="46">
        <v>23.0</v>
      </c>
      <c r="N645" s="46">
        <v>6.0</v>
      </c>
      <c r="O645" s="47">
        <v>-1.5251857743735142</v>
      </c>
      <c r="P645" s="47">
        <v>-1.6856057408351832</v>
      </c>
      <c r="Q645" s="47">
        <v>-0.0064762986905084466</v>
      </c>
      <c r="R645" s="47">
        <v>-1.4830217547256606</v>
      </c>
      <c r="S645" s="47">
        <v>-1.4912484662944787</v>
      </c>
      <c r="T645" s="47">
        <v>-0.7871777123417198</v>
      </c>
      <c r="U645" s="47">
        <v>-2.1217631664093</v>
      </c>
      <c r="V645" s="47">
        <v>0.0</v>
      </c>
      <c r="W645" s="47">
        <v>-1.12442371419461</v>
      </c>
      <c r="X645" s="47">
        <v>-1.6279299014252129</v>
      </c>
      <c r="Y645" s="50" t="s">
        <v>69</v>
      </c>
      <c r="Z645" s="50" t="s">
        <v>69</v>
      </c>
      <c r="AA645" s="50" t="s">
        <v>69</v>
      </c>
      <c r="AB645" s="50" t="s">
        <v>69</v>
      </c>
      <c r="AC645" s="34" t="str">
        <f t="shared" ref="AC645:AP645" si="645">LET(
  skater, IFERROR(INDEX(AllProj, MATCH($E645, AllProjNames, 0), MATCH(AC$2, AllProjCats, 0) + 1), ""),
  goalie, IFERROR(INDEX(AllGProj, MATCH($E645, AllGProjNames, 0), MATCH(AC$2, AllGProjCats, 0) + 1), ""),
  val, IF(skater &lt;&gt; "", skater, goalie),
  IF(OR($E645="", AC$2="", val=""), "", val * AC$1)
)</f>
        <v/>
      </c>
      <c r="AD645" s="34" t="str">
        <f t="shared" si="645"/>
        <v/>
      </c>
      <c r="AE645" s="34" t="str">
        <f t="shared" si="645"/>
        <v/>
      </c>
      <c r="AF645" s="34" t="str">
        <f t="shared" si="645"/>
        <v/>
      </c>
      <c r="AG645" s="34" t="str">
        <f t="shared" si="645"/>
        <v/>
      </c>
      <c r="AH645" s="34" t="str">
        <f t="shared" si="645"/>
        <v/>
      </c>
      <c r="AI645" s="34" t="str">
        <f t="shared" si="645"/>
        <v/>
      </c>
      <c r="AJ645" s="34" t="str">
        <f t="shared" si="645"/>
        <v/>
      </c>
      <c r="AK645" s="34" t="str">
        <f t="shared" si="645"/>
        <v/>
      </c>
      <c r="AL645" s="34" t="str">
        <f t="shared" si="645"/>
        <v/>
      </c>
      <c r="AM645" s="34" t="str">
        <f t="shared" si="645"/>
        <v/>
      </c>
      <c r="AN645" s="34" t="str">
        <f t="shared" si="645"/>
        <v/>
      </c>
      <c r="AO645" s="34" t="str">
        <f t="shared" si="645"/>
        <v/>
      </c>
      <c r="AP645" s="34" t="str">
        <f t="shared" si="645"/>
        <v/>
      </c>
      <c r="AQ645" s="76" t="s">
        <v>685</v>
      </c>
      <c r="AR645" s="77"/>
      <c r="AS645" s="77"/>
      <c r="AT645" s="77"/>
      <c r="AU645" s="77"/>
      <c r="AV645" s="77"/>
      <c r="AW645" s="77"/>
      <c r="AX645" s="77"/>
      <c r="AY645" s="77"/>
      <c r="AZ645" s="77"/>
      <c r="BA645" s="77"/>
      <c r="BB645" s="77"/>
      <c r="BC645" s="77"/>
      <c r="BD645" s="77"/>
      <c r="BE645" s="77"/>
      <c r="BF645" s="77"/>
      <c r="BG645" s="77"/>
      <c r="BH645" s="77"/>
      <c r="BI645" s="77"/>
      <c r="BJ645" s="77"/>
      <c r="BK645" s="77"/>
      <c r="BL645" s="77"/>
      <c r="BM645" s="78"/>
    </row>
    <row r="646">
      <c r="A646" s="79">
        <v>2.642857142857143</v>
      </c>
      <c r="B646" s="79" t="b">
        <v>0</v>
      </c>
      <c r="C646" s="79" t="b">
        <f t="shared" si="3"/>
        <v>0</v>
      </c>
      <c r="D646" s="80" t="s">
        <v>1565</v>
      </c>
      <c r="E646" s="81" t="s">
        <v>1128</v>
      </c>
      <c r="F646" s="82" t="s">
        <v>279</v>
      </c>
      <c r="G646" s="35" t="s">
        <v>284</v>
      </c>
      <c r="H646" s="37">
        <v>-11.931906635348051</v>
      </c>
      <c r="I646" s="37">
        <v>-6.893840615164966</v>
      </c>
      <c r="J646" s="83" t="s">
        <v>2315</v>
      </c>
      <c r="K646" s="35">
        <v>32.5</v>
      </c>
      <c r="L646" s="79">
        <v>63.0</v>
      </c>
      <c r="M646" s="84">
        <v>34.0</v>
      </c>
      <c r="N646" s="84">
        <v>7.0</v>
      </c>
      <c r="O646" s="85">
        <v>-2.1539739435291736</v>
      </c>
      <c r="P646" s="85">
        <v>-2.026639492176313</v>
      </c>
      <c r="Q646" s="96" t="s">
        <v>69</v>
      </c>
      <c r="R646" s="85">
        <v>-1.4332849716439766</v>
      </c>
      <c r="S646" s="96" t="s">
        <v>69</v>
      </c>
      <c r="T646" s="96" t="s">
        <v>69</v>
      </c>
      <c r="U646" s="85">
        <v>-2.278178271600946</v>
      </c>
      <c r="V646" s="96" t="s">
        <v>69</v>
      </c>
      <c r="W646" s="85">
        <v>-1.9031101996817348</v>
      </c>
      <c r="X646" s="85">
        <v>-2.1367197567159075</v>
      </c>
      <c r="Y646" s="50" t="s">
        <v>69</v>
      </c>
      <c r="Z646" s="50" t="s">
        <v>69</v>
      </c>
      <c r="AA646" s="50" t="s">
        <v>69</v>
      </c>
      <c r="AB646" s="50" t="s">
        <v>69</v>
      </c>
      <c r="AC646" s="34" t="str">
        <f t="shared" ref="AC646:AP646" si="646">LET(
  skater, IFERROR(INDEX(AllProj, MATCH($E646, AllProjNames, 0), MATCH(AC$2, AllProjCats, 0) + 1), ""),
  goalie, IFERROR(INDEX(AllGProj, MATCH($E646, AllGProjNames, 0), MATCH(AC$2, AllGProjCats, 0) + 1), ""),
  val, IF(skater &lt;&gt; "", skater, goalie),
  IF(OR($E646="", AC$2="", val=""), "", val * AC$1)
)</f>
        <v/>
      </c>
      <c r="AD646" s="34" t="str">
        <f t="shared" si="646"/>
        <v/>
      </c>
      <c r="AE646" s="34" t="str">
        <f t="shared" si="646"/>
        <v/>
      </c>
      <c r="AF646" s="34" t="str">
        <f t="shared" si="646"/>
        <v/>
      </c>
      <c r="AG646" s="34" t="str">
        <f t="shared" si="646"/>
        <v/>
      </c>
      <c r="AH646" s="34" t="str">
        <f t="shared" si="646"/>
        <v/>
      </c>
      <c r="AI646" s="34" t="str">
        <f t="shared" si="646"/>
        <v/>
      </c>
      <c r="AJ646" s="34" t="str">
        <f t="shared" si="646"/>
        <v/>
      </c>
      <c r="AK646" s="34" t="str">
        <f t="shared" si="646"/>
        <v/>
      </c>
      <c r="AL646" s="34" t="str">
        <f t="shared" si="646"/>
        <v/>
      </c>
      <c r="AM646" s="34" t="str">
        <f t="shared" si="646"/>
        <v/>
      </c>
      <c r="AN646" s="34" t="str">
        <f t="shared" si="646"/>
        <v/>
      </c>
      <c r="AO646" s="34" t="str">
        <f t="shared" si="646"/>
        <v/>
      </c>
      <c r="AP646" s="34" t="str">
        <f t="shared" si="646"/>
        <v/>
      </c>
      <c r="AQ646" s="76" t="s">
        <v>686</v>
      </c>
      <c r="AR646" s="77"/>
      <c r="AS646" s="77"/>
      <c r="AT646" s="77"/>
      <c r="AU646" s="77"/>
      <c r="AV646" s="77"/>
      <c r="AW646" s="77"/>
      <c r="AX646" s="77"/>
      <c r="AY646" s="77"/>
      <c r="AZ646" s="77"/>
      <c r="BA646" s="77"/>
      <c r="BB646" s="77"/>
      <c r="BC646" s="77"/>
      <c r="BD646" s="77"/>
      <c r="BE646" s="77"/>
      <c r="BF646" s="77"/>
      <c r="BG646" s="77"/>
      <c r="BH646" s="77"/>
      <c r="BI646" s="77"/>
      <c r="BJ646" s="77"/>
      <c r="BK646" s="77"/>
      <c r="BL646" s="77"/>
      <c r="BM646" s="78"/>
    </row>
    <row r="647">
      <c r="A647" s="41">
        <v>2.642857142857143</v>
      </c>
      <c r="B647" s="41" t="b">
        <v>0</v>
      </c>
      <c r="C647" s="41" t="b">
        <f t="shared" si="3"/>
        <v>0</v>
      </c>
      <c r="D647" s="42" t="s">
        <v>1565</v>
      </c>
      <c r="E647" s="43" t="s">
        <v>1247</v>
      </c>
      <c r="F647" s="44" t="s">
        <v>1498</v>
      </c>
      <c r="G647" s="29" t="s">
        <v>835</v>
      </c>
      <c r="H647" s="32">
        <v>-11.96765061205777</v>
      </c>
      <c r="I647" s="32">
        <v>-6.579770487145032</v>
      </c>
      <c r="J647" s="45" t="s">
        <v>2316</v>
      </c>
      <c r="K647" s="29">
        <v>25.2</v>
      </c>
      <c r="L647" s="41">
        <v>71.6</v>
      </c>
      <c r="M647" s="46">
        <v>28.0</v>
      </c>
      <c r="N647" s="46">
        <v>7.0</v>
      </c>
      <c r="O647" s="47">
        <v>-1.2736705067112504</v>
      </c>
      <c r="P647" s="47">
        <v>-1.6693660383903675</v>
      </c>
      <c r="Q647" s="47">
        <v>-1.3966315816372348</v>
      </c>
      <c r="R647" s="47">
        <v>-1.6197979082002913</v>
      </c>
      <c r="S647" s="47">
        <v>-1.4912484662944787</v>
      </c>
      <c r="T647" s="47">
        <v>-0.7871777123417198</v>
      </c>
      <c r="U647" s="47">
        <v>-1.7215245148895004</v>
      </c>
      <c r="V647" s="47">
        <v>0.0</v>
      </c>
      <c r="W647" s="47">
        <v>-0.21868838107537544</v>
      </c>
      <c r="X647" s="47">
        <v>-1.789545502517551</v>
      </c>
      <c r="Y647" s="50" t="s">
        <v>69</v>
      </c>
      <c r="Z647" s="50" t="s">
        <v>69</v>
      </c>
      <c r="AA647" s="50" t="s">
        <v>69</v>
      </c>
      <c r="AB647" s="50" t="s">
        <v>69</v>
      </c>
      <c r="AC647" s="34" t="str">
        <f t="shared" ref="AC647:AP647" si="647">LET(
  skater, IFERROR(INDEX(AllProj, MATCH($E647, AllProjNames, 0), MATCH(AC$2, AllProjCats, 0) + 1), ""),
  goalie, IFERROR(INDEX(AllGProj, MATCH($E647, AllGProjNames, 0), MATCH(AC$2, AllGProjCats, 0) + 1), ""),
  val, IF(skater &lt;&gt; "", skater, goalie),
  IF(OR($E647="", AC$2="", val=""), "", val * AC$1)
)</f>
        <v/>
      </c>
      <c r="AD647" s="34" t="str">
        <f t="shared" si="647"/>
        <v/>
      </c>
      <c r="AE647" s="34" t="str">
        <f t="shared" si="647"/>
        <v/>
      </c>
      <c r="AF647" s="34" t="str">
        <f t="shared" si="647"/>
        <v/>
      </c>
      <c r="AG647" s="34" t="str">
        <f t="shared" si="647"/>
        <v/>
      </c>
      <c r="AH647" s="34" t="str">
        <f t="shared" si="647"/>
        <v/>
      </c>
      <c r="AI647" s="34" t="str">
        <f t="shared" si="647"/>
        <v/>
      </c>
      <c r="AJ647" s="34" t="str">
        <f t="shared" si="647"/>
        <v/>
      </c>
      <c r="AK647" s="34" t="str">
        <f t="shared" si="647"/>
        <v/>
      </c>
      <c r="AL647" s="34" t="str">
        <f t="shared" si="647"/>
        <v/>
      </c>
      <c r="AM647" s="34" t="str">
        <f t="shared" si="647"/>
        <v/>
      </c>
      <c r="AN647" s="34" t="str">
        <f t="shared" si="647"/>
        <v/>
      </c>
      <c r="AO647" s="34" t="str">
        <f t="shared" si="647"/>
        <v/>
      </c>
      <c r="AP647" s="34" t="str">
        <f t="shared" si="647"/>
        <v/>
      </c>
      <c r="AQ647" s="76" t="s">
        <v>687</v>
      </c>
      <c r="AR647" s="77"/>
      <c r="AS647" s="77"/>
      <c r="AT647" s="77"/>
      <c r="AU647" s="77"/>
      <c r="AV647" s="77"/>
      <c r="AW647" s="77"/>
      <c r="AX647" s="77"/>
      <c r="AY647" s="77"/>
      <c r="AZ647" s="77"/>
      <c r="BA647" s="77"/>
      <c r="BB647" s="77"/>
      <c r="BC647" s="77"/>
      <c r="BD647" s="77"/>
      <c r="BE647" s="77"/>
      <c r="BF647" s="77"/>
      <c r="BG647" s="77"/>
      <c r="BH647" s="77"/>
      <c r="BI647" s="77"/>
      <c r="BJ647" s="77"/>
      <c r="BK647" s="77"/>
      <c r="BL647" s="77"/>
      <c r="BM647" s="78"/>
    </row>
    <row r="648">
      <c r="A648" s="79">
        <v>2.642857142857143</v>
      </c>
      <c r="B648" s="79" t="b">
        <v>0</v>
      </c>
      <c r="C648" s="79" t="b">
        <f t="shared" si="3"/>
        <v>0</v>
      </c>
      <c r="D648" s="80" t="s">
        <v>1565</v>
      </c>
      <c r="E648" s="81" t="s">
        <v>1243</v>
      </c>
      <c r="F648" s="82" t="s">
        <v>1473</v>
      </c>
      <c r="G648" s="35" t="s">
        <v>835</v>
      </c>
      <c r="H648" s="37">
        <v>-11.980022522317428</v>
      </c>
      <c r="I648" s="37">
        <v>-6.5921423974046895</v>
      </c>
      <c r="J648" s="83" t="s">
        <v>2317</v>
      </c>
      <c r="K648" s="35">
        <v>35.5</v>
      </c>
      <c r="L648" s="79">
        <v>79.0</v>
      </c>
      <c r="M648" s="84">
        <v>25.0</v>
      </c>
      <c r="N648" s="84">
        <v>6.0</v>
      </c>
      <c r="O648" s="85">
        <v>-1.5503373011397406</v>
      </c>
      <c r="P648" s="85">
        <v>-1.6624061659140177</v>
      </c>
      <c r="Q648" s="85">
        <v>-1.549620474963025</v>
      </c>
      <c r="R648" s="85">
        <v>-1.8773633920161548</v>
      </c>
      <c r="S648" s="85">
        <v>-1.3839018422808467</v>
      </c>
      <c r="T648" s="85">
        <v>-0.7871777123417198</v>
      </c>
      <c r="U648" s="85">
        <v>-1.9311733323522526</v>
      </c>
      <c r="V648" s="85">
        <v>0.0</v>
      </c>
      <c r="W648" s="85">
        <v>-0.33695505029973577</v>
      </c>
      <c r="X648" s="85">
        <v>-0.9010872510099348</v>
      </c>
      <c r="Y648" s="50" t="s">
        <v>69</v>
      </c>
      <c r="Z648" s="50" t="s">
        <v>69</v>
      </c>
      <c r="AA648" s="50" t="s">
        <v>69</v>
      </c>
      <c r="AB648" s="50" t="s">
        <v>69</v>
      </c>
      <c r="AC648" s="34" t="str">
        <f t="shared" ref="AC648:AP648" si="648">LET(
  skater, IFERROR(INDEX(AllProj, MATCH($E648, AllProjNames, 0), MATCH(AC$2, AllProjCats, 0) + 1), ""),
  goalie, IFERROR(INDEX(AllGProj, MATCH($E648, AllGProjNames, 0), MATCH(AC$2, AllGProjCats, 0) + 1), ""),
  val, IF(skater &lt;&gt; "", skater, goalie),
  IF(OR($E648="", AC$2="", val=""), "", val * AC$1)
)</f>
        <v/>
      </c>
      <c r="AD648" s="34" t="str">
        <f t="shared" si="648"/>
        <v/>
      </c>
      <c r="AE648" s="34" t="str">
        <f t="shared" si="648"/>
        <v/>
      </c>
      <c r="AF648" s="34" t="str">
        <f t="shared" si="648"/>
        <v/>
      </c>
      <c r="AG648" s="34" t="str">
        <f t="shared" si="648"/>
        <v/>
      </c>
      <c r="AH648" s="34" t="str">
        <f t="shared" si="648"/>
        <v/>
      </c>
      <c r="AI648" s="34" t="str">
        <f t="shared" si="648"/>
        <v/>
      </c>
      <c r="AJ648" s="34" t="str">
        <f t="shared" si="648"/>
        <v/>
      </c>
      <c r="AK648" s="34" t="str">
        <f t="shared" si="648"/>
        <v/>
      </c>
      <c r="AL648" s="34" t="str">
        <f t="shared" si="648"/>
        <v/>
      </c>
      <c r="AM648" s="34" t="str">
        <f t="shared" si="648"/>
        <v/>
      </c>
      <c r="AN648" s="34" t="str">
        <f t="shared" si="648"/>
        <v/>
      </c>
      <c r="AO648" s="34" t="str">
        <f t="shared" si="648"/>
        <v/>
      </c>
      <c r="AP648" s="34" t="str">
        <f t="shared" si="648"/>
        <v/>
      </c>
      <c r="AQ648" s="76" t="s">
        <v>688</v>
      </c>
      <c r="AR648" s="77"/>
      <c r="AS648" s="77"/>
      <c r="AT648" s="77"/>
      <c r="AU648" s="77"/>
      <c r="AV648" s="77"/>
      <c r="AW648" s="77"/>
      <c r="AX648" s="77"/>
      <c r="AY648" s="77"/>
      <c r="AZ648" s="77"/>
      <c r="BA648" s="77"/>
      <c r="BB648" s="77"/>
      <c r="BC648" s="77"/>
      <c r="BD648" s="77"/>
      <c r="BE648" s="77"/>
      <c r="BF648" s="77"/>
      <c r="BG648" s="77"/>
      <c r="BH648" s="77"/>
      <c r="BI648" s="77"/>
      <c r="BJ648" s="77"/>
      <c r="BK648" s="77"/>
      <c r="BL648" s="77"/>
      <c r="BM648" s="78"/>
    </row>
    <row r="649">
      <c r="A649" s="41">
        <v>2.642857142857143</v>
      </c>
      <c r="B649" s="41" t="b">
        <v>0</v>
      </c>
      <c r="C649" s="41" t="b">
        <f t="shared" si="3"/>
        <v>0</v>
      </c>
      <c r="D649" s="42" t="s">
        <v>1565</v>
      </c>
      <c r="E649" s="43" t="s">
        <v>1168</v>
      </c>
      <c r="F649" s="44" t="s">
        <v>1436</v>
      </c>
      <c r="G649" s="29" t="s">
        <v>284</v>
      </c>
      <c r="H649" s="32">
        <v>-11.992274802112451</v>
      </c>
      <c r="I649" s="32">
        <v>-6.954208781929366</v>
      </c>
      <c r="J649" s="45" t="s">
        <v>2318</v>
      </c>
      <c r="K649" s="29">
        <v>22.7</v>
      </c>
      <c r="L649" s="41">
        <v>66.2675</v>
      </c>
      <c r="M649" s="46">
        <v>26.0</v>
      </c>
      <c r="N649" s="46">
        <v>5.0</v>
      </c>
      <c r="O649" s="47">
        <v>-1.1385360885048308</v>
      </c>
      <c r="P649" s="47">
        <v>-1.3096439969811666</v>
      </c>
      <c r="Q649" s="47">
        <v>-1.4152594750632495</v>
      </c>
      <c r="R649" s="47">
        <v>-1.5747889086328681</v>
      </c>
      <c r="S649" s="47">
        <v>-0.9813884911723285</v>
      </c>
      <c r="T649" s="47">
        <v>-0.7871777123417198</v>
      </c>
      <c r="U649" s="47">
        <v>-1.6486922092011864</v>
      </c>
      <c r="V649" s="47">
        <v>0.0</v>
      </c>
      <c r="W649" s="47">
        <v>-1.2237866795745067</v>
      </c>
      <c r="X649" s="47">
        <v>-1.9130012406405954</v>
      </c>
      <c r="Y649" s="50" t="s">
        <v>69</v>
      </c>
      <c r="Z649" s="50" t="s">
        <v>69</v>
      </c>
      <c r="AA649" s="50" t="s">
        <v>69</v>
      </c>
      <c r="AB649" s="50" t="s">
        <v>69</v>
      </c>
      <c r="AC649" s="34" t="str">
        <f t="shared" ref="AC649:AP649" si="649">LET(
  skater, IFERROR(INDEX(AllProj, MATCH($E649, AllProjNames, 0), MATCH(AC$2, AllProjCats, 0) + 1), ""),
  goalie, IFERROR(INDEX(AllGProj, MATCH($E649, AllGProjNames, 0), MATCH(AC$2, AllGProjCats, 0) + 1), ""),
  val, IF(skater &lt;&gt; "", skater, goalie),
  IF(OR($E649="", AC$2="", val=""), "", val * AC$1)
)</f>
        <v/>
      </c>
      <c r="AD649" s="34" t="str">
        <f t="shared" si="649"/>
        <v/>
      </c>
      <c r="AE649" s="34" t="str">
        <f t="shared" si="649"/>
        <v/>
      </c>
      <c r="AF649" s="34" t="str">
        <f t="shared" si="649"/>
        <v/>
      </c>
      <c r="AG649" s="34" t="str">
        <f t="shared" si="649"/>
        <v/>
      </c>
      <c r="AH649" s="34" t="str">
        <f t="shared" si="649"/>
        <v/>
      </c>
      <c r="AI649" s="34" t="str">
        <f t="shared" si="649"/>
        <v/>
      </c>
      <c r="AJ649" s="34" t="str">
        <f t="shared" si="649"/>
        <v/>
      </c>
      <c r="AK649" s="34" t="str">
        <f t="shared" si="649"/>
        <v/>
      </c>
      <c r="AL649" s="34" t="str">
        <f t="shared" si="649"/>
        <v/>
      </c>
      <c r="AM649" s="34" t="str">
        <f t="shared" si="649"/>
        <v/>
      </c>
      <c r="AN649" s="34" t="str">
        <f t="shared" si="649"/>
        <v/>
      </c>
      <c r="AO649" s="34" t="str">
        <f t="shared" si="649"/>
        <v/>
      </c>
      <c r="AP649" s="34" t="str">
        <f t="shared" si="649"/>
        <v/>
      </c>
      <c r="AQ649" s="76" t="s">
        <v>689</v>
      </c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 s="77"/>
      <c r="BH649" s="77"/>
      <c r="BI649" s="77"/>
      <c r="BJ649" s="77"/>
      <c r="BK649" s="77"/>
      <c r="BL649" s="77"/>
      <c r="BM649" s="78"/>
    </row>
    <row r="650">
      <c r="A650" s="79">
        <v>2.642857142857143</v>
      </c>
      <c r="B650" s="79" t="b">
        <v>0</v>
      </c>
      <c r="C650" s="79" t="b">
        <f t="shared" si="3"/>
        <v>0</v>
      </c>
      <c r="D650" s="80" t="s">
        <v>1565</v>
      </c>
      <c r="E650" s="81" t="s">
        <v>1130</v>
      </c>
      <c r="F650" s="82" t="s">
        <v>1464</v>
      </c>
      <c r="G650" s="35" t="s">
        <v>284</v>
      </c>
      <c r="H650" s="37">
        <v>-11.996194726292442</v>
      </c>
      <c r="I650" s="37">
        <v>-6.958128706109357</v>
      </c>
      <c r="J650" s="83" t="s">
        <v>2319</v>
      </c>
      <c r="K650" s="35">
        <v>23.3</v>
      </c>
      <c r="L650" s="79">
        <v>75.0</v>
      </c>
      <c r="M650" s="84">
        <v>24.0</v>
      </c>
      <c r="N650" s="84">
        <v>7.0</v>
      </c>
      <c r="O650" s="85">
        <v>-1.90245867586691</v>
      </c>
      <c r="P650" s="85">
        <v>-2.1078380044003917</v>
      </c>
      <c r="Q650" s="96" t="s">
        <v>69</v>
      </c>
      <c r="R650" s="85">
        <v>-1.7441398659045013</v>
      </c>
      <c r="S650" s="96" t="s">
        <v>69</v>
      </c>
      <c r="T650" s="96" t="s">
        <v>69</v>
      </c>
      <c r="U650" s="85">
        <v>-2.0711582794355325</v>
      </c>
      <c r="V650" s="96" t="s">
        <v>69</v>
      </c>
      <c r="W650" s="85">
        <v>-1.9440936989178992</v>
      </c>
      <c r="X650" s="85">
        <v>-2.2265062017672066</v>
      </c>
      <c r="Y650" s="50" t="s">
        <v>69</v>
      </c>
      <c r="Z650" s="50" t="s">
        <v>69</v>
      </c>
      <c r="AA650" s="50" t="s">
        <v>69</v>
      </c>
      <c r="AB650" s="50" t="s">
        <v>69</v>
      </c>
      <c r="AC650" s="34" t="str">
        <f t="shared" ref="AC650:AP650" si="650">LET(
  skater, IFERROR(INDEX(AllProj, MATCH($E650, AllProjNames, 0), MATCH(AC$2, AllProjCats, 0) + 1), ""),
  goalie, IFERROR(INDEX(AllGProj, MATCH($E650, AllGProjNames, 0), MATCH(AC$2, AllGProjCats, 0) + 1), ""),
  val, IF(skater &lt;&gt; "", skater, goalie),
  IF(OR($E650="", AC$2="", val=""), "", val * AC$1)
)</f>
        <v/>
      </c>
      <c r="AD650" s="34" t="str">
        <f t="shared" si="650"/>
        <v/>
      </c>
      <c r="AE650" s="34" t="str">
        <f t="shared" si="650"/>
        <v/>
      </c>
      <c r="AF650" s="34" t="str">
        <f t="shared" si="650"/>
        <v/>
      </c>
      <c r="AG650" s="34" t="str">
        <f t="shared" si="650"/>
        <v/>
      </c>
      <c r="AH650" s="34" t="str">
        <f t="shared" si="650"/>
        <v/>
      </c>
      <c r="AI650" s="34" t="str">
        <f t="shared" si="650"/>
        <v/>
      </c>
      <c r="AJ650" s="34" t="str">
        <f t="shared" si="650"/>
        <v/>
      </c>
      <c r="AK650" s="34" t="str">
        <f t="shared" si="650"/>
        <v/>
      </c>
      <c r="AL650" s="34" t="str">
        <f t="shared" si="650"/>
        <v/>
      </c>
      <c r="AM650" s="34" t="str">
        <f t="shared" si="650"/>
        <v/>
      </c>
      <c r="AN650" s="34" t="str">
        <f t="shared" si="650"/>
        <v/>
      </c>
      <c r="AO650" s="34" t="str">
        <f t="shared" si="650"/>
        <v/>
      </c>
      <c r="AP650" s="34" t="str">
        <f t="shared" si="650"/>
        <v/>
      </c>
      <c r="AQ650" s="76" t="s">
        <v>690</v>
      </c>
      <c r="AR650" s="77"/>
      <c r="AS650" s="77"/>
      <c r="AT650" s="77"/>
      <c r="AU650" s="77"/>
      <c r="AV650" s="77"/>
      <c r="AW650" s="77"/>
      <c r="AX650" s="77"/>
      <c r="AY650" s="77"/>
      <c r="AZ650" s="77"/>
      <c r="BA650" s="77"/>
      <c r="BB650" s="77"/>
      <c r="BC650" s="77"/>
      <c r="BD650" s="77"/>
      <c r="BE650" s="77"/>
      <c r="BF650" s="77"/>
      <c r="BG650" s="77"/>
      <c r="BH650" s="77"/>
      <c r="BI650" s="77"/>
      <c r="BJ650" s="77"/>
      <c r="BK650" s="77"/>
      <c r="BL650" s="77"/>
      <c r="BM650" s="78"/>
    </row>
    <row r="651">
      <c r="A651" s="41">
        <v>2.642857142857143</v>
      </c>
      <c r="B651" s="41" t="b">
        <v>0</v>
      </c>
      <c r="C651" s="41" t="b">
        <f t="shared" si="3"/>
        <v>0</v>
      </c>
      <c r="D651" s="42" t="s">
        <v>1565</v>
      </c>
      <c r="E651" s="43" t="s">
        <v>1171</v>
      </c>
      <c r="F651" s="44" t="s">
        <v>1706</v>
      </c>
      <c r="G651" s="29" t="s">
        <v>836</v>
      </c>
      <c r="H651" s="32">
        <v>-11.996415598987804</v>
      </c>
      <c r="I651" s="32">
        <v>-6.554277990259947</v>
      </c>
      <c r="J651" s="45" t="s">
        <v>2320</v>
      </c>
      <c r="K651" s="29">
        <v>32.0</v>
      </c>
      <c r="L651" s="41">
        <v>80.9154411764706</v>
      </c>
      <c r="M651" s="46">
        <v>31.0</v>
      </c>
      <c r="N651" s="46">
        <v>7.0</v>
      </c>
      <c r="O651" s="47">
        <v>-0.8690850167814783</v>
      </c>
      <c r="P651" s="47">
        <v>-0.5110533191602269</v>
      </c>
      <c r="Q651" s="47">
        <v>-3.874052742761815</v>
      </c>
      <c r="R651" s="47">
        <v>-2.2204636462057707</v>
      </c>
      <c r="S651" s="47">
        <v>0.16750992024995406</v>
      </c>
      <c r="T651" s="47">
        <v>0.5195974140278878</v>
      </c>
      <c r="U651" s="47">
        <v>-1.4741264228998774</v>
      </c>
      <c r="V651" s="47">
        <v>0.0</v>
      </c>
      <c r="W651" s="47">
        <v>-2.1835447606339162</v>
      </c>
      <c r="X651" s="47">
        <v>-1.5511970248225626</v>
      </c>
      <c r="Y651" s="50" t="s">
        <v>69</v>
      </c>
      <c r="Z651" s="50" t="s">
        <v>69</v>
      </c>
      <c r="AA651" s="50" t="s">
        <v>69</v>
      </c>
      <c r="AB651" s="50" t="s">
        <v>69</v>
      </c>
      <c r="AC651" s="34" t="str">
        <f t="shared" ref="AC651:AP651" si="651">LET(
  skater, IFERROR(INDEX(AllProj, MATCH($E651, AllProjNames, 0), MATCH(AC$2, AllProjCats, 0) + 1), ""),
  goalie, IFERROR(INDEX(AllGProj, MATCH($E651, AllGProjNames, 0), MATCH(AC$2, AllGProjCats, 0) + 1), ""),
  val, IF(skater &lt;&gt; "", skater, goalie),
  IF(OR($E651="", AC$2="", val=""), "", val * AC$1)
)</f>
        <v/>
      </c>
      <c r="AD651" s="34" t="str">
        <f t="shared" si="651"/>
        <v/>
      </c>
      <c r="AE651" s="34" t="str">
        <f t="shared" si="651"/>
        <v/>
      </c>
      <c r="AF651" s="34" t="str">
        <f t="shared" si="651"/>
        <v/>
      </c>
      <c r="AG651" s="34" t="str">
        <f t="shared" si="651"/>
        <v/>
      </c>
      <c r="AH651" s="34" t="str">
        <f t="shared" si="651"/>
        <v/>
      </c>
      <c r="AI651" s="34" t="str">
        <f t="shared" si="651"/>
        <v/>
      </c>
      <c r="AJ651" s="34" t="str">
        <f t="shared" si="651"/>
        <v/>
      </c>
      <c r="AK651" s="34" t="str">
        <f t="shared" si="651"/>
        <v/>
      </c>
      <c r="AL651" s="34" t="str">
        <f t="shared" si="651"/>
        <v/>
      </c>
      <c r="AM651" s="34" t="str">
        <f t="shared" si="651"/>
        <v/>
      </c>
      <c r="AN651" s="34" t="str">
        <f t="shared" si="651"/>
        <v/>
      </c>
      <c r="AO651" s="34" t="str">
        <f t="shared" si="651"/>
        <v/>
      </c>
      <c r="AP651" s="34" t="str">
        <f t="shared" si="651"/>
        <v/>
      </c>
      <c r="AQ651" s="76" t="s">
        <v>691</v>
      </c>
      <c r="AR651" s="77"/>
      <c r="AS651" s="77"/>
      <c r="AT651" s="77"/>
      <c r="AU651" s="77"/>
      <c r="AV651" s="77"/>
      <c r="AW651" s="77"/>
      <c r="AX651" s="77"/>
      <c r="AY651" s="77"/>
      <c r="AZ651" s="77"/>
      <c r="BA651" s="77"/>
      <c r="BB651" s="77"/>
      <c r="BC651" s="77"/>
      <c r="BD651" s="77"/>
      <c r="BE651" s="77"/>
      <c r="BF651" s="77"/>
      <c r="BG651" s="77"/>
      <c r="BH651" s="77"/>
      <c r="BI651" s="77"/>
      <c r="BJ651" s="77"/>
      <c r="BK651" s="77"/>
      <c r="BL651" s="77"/>
      <c r="BM651" s="78"/>
    </row>
    <row r="652">
      <c r="A652" s="79">
        <v>2.642857142857143</v>
      </c>
      <c r="B652" s="79" t="b">
        <v>0</v>
      </c>
      <c r="C652" s="79" t="b">
        <f t="shared" si="3"/>
        <v>0</v>
      </c>
      <c r="D652" s="80" t="s">
        <v>1565</v>
      </c>
      <c r="E652" s="81" t="s">
        <v>1158</v>
      </c>
      <c r="F652" s="82" t="s">
        <v>1710</v>
      </c>
      <c r="G652" s="35" t="s">
        <v>835</v>
      </c>
      <c r="H652" s="37">
        <v>-12.00483848418482</v>
      </c>
      <c r="I652" s="37">
        <v>-6.616958359272081</v>
      </c>
      <c r="J652" s="83" t="s">
        <v>2321</v>
      </c>
      <c r="K652" s="35">
        <v>21.8</v>
      </c>
      <c r="L652" s="79">
        <v>65.6</v>
      </c>
      <c r="M652" s="84">
        <v>23.0</v>
      </c>
      <c r="N652" s="84">
        <v>6.0</v>
      </c>
      <c r="O652" s="85">
        <v>-1.374276613776156</v>
      </c>
      <c r="P652" s="85">
        <v>-1.7018454432799988</v>
      </c>
      <c r="Q652" s="85">
        <v>-0.9756048231237767</v>
      </c>
      <c r="R652" s="85">
        <v>-2.1295999347875516</v>
      </c>
      <c r="S652" s="85">
        <v>-1.6079295793527744</v>
      </c>
      <c r="T652" s="85">
        <v>-0.16952108464970286</v>
      </c>
      <c r="U652" s="85">
        <v>-1.8181338445666935</v>
      </c>
      <c r="V652" s="85">
        <v>0.0</v>
      </c>
      <c r="W652" s="85">
        <v>-0.3785240280964168</v>
      </c>
      <c r="X652" s="85">
        <v>-1.8494031325517506</v>
      </c>
      <c r="Y652" s="50" t="s">
        <v>69</v>
      </c>
      <c r="Z652" s="50" t="s">
        <v>69</v>
      </c>
      <c r="AA652" s="50" t="s">
        <v>69</v>
      </c>
      <c r="AB652" s="50" t="s">
        <v>69</v>
      </c>
      <c r="AC652" s="34" t="str">
        <f t="shared" ref="AC652:AP652" si="652">LET(
  skater, IFERROR(INDEX(AllProj, MATCH($E652, AllProjNames, 0), MATCH(AC$2, AllProjCats, 0) + 1), ""),
  goalie, IFERROR(INDEX(AllGProj, MATCH($E652, AllGProjNames, 0), MATCH(AC$2, AllGProjCats, 0) + 1), ""),
  val, IF(skater &lt;&gt; "", skater, goalie),
  IF(OR($E652="", AC$2="", val=""), "", val * AC$1)
)</f>
        <v/>
      </c>
      <c r="AD652" s="34" t="str">
        <f t="shared" si="652"/>
        <v/>
      </c>
      <c r="AE652" s="34" t="str">
        <f t="shared" si="652"/>
        <v/>
      </c>
      <c r="AF652" s="34" t="str">
        <f t="shared" si="652"/>
        <v/>
      </c>
      <c r="AG652" s="34" t="str">
        <f t="shared" si="652"/>
        <v/>
      </c>
      <c r="AH652" s="34" t="str">
        <f t="shared" si="652"/>
        <v/>
      </c>
      <c r="AI652" s="34" t="str">
        <f t="shared" si="652"/>
        <v/>
      </c>
      <c r="AJ652" s="34" t="str">
        <f t="shared" si="652"/>
        <v/>
      </c>
      <c r="AK652" s="34" t="str">
        <f t="shared" si="652"/>
        <v/>
      </c>
      <c r="AL652" s="34" t="str">
        <f t="shared" si="652"/>
        <v/>
      </c>
      <c r="AM652" s="34" t="str">
        <f t="shared" si="652"/>
        <v/>
      </c>
      <c r="AN652" s="34" t="str">
        <f t="shared" si="652"/>
        <v/>
      </c>
      <c r="AO652" s="34" t="str">
        <f t="shared" si="652"/>
        <v/>
      </c>
      <c r="AP652" s="34" t="str">
        <f t="shared" si="652"/>
        <v/>
      </c>
      <c r="AQ652" s="76" t="s">
        <v>692</v>
      </c>
      <c r="AR652" s="77"/>
      <c r="AS652" s="77"/>
      <c r="AT652" s="77"/>
      <c r="AU652" s="77"/>
      <c r="AV652" s="77"/>
      <c r="AW652" s="77"/>
      <c r="AX652" s="77"/>
      <c r="AY652" s="77"/>
      <c r="AZ652" s="77"/>
      <c r="BA652" s="77"/>
      <c r="BB652" s="77"/>
      <c r="BC652" s="77"/>
      <c r="BD652" s="77"/>
      <c r="BE652" s="77"/>
      <c r="BF652" s="77"/>
      <c r="BG652" s="77"/>
      <c r="BH652" s="77"/>
      <c r="BI652" s="77"/>
      <c r="BJ652" s="77"/>
      <c r="BK652" s="77"/>
      <c r="BL652" s="77"/>
      <c r="BM652" s="78"/>
    </row>
    <row r="653">
      <c r="A653" s="41">
        <v>2.642857142857143</v>
      </c>
      <c r="B653" s="41" t="b">
        <v>0</v>
      </c>
      <c r="C653" s="41" t="b">
        <f t="shared" si="3"/>
        <v>0</v>
      </c>
      <c r="D653" s="42" t="s">
        <v>1565</v>
      </c>
      <c r="E653" s="43" t="s">
        <v>1232</v>
      </c>
      <c r="F653" s="44" t="s">
        <v>1706</v>
      </c>
      <c r="G653" s="29" t="s">
        <v>284</v>
      </c>
      <c r="H653" s="32">
        <v>-12.021388110050529</v>
      </c>
      <c r="I653" s="32">
        <v>-6.9833220898674435</v>
      </c>
      <c r="J653" s="45" t="s">
        <v>2322</v>
      </c>
      <c r="K653" s="29">
        <v>22.9</v>
      </c>
      <c r="L653" s="41">
        <v>82.38199999999999</v>
      </c>
      <c r="M653" s="46">
        <v>31.0</v>
      </c>
      <c r="N653" s="46">
        <v>7.0</v>
      </c>
      <c r="O653" s="47">
        <v>-0.943873078427645</v>
      </c>
      <c r="P653" s="47">
        <v>-1.1308680604779036</v>
      </c>
      <c r="Q653" s="47">
        <v>-3.158567445907302</v>
      </c>
      <c r="R653" s="47">
        <v>-1.7486339424786574</v>
      </c>
      <c r="S653" s="47">
        <v>-1.2900592103724489</v>
      </c>
      <c r="T653" s="47">
        <v>-0.047346633716819804</v>
      </c>
      <c r="U653" s="47">
        <v>-1.3178836764742161</v>
      </c>
      <c r="V653" s="47">
        <v>0.45485009595075426</v>
      </c>
      <c r="W653" s="47">
        <v>-1.5938600977818684</v>
      </c>
      <c r="X653" s="47">
        <v>-1.2451460603644189</v>
      </c>
      <c r="Y653" s="50" t="s">
        <v>69</v>
      </c>
      <c r="Z653" s="50" t="s">
        <v>69</v>
      </c>
      <c r="AA653" s="50" t="s">
        <v>69</v>
      </c>
      <c r="AB653" s="50" t="s">
        <v>69</v>
      </c>
      <c r="AC653" s="34" t="str">
        <f t="shared" ref="AC653:AP653" si="653">LET(
  skater, IFERROR(INDEX(AllProj, MATCH($E653, AllProjNames, 0), MATCH(AC$2, AllProjCats, 0) + 1), ""),
  goalie, IFERROR(INDEX(AllGProj, MATCH($E653, AllGProjNames, 0), MATCH(AC$2, AllGProjCats, 0) + 1), ""),
  val, IF(skater &lt;&gt; "", skater, goalie),
  IF(OR($E653="", AC$2="", val=""), "", val * AC$1)
)</f>
        <v/>
      </c>
      <c r="AD653" s="34" t="str">
        <f t="shared" si="653"/>
        <v/>
      </c>
      <c r="AE653" s="34" t="str">
        <f t="shared" si="653"/>
        <v/>
      </c>
      <c r="AF653" s="34" t="str">
        <f t="shared" si="653"/>
        <v/>
      </c>
      <c r="AG653" s="34" t="str">
        <f t="shared" si="653"/>
        <v/>
      </c>
      <c r="AH653" s="34" t="str">
        <f t="shared" si="653"/>
        <v/>
      </c>
      <c r="AI653" s="34" t="str">
        <f t="shared" si="653"/>
        <v/>
      </c>
      <c r="AJ653" s="34" t="str">
        <f t="shared" si="653"/>
        <v/>
      </c>
      <c r="AK653" s="34" t="str">
        <f t="shared" si="653"/>
        <v/>
      </c>
      <c r="AL653" s="34" t="str">
        <f t="shared" si="653"/>
        <v/>
      </c>
      <c r="AM653" s="34" t="str">
        <f t="shared" si="653"/>
        <v/>
      </c>
      <c r="AN653" s="34" t="str">
        <f t="shared" si="653"/>
        <v/>
      </c>
      <c r="AO653" s="34" t="str">
        <f t="shared" si="653"/>
        <v/>
      </c>
      <c r="AP653" s="34" t="str">
        <f t="shared" si="653"/>
        <v/>
      </c>
      <c r="AQ653" s="76" t="s">
        <v>693</v>
      </c>
      <c r="AR653" s="77"/>
      <c r="AS653" s="77"/>
      <c r="AT653" s="77"/>
      <c r="AU653" s="77"/>
      <c r="AV653" s="77"/>
      <c r="AW653" s="77"/>
      <c r="AX653" s="77"/>
      <c r="AY653" s="77"/>
      <c r="AZ653" s="77"/>
      <c r="BA653" s="77"/>
      <c r="BB653" s="77"/>
      <c r="BC653" s="77"/>
      <c r="BD653" s="77"/>
      <c r="BE653" s="77"/>
      <c r="BF653" s="77"/>
      <c r="BG653" s="77"/>
      <c r="BH653" s="77"/>
      <c r="BI653" s="77"/>
      <c r="BJ653" s="77"/>
      <c r="BK653" s="77"/>
      <c r="BL653" s="77"/>
      <c r="BM653" s="78"/>
    </row>
    <row r="654">
      <c r="A654" s="79">
        <v>2.642857142857143</v>
      </c>
      <c r="B654" s="79" t="b">
        <v>0</v>
      </c>
      <c r="C654" s="79" t="b">
        <f t="shared" si="3"/>
        <v>0</v>
      </c>
      <c r="D654" s="80" t="s">
        <v>1565</v>
      </c>
      <c r="E654" s="81" t="s">
        <v>1204</v>
      </c>
      <c r="F654" s="82" t="s">
        <v>1489</v>
      </c>
      <c r="G654" s="35" t="s">
        <v>837</v>
      </c>
      <c r="H654" s="37">
        <v>-12.024049328613346</v>
      </c>
      <c r="I654" s="37">
        <v>-6.494190556684445</v>
      </c>
      <c r="J654" s="83" t="s">
        <v>2323</v>
      </c>
      <c r="K654" s="35">
        <v>32.7</v>
      </c>
      <c r="L654" s="79">
        <v>82.71428571428571</v>
      </c>
      <c r="M654" s="84">
        <v>28.0</v>
      </c>
      <c r="N654" s="84">
        <v>7.0</v>
      </c>
      <c r="O654" s="85">
        <v>-2.312069254631168</v>
      </c>
      <c r="P654" s="85">
        <v>-1.6090471435953377</v>
      </c>
      <c r="Q654" s="85">
        <v>-1.384895915249321</v>
      </c>
      <c r="R654" s="85">
        <v>-1.646442613422622</v>
      </c>
      <c r="S654" s="85">
        <v>-1.72461069241107</v>
      </c>
      <c r="T654" s="85">
        <v>-0.16952108464970286</v>
      </c>
      <c r="U654" s="85">
        <v>-2.309724175169009</v>
      </c>
      <c r="V654" s="85">
        <v>0.0</v>
      </c>
      <c r="W654" s="85">
        <v>-1.5810969913975852</v>
      </c>
      <c r="X654" s="85">
        <v>0.7133585419124713</v>
      </c>
      <c r="Y654" s="50" t="s">
        <v>69</v>
      </c>
      <c r="Z654" s="50" t="s">
        <v>69</v>
      </c>
      <c r="AA654" s="50" t="s">
        <v>69</v>
      </c>
      <c r="AB654" s="50" t="s">
        <v>69</v>
      </c>
      <c r="AC654" s="34" t="str">
        <f t="shared" ref="AC654:AP654" si="654">LET(
  skater, IFERROR(INDEX(AllProj, MATCH($E654, AllProjNames, 0), MATCH(AC$2, AllProjCats, 0) + 1), ""),
  goalie, IFERROR(INDEX(AllGProj, MATCH($E654, AllGProjNames, 0), MATCH(AC$2, AllGProjCats, 0) + 1), ""),
  val, IF(skater &lt;&gt; "", skater, goalie),
  IF(OR($E654="", AC$2="", val=""), "", val * AC$1)
)</f>
        <v/>
      </c>
      <c r="AD654" s="34" t="str">
        <f t="shared" si="654"/>
        <v/>
      </c>
      <c r="AE654" s="34" t="str">
        <f t="shared" si="654"/>
        <v/>
      </c>
      <c r="AF654" s="34" t="str">
        <f t="shared" si="654"/>
        <v/>
      </c>
      <c r="AG654" s="34" t="str">
        <f t="shared" si="654"/>
        <v/>
      </c>
      <c r="AH654" s="34" t="str">
        <f t="shared" si="654"/>
        <v/>
      </c>
      <c r="AI654" s="34" t="str">
        <f t="shared" si="654"/>
        <v/>
      </c>
      <c r="AJ654" s="34" t="str">
        <f t="shared" si="654"/>
        <v/>
      </c>
      <c r="AK654" s="34" t="str">
        <f t="shared" si="654"/>
        <v/>
      </c>
      <c r="AL654" s="34" t="str">
        <f t="shared" si="654"/>
        <v/>
      </c>
      <c r="AM654" s="34" t="str">
        <f t="shared" si="654"/>
        <v/>
      </c>
      <c r="AN654" s="34" t="str">
        <f t="shared" si="654"/>
        <v/>
      </c>
      <c r="AO654" s="34" t="str">
        <f t="shared" si="654"/>
        <v/>
      </c>
      <c r="AP654" s="34" t="str">
        <f t="shared" si="654"/>
        <v/>
      </c>
      <c r="AQ654" s="76" t="s">
        <v>694</v>
      </c>
      <c r="AR654" s="77"/>
      <c r="AS654" s="77"/>
      <c r="AT654" s="77"/>
      <c r="AU654" s="77"/>
      <c r="AV654" s="77"/>
      <c r="AW654" s="77"/>
      <c r="AX654" s="77"/>
      <c r="AY654" s="77"/>
      <c r="AZ654" s="77"/>
      <c r="BA654" s="77"/>
      <c r="BB654" s="77"/>
      <c r="BC654" s="77"/>
      <c r="BD654" s="77"/>
      <c r="BE654" s="77"/>
      <c r="BF654" s="77"/>
      <c r="BG654" s="77"/>
      <c r="BH654" s="77"/>
      <c r="BI654" s="77"/>
      <c r="BJ654" s="77"/>
      <c r="BK654" s="77"/>
      <c r="BL654" s="77"/>
      <c r="BM654" s="78"/>
    </row>
    <row r="655">
      <c r="A655" s="41">
        <v>2.7142857142857144</v>
      </c>
      <c r="B655" s="41" t="b">
        <v>0</v>
      </c>
      <c r="C655" s="41" t="b">
        <f t="shared" si="3"/>
        <v>0</v>
      </c>
      <c r="D655" s="42" t="s">
        <v>1565</v>
      </c>
      <c r="E655" s="43" t="s">
        <v>1311</v>
      </c>
      <c r="F655" s="44" t="s">
        <v>1451</v>
      </c>
      <c r="G655" s="29" t="s">
        <v>830</v>
      </c>
      <c r="H655" s="32">
        <v>-12.042121371492144</v>
      </c>
      <c r="I655" s="32">
        <v>-6.654241246579405</v>
      </c>
      <c r="J655" s="45" t="s">
        <v>2324</v>
      </c>
      <c r="K655" s="29">
        <v>27.4</v>
      </c>
      <c r="L655" s="41">
        <v>76.28571428571429</v>
      </c>
      <c r="M655" s="46">
        <v>29.0</v>
      </c>
      <c r="N655" s="46">
        <v>7.0</v>
      </c>
      <c r="O655" s="47">
        <v>-1.5036273228596058</v>
      </c>
      <c r="P655" s="47">
        <v>-1.790003827980427</v>
      </c>
      <c r="Q655" s="47">
        <v>-2.312796755646445</v>
      </c>
      <c r="R655" s="47">
        <v>-1.4510481084588638</v>
      </c>
      <c r="S655" s="47">
        <v>-1.4212397984595013</v>
      </c>
      <c r="T655" s="47">
        <v>-0.16952108464970286</v>
      </c>
      <c r="U655" s="47">
        <v>-1.9226296501359021</v>
      </c>
      <c r="V655" s="47">
        <v>0.0</v>
      </c>
      <c r="W655" s="47">
        <v>-0.7830897134134117</v>
      </c>
      <c r="X655" s="47">
        <v>-0.6881651098882825</v>
      </c>
      <c r="Y655" s="50" t="s">
        <v>69</v>
      </c>
      <c r="Z655" s="50" t="s">
        <v>69</v>
      </c>
      <c r="AA655" s="50" t="s">
        <v>69</v>
      </c>
      <c r="AB655" s="50" t="s">
        <v>69</v>
      </c>
      <c r="AC655" s="34" t="str">
        <f t="shared" ref="AC655:AP655" si="655">LET(
  skater, IFERROR(INDEX(AllProj, MATCH($E655, AllProjNames, 0), MATCH(AC$2, AllProjCats, 0) + 1), ""),
  goalie, IFERROR(INDEX(AllGProj, MATCH($E655, AllGProjNames, 0), MATCH(AC$2, AllGProjCats, 0) + 1), ""),
  val, IF(skater &lt;&gt; "", skater, goalie),
  IF(OR($E655="", AC$2="", val=""), "", val * AC$1)
)</f>
        <v/>
      </c>
      <c r="AD655" s="34" t="str">
        <f t="shared" si="655"/>
        <v/>
      </c>
      <c r="AE655" s="34" t="str">
        <f t="shared" si="655"/>
        <v/>
      </c>
      <c r="AF655" s="34" t="str">
        <f t="shared" si="655"/>
        <v/>
      </c>
      <c r="AG655" s="34" t="str">
        <f t="shared" si="655"/>
        <v/>
      </c>
      <c r="AH655" s="34" t="str">
        <f t="shared" si="655"/>
        <v/>
      </c>
      <c r="AI655" s="34" t="str">
        <f t="shared" si="655"/>
        <v/>
      </c>
      <c r="AJ655" s="34" t="str">
        <f t="shared" si="655"/>
        <v/>
      </c>
      <c r="AK655" s="34" t="str">
        <f t="shared" si="655"/>
        <v/>
      </c>
      <c r="AL655" s="34" t="str">
        <f t="shared" si="655"/>
        <v/>
      </c>
      <c r="AM655" s="34" t="str">
        <f t="shared" si="655"/>
        <v/>
      </c>
      <c r="AN655" s="34" t="str">
        <f t="shared" si="655"/>
        <v/>
      </c>
      <c r="AO655" s="34" t="str">
        <f t="shared" si="655"/>
        <v/>
      </c>
      <c r="AP655" s="34" t="str">
        <f t="shared" si="655"/>
        <v/>
      </c>
      <c r="AQ655" s="76" t="s">
        <v>695</v>
      </c>
      <c r="AR655" s="77"/>
      <c r="AS655" s="77"/>
      <c r="AT655" s="77"/>
      <c r="AU655" s="77"/>
      <c r="AV655" s="77"/>
      <c r="AW655" s="77"/>
      <c r="AX655" s="77"/>
      <c r="AY655" s="77"/>
      <c r="AZ655" s="77"/>
      <c r="BA655" s="77"/>
      <c r="BB655" s="77"/>
      <c r="BC655" s="77"/>
      <c r="BD655" s="77"/>
      <c r="BE655" s="77"/>
      <c r="BF655" s="77"/>
      <c r="BG655" s="77"/>
      <c r="BH655" s="77"/>
      <c r="BI655" s="77"/>
      <c r="BJ655" s="77"/>
      <c r="BK655" s="77"/>
      <c r="BL655" s="77"/>
      <c r="BM655" s="78"/>
    </row>
    <row r="656">
      <c r="A656" s="79">
        <v>2.5714285714285716</v>
      </c>
      <c r="B656" s="79" t="b">
        <v>0</v>
      </c>
      <c r="C656" s="79" t="b">
        <f t="shared" si="3"/>
        <v>0</v>
      </c>
      <c r="D656" s="80" t="s">
        <v>1565</v>
      </c>
      <c r="E656" s="81" t="s">
        <v>1090</v>
      </c>
      <c r="F656" s="82" t="s">
        <v>1429</v>
      </c>
      <c r="G656" s="35" t="s">
        <v>284</v>
      </c>
      <c r="H656" s="37">
        <v>-12.04921698952958</v>
      </c>
      <c r="I656" s="37">
        <v>-7.011150969346494</v>
      </c>
      <c r="J656" s="83" t="s">
        <v>2325</v>
      </c>
      <c r="K656" s="35">
        <v>22.4</v>
      </c>
      <c r="L656" s="79">
        <v>63.0</v>
      </c>
      <c r="M656" s="84">
        <v>24.0</v>
      </c>
      <c r="N656" s="84">
        <v>7.0</v>
      </c>
      <c r="O656" s="85">
        <v>-2.028216309698042</v>
      </c>
      <c r="P656" s="85">
        <v>-2.2702350288485484</v>
      </c>
      <c r="Q656" s="96" t="s">
        <v>69</v>
      </c>
      <c r="R656" s="85">
        <v>-2.3658496544255505</v>
      </c>
      <c r="S656" s="96" t="s">
        <v>69</v>
      </c>
      <c r="T656" s="96" t="s">
        <v>69</v>
      </c>
      <c r="U656" s="85">
        <v>-1.9331449513252568</v>
      </c>
      <c r="V656" s="96" t="s">
        <v>69</v>
      </c>
      <c r="W656" s="85">
        <v>-1.1654072134307745</v>
      </c>
      <c r="X656" s="85">
        <v>-2.286363831801406</v>
      </c>
      <c r="Y656" s="50" t="s">
        <v>69</v>
      </c>
      <c r="Z656" s="50" t="s">
        <v>69</v>
      </c>
      <c r="AA656" s="50" t="s">
        <v>69</v>
      </c>
      <c r="AB656" s="50" t="s">
        <v>69</v>
      </c>
      <c r="AC656" s="34" t="str">
        <f t="shared" ref="AC656:AP656" si="656">LET(
  skater, IFERROR(INDEX(AllProj, MATCH($E656, AllProjNames, 0), MATCH(AC$2, AllProjCats, 0) + 1), ""),
  goalie, IFERROR(INDEX(AllGProj, MATCH($E656, AllGProjNames, 0), MATCH(AC$2, AllGProjCats, 0) + 1), ""),
  val, IF(skater &lt;&gt; "", skater, goalie),
  IF(OR($E656="", AC$2="", val=""), "", val * AC$1)
)</f>
        <v/>
      </c>
      <c r="AD656" s="34" t="str">
        <f t="shared" si="656"/>
        <v/>
      </c>
      <c r="AE656" s="34" t="str">
        <f t="shared" si="656"/>
        <v/>
      </c>
      <c r="AF656" s="34" t="str">
        <f t="shared" si="656"/>
        <v/>
      </c>
      <c r="AG656" s="34" t="str">
        <f t="shared" si="656"/>
        <v/>
      </c>
      <c r="AH656" s="34" t="str">
        <f t="shared" si="656"/>
        <v/>
      </c>
      <c r="AI656" s="34" t="str">
        <f t="shared" si="656"/>
        <v/>
      </c>
      <c r="AJ656" s="34" t="str">
        <f t="shared" si="656"/>
        <v/>
      </c>
      <c r="AK656" s="34" t="str">
        <f t="shared" si="656"/>
        <v/>
      </c>
      <c r="AL656" s="34" t="str">
        <f t="shared" si="656"/>
        <v/>
      </c>
      <c r="AM656" s="34" t="str">
        <f t="shared" si="656"/>
        <v/>
      </c>
      <c r="AN656" s="34" t="str">
        <f t="shared" si="656"/>
        <v/>
      </c>
      <c r="AO656" s="34" t="str">
        <f t="shared" si="656"/>
        <v/>
      </c>
      <c r="AP656" s="34" t="str">
        <f t="shared" si="656"/>
        <v/>
      </c>
      <c r="AQ656" s="76" t="s">
        <v>696</v>
      </c>
      <c r="AR656" s="77"/>
      <c r="AS656" s="77"/>
      <c r="AT656" s="77"/>
      <c r="AU656" s="77"/>
      <c r="AV656" s="77"/>
      <c r="AW656" s="77"/>
      <c r="AX656" s="77"/>
      <c r="AY656" s="77"/>
      <c r="AZ656" s="77"/>
      <c r="BA656" s="77"/>
      <c r="BB656" s="77"/>
      <c r="BC656" s="77"/>
      <c r="BD656" s="77"/>
      <c r="BE656" s="77"/>
      <c r="BF656" s="77"/>
      <c r="BG656" s="77"/>
      <c r="BH656" s="77"/>
      <c r="BI656" s="77"/>
      <c r="BJ656" s="77"/>
      <c r="BK656" s="77"/>
      <c r="BL656" s="77"/>
      <c r="BM656" s="78"/>
    </row>
    <row r="657">
      <c r="A657" s="41">
        <v>2.642857142857143</v>
      </c>
      <c r="B657" s="41" t="b">
        <v>0</v>
      </c>
      <c r="C657" s="41" t="b">
        <f t="shared" si="3"/>
        <v>0</v>
      </c>
      <c r="D657" s="42" t="s">
        <v>1565</v>
      </c>
      <c r="E657" s="43" t="s">
        <v>1174</v>
      </c>
      <c r="F657" s="44" t="s">
        <v>1401</v>
      </c>
      <c r="G657" s="29" t="s">
        <v>837</v>
      </c>
      <c r="H657" s="32">
        <v>-12.069316306107345</v>
      </c>
      <c r="I657" s="32">
        <v>-6.539457534178443</v>
      </c>
      <c r="J657" s="45" t="s">
        <v>2326</v>
      </c>
      <c r="K657" s="29">
        <v>24.6</v>
      </c>
      <c r="L657" s="41">
        <v>70.85714285714286</v>
      </c>
      <c r="M657" s="46">
        <v>25.0</v>
      </c>
      <c r="N657" s="46">
        <v>7.0</v>
      </c>
      <c r="O657" s="47">
        <v>-2.297696953621896</v>
      </c>
      <c r="P657" s="47">
        <v>-1.7621643380750287</v>
      </c>
      <c r="Q657" s="47">
        <v>-0.12563041542870398</v>
      </c>
      <c r="R657" s="47">
        <v>-1.3533508559769847</v>
      </c>
      <c r="S657" s="47">
        <v>-1.5519226450847925</v>
      </c>
      <c r="T657" s="47">
        <v>-0.7871777123417198</v>
      </c>
      <c r="U657" s="47">
        <v>-2.4950563586313796</v>
      </c>
      <c r="V657" s="47">
        <v>0.0</v>
      </c>
      <c r="W657" s="47">
        <v>-1.157795992144058</v>
      </c>
      <c r="X657" s="47">
        <v>-0.5385210348027845</v>
      </c>
      <c r="Y657" s="50" t="s">
        <v>69</v>
      </c>
      <c r="Z657" s="50" t="s">
        <v>69</v>
      </c>
      <c r="AA657" s="50" t="s">
        <v>69</v>
      </c>
      <c r="AB657" s="50" t="s">
        <v>69</v>
      </c>
      <c r="AC657" s="34" t="str">
        <f t="shared" ref="AC657:AP657" si="657">LET(
  skater, IFERROR(INDEX(AllProj, MATCH($E657, AllProjNames, 0), MATCH(AC$2, AllProjCats, 0) + 1), ""),
  goalie, IFERROR(INDEX(AllGProj, MATCH($E657, AllGProjNames, 0), MATCH(AC$2, AllGProjCats, 0) + 1), ""),
  val, IF(skater &lt;&gt; "", skater, goalie),
  IF(OR($E657="", AC$2="", val=""), "", val * AC$1)
)</f>
        <v/>
      </c>
      <c r="AD657" s="34" t="str">
        <f t="shared" si="657"/>
        <v/>
      </c>
      <c r="AE657" s="34" t="str">
        <f t="shared" si="657"/>
        <v/>
      </c>
      <c r="AF657" s="34" t="str">
        <f t="shared" si="657"/>
        <v/>
      </c>
      <c r="AG657" s="34" t="str">
        <f t="shared" si="657"/>
        <v/>
      </c>
      <c r="AH657" s="34" t="str">
        <f t="shared" si="657"/>
        <v/>
      </c>
      <c r="AI657" s="34" t="str">
        <f t="shared" si="657"/>
        <v/>
      </c>
      <c r="AJ657" s="34" t="str">
        <f t="shared" si="657"/>
        <v/>
      </c>
      <c r="AK657" s="34" t="str">
        <f t="shared" si="657"/>
        <v/>
      </c>
      <c r="AL657" s="34" t="str">
        <f t="shared" si="657"/>
        <v/>
      </c>
      <c r="AM657" s="34" t="str">
        <f t="shared" si="657"/>
        <v/>
      </c>
      <c r="AN657" s="34" t="str">
        <f t="shared" si="657"/>
        <v/>
      </c>
      <c r="AO657" s="34" t="str">
        <f t="shared" si="657"/>
        <v/>
      </c>
      <c r="AP657" s="34" t="str">
        <f t="shared" si="657"/>
        <v/>
      </c>
      <c r="AQ657" s="76" t="s">
        <v>697</v>
      </c>
      <c r="AR657" s="77"/>
      <c r="AS657" s="77"/>
      <c r="AT657" s="77"/>
      <c r="AU657" s="77"/>
      <c r="AV657" s="77"/>
      <c r="AW657" s="77"/>
      <c r="AX657" s="77"/>
      <c r="AY657" s="77"/>
      <c r="AZ657" s="77"/>
      <c r="BA657" s="77"/>
      <c r="BB657" s="77"/>
      <c r="BC657" s="77"/>
      <c r="BD657" s="77"/>
      <c r="BE657" s="77"/>
      <c r="BF657" s="77"/>
      <c r="BG657" s="77"/>
      <c r="BH657" s="77"/>
      <c r="BI657" s="77"/>
      <c r="BJ657" s="77"/>
      <c r="BK657" s="77"/>
      <c r="BL657" s="77"/>
      <c r="BM657" s="78"/>
    </row>
    <row r="658">
      <c r="A658" s="79">
        <v>2.642857142857143</v>
      </c>
      <c r="B658" s="79" t="b">
        <v>0</v>
      </c>
      <c r="C658" s="79" t="b">
        <f t="shared" si="3"/>
        <v>0</v>
      </c>
      <c r="D658" s="80" t="s">
        <v>1565</v>
      </c>
      <c r="E658" s="81" t="s">
        <v>1270</v>
      </c>
      <c r="F658" s="82" t="s">
        <v>1548</v>
      </c>
      <c r="G658" s="35" t="s">
        <v>835</v>
      </c>
      <c r="H658" s="37">
        <v>-12.091747552580282</v>
      </c>
      <c r="I658" s="37">
        <v>-6.703867427667543</v>
      </c>
      <c r="J658" s="83" t="s">
        <v>2327</v>
      </c>
      <c r="K658" s="35">
        <v>30.1</v>
      </c>
      <c r="L658" s="79">
        <v>63.2</v>
      </c>
      <c r="M658" s="84">
        <v>34.0</v>
      </c>
      <c r="N658" s="84">
        <v>7.0</v>
      </c>
      <c r="O658" s="85">
        <v>-1.9829435615188344</v>
      </c>
      <c r="P658" s="85">
        <v>-2.1045900639114286</v>
      </c>
      <c r="Q658" s="85">
        <v>-0.9717815606699826</v>
      </c>
      <c r="R658" s="85">
        <v>-0.6747990296482962</v>
      </c>
      <c r="S658" s="85">
        <v>-1.6966072252770792</v>
      </c>
      <c r="T658" s="85">
        <v>-0.7871777123417198</v>
      </c>
      <c r="U658" s="85">
        <v>-2.3876688452350985</v>
      </c>
      <c r="V658" s="85">
        <v>0.0</v>
      </c>
      <c r="W658" s="85">
        <v>0.28540865952944755</v>
      </c>
      <c r="X658" s="85">
        <v>-1.7715882135072913</v>
      </c>
      <c r="Y658" s="50" t="s">
        <v>69</v>
      </c>
      <c r="Z658" s="50" t="s">
        <v>69</v>
      </c>
      <c r="AA658" s="50" t="s">
        <v>69</v>
      </c>
      <c r="AB658" s="50" t="s">
        <v>69</v>
      </c>
      <c r="AC658" s="34" t="str">
        <f t="shared" ref="AC658:AP658" si="658">LET(
  skater, IFERROR(INDEX(AllProj, MATCH($E658, AllProjNames, 0), MATCH(AC$2, AllProjCats, 0) + 1), ""),
  goalie, IFERROR(INDEX(AllGProj, MATCH($E658, AllGProjNames, 0), MATCH(AC$2, AllGProjCats, 0) + 1), ""),
  val, IF(skater &lt;&gt; "", skater, goalie),
  IF(OR($E658="", AC$2="", val=""), "", val * AC$1)
)</f>
        <v/>
      </c>
      <c r="AD658" s="34" t="str">
        <f t="shared" si="658"/>
        <v/>
      </c>
      <c r="AE658" s="34" t="str">
        <f t="shared" si="658"/>
        <v/>
      </c>
      <c r="AF658" s="34" t="str">
        <f t="shared" si="658"/>
        <v/>
      </c>
      <c r="AG658" s="34" t="str">
        <f t="shared" si="658"/>
        <v/>
      </c>
      <c r="AH658" s="34" t="str">
        <f t="shared" si="658"/>
        <v/>
      </c>
      <c r="AI658" s="34" t="str">
        <f t="shared" si="658"/>
        <v/>
      </c>
      <c r="AJ658" s="34" t="str">
        <f t="shared" si="658"/>
        <v/>
      </c>
      <c r="AK658" s="34" t="str">
        <f t="shared" si="658"/>
        <v/>
      </c>
      <c r="AL658" s="34" t="str">
        <f t="shared" si="658"/>
        <v/>
      </c>
      <c r="AM658" s="34" t="str">
        <f t="shared" si="658"/>
        <v/>
      </c>
      <c r="AN658" s="34" t="str">
        <f t="shared" si="658"/>
        <v/>
      </c>
      <c r="AO658" s="34" t="str">
        <f t="shared" si="658"/>
        <v/>
      </c>
      <c r="AP658" s="34" t="str">
        <f t="shared" si="658"/>
        <v/>
      </c>
      <c r="AQ658" s="76" t="s">
        <v>698</v>
      </c>
      <c r="AR658" s="77"/>
      <c r="AS658" s="77"/>
      <c r="AT658" s="77"/>
      <c r="AU658" s="77"/>
      <c r="AV658" s="77"/>
      <c r="AW658" s="77"/>
      <c r="AX658" s="77"/>
      <c r="AY658" s="77"/>
      <c r="AZ658" s="77"/>
      <c r="BA658" s="77"/>
      <c r="BB658" s="77"/>
      <c r="BC658" s="77"/>
      <c r="BD658" s="77"/>
      <c r="BE658" s="77"/>
      <c r="BF658" s="77"/>
      <c r="BG658" s="77"/>
      <c r="BH658" s="77"/>
      <c r="BI658" s="77"/>
      <c r="BJ658" s="77"/>
      <c r="BK658" s="77"/>
      <c r="BL658" s="77"/>
      <c r="BM658" s="78"/>
    </row>
    <row r="659">
      <c r="A659" s="41">
        <v>2.642857142857143</v>
      </c>
      <c r="B659" s="41" t="b">
        <v>0</v>
      </c>
      <c r="C659" s="41" t="b">
        <f t="shared" si="3"/>
        <v>0</v>
      </c>
      <c r="D659" s="42" t="s">
        <v>1565</v>
      </c>
      <c r="E659" s="43" t="s">
        <v>1141</v>
      </c>
      <c r="F659" s="44" t="s">
        <v>1461</v>
      </c>
      <c r="G659" s="29" t="s">
        <v>837</v>
      </c>
      <c r="H659" s="32">
        <v>-12.124911639989422</v>
      </c>
      <c r="I659" s="32">
        <v>-6.595052868060521</v>
      </c>
      <c r="J659" s="45" t="s">
        <v>2328</v>
      </c>
      <c r="K659" s="29">
        <v>34.7</v>
      </c>
      <c r="L659" s="41">
        <v>61.0</v>
      </c>
      <c r="M659" s="46">
        <v>23.0</v>
      </c>
      <c r="N659" s="46">
        <v>6.0</v>
      </c>
      <c r="O659" s="47">
        <v>-2.3731515339205753</v>
      </c>
      <c r="P659" s="47">
        <v>-1.8712023402045055</v>
      </c>
      <c r="Q659" s="47">
        <v>-1.7344208537854096</v>
      </c>
      <c r="R659" s="47">
        <v>-0.7938120463080401</v>
      </c>
      <c r="S659" s="47">
        <v>-1.72461069241107</v>
      </c>
      <c r="T659" s="47">
        <v>-0.16952108464970286</v>
      </c>
      <c r="U659" s="47">
        <v>-2.525287849550773</v>
      </c>
      <c r="V659" s="47">
        <v>0.0</v>
      </c>
      <c r="W659" s="47">
        <v>-1.0570936797351969</v>
      </c>
      <c r="X659" s="47">
        <v>0.12418844057585135</v>
      </c>
      <c r="Y659" s="50" t="s">
        <v>69</v>
      </c>
      <c r="Z659" s="50" t="s">
        <v>69</v>
      </c>
      <c r="AA659" s="50" t="s">
        <v>69</v>
      </c>
      <c r="AB659" s="50" t="s">
        <v>69</v>
      </c>
      <c r="AC659" s="34" t="str">
        <f t="shared" ref="AC659:AP659" si="659">LET(
  skater, IFERROR(INDEX(AllProj, MATCH($E659, AllProjNames, 0), MATCH(AC$2, AllProjCats, 0) + 1), ""),
  goalie, IFERROR(INDEX(AllGProj, MATCH($E659, AllGProjNames, 0), MATCH(AC$2, AllGProjCats, 0) + 1), ""),
  val, IF(skater &lt;&gt; "", skater, goalie),
  IF(OR($E659="", AC$2="", val=""), "", val * AC$1)
)</f>
        <v/>
      </c>
      <c r="AD659" s="34" t="str">
        <f t="shared" si="659"/>
        <v/>
      </c>
      <c r="AE659" s="34" t="str">
        <f t="shared" si="659"/>
        <v/>
      </c>
      <c r="AF659" s="34" t="str">
        <f t="shared" si="659"/>
        <v/>
      </c>
      <c r="AG659" s="34" t="str">
        <f t="shared" si="659"/>
        <v/>
      </c>
      <c r="AH659" s="34" t="str">
        <f t="shared" si="659"/>
        <v/>
      </c>
      <c r="AI659" s="34" t="str">
        <f t="shared" si="659"/>
        <v/>
      </c>
      <c r="AJ659" s="34" t="str">
        <f t="shared" si="659"/>
        <v/>
      </c>
      <c r="AK659" s="34" t="str">
        <f t="shared" si="659"/>
        <v/>
      </c>
      <c r="AL659" s="34" t="str">
        <f t="shared" si="659"/>
        <v/>
      </c>
      <c r="AM659" s="34" t="str">
        <f t="shared" si="659"/>
        <v/>
      </c>
      <c r="AN659" s="34" t="str">
        <f t="shared" si="659"/>
        <v/>
      </c>
      <c r="AO659" s="34" t="str">
        <f t="shared" si="659"/>
        <v/>
      </c>
      <c r="AP659" s="34" t="str">
        <f t="shared" si="659"/>
        <v/>
      </c>
      <c r="AQ659" s="76" t="s">
        <v>699</v>
      </c>
      <c r="AR659" s="77"/>
      <c r="AS659" s="77"/>
      <c r="AT659" s="77"/>
      <c r="AU659" s="77"/>
      <c r="AV659" s="77"/>
      <c r="AW659" s="77"/>
      <c r="AX659" s="77"/>
      <c r="AY659" s="77"/>
      <c r="AZ659" s="77"/>
      <c r="BA659" s="77"/>
      <c r="BB659" s="77"/>
      <c r="BC659" s="77"/>
      <c r="BD659" s="77"/>
      <c r="BE659" s="77"/>
      <c r="BF659" s="77"/>
      <c r="BG659" s="77"/>
      <c r="BH659" s="77"/>
      <c r="BI659" s="77"/>
      <c r="BJ659" s="77"/>
      <c r="BK659" s="77"/>
      <c r="BL659" s="77"/>
      <c r="BM659" s="78"/>
    </row>
    <row r="660">
      <c r="A660" s="79">
        <v>2.642857142857143</v>
      </c>
      <c r="B660" s="79" t="b">
        <v>0</v>
      </c>
      <c r="C660" s="79" t="b">
        <f t="shared" si="3"/>
        <v>0</v>
      </c>
      <c r="D660" s="80" t="s">
        <v>1565</v>
      </c>
      <c r="E660" s="81" t="s">
        <v>1272</v>
      </c>
      <c r="F660" s="82" t="s">
        <v>1517</v>
      </c>
      <c r="G660" s="35" t="s">
        <v>832</v>
      </c>
      <c r="H660" s="37">
        <v>-12.154834554289712</v>
      </c>
      <c r="I660" s="37">
        <v>-6.712696945561855</v>
      </c>
      <c r="J660" s="83" t="s">
        <v>2329</v>
      </c>
      <c r="K660" s="35">
        <v>24.5</v>
      </c>
      <c r="L660" s="79">
        <v>65.0</v>
      </c>
      <c r="M660" s="84">
        <v>18.0</v>
      </c>
      <c r="N660" s="84">
        <v>6.0</v>
      </c>
      <c r="O660" s="85">
        <v>-1.90245867586691</v>
      </c>
      <c r="P660" s="85">
        <v>-1.864242467728156</v>
      </c>
      <c r="Q660" s="85">
        <v>-1.6318680638286827</v>
      </c>
      <c r="R660" s="85">
        <v>-0.5007202888624026</v>
      </c>
      <c r="S660" s="85">
        <v>-1.72461069241107</v>
      </c>
      <c r="T660" s="85">
        <v>-0.7871777123417198</v>
      </c>
      <c r="U660" s="85">
        <v>-2.692218255931773</v>
      </c>
      <c r="V660" s="85">
        <v>0.0</v>
      </c>
      <c r="W660" s="85">
        <v>0.576391504106215</v>
      </c>
      <c r="X660" s="85">
        <v>-1.6279299014252129</v>
      </c>
      <c r="Y660" s="50" t="s">
        <v>69</v>
      </c>
      <c r="Z660" s="50" t="s">
        <v>69</v>
      </c>
      <c r="AA660" s="50" t="s">
        <v>69</v>
      </c>
      <c r="AB660" s="50" t="s">
        <v>69</v>
      </c>
      <c r="AC660" s="34" t="str">
        <f t="shared" ref="AC660:AP660" si="660">LET(
  skater, IFERROR(INDEX(AllProj, MATCH($E660, AllProjNames, 0), MATCH(AC$2, AllProjCats, 0) + 1), ""),
  goalie, IFERROR(INDEX(AllGProj, MATCH($E660, AllGProjNames, 0), MATCH(AC$2, AllGProjCats, 0) + 1), ""),
  val, IF(skater &lt;&gt; "", skater, goalie),
  IF(OR($E660="", AC$2="", val=""), "", val * AC$1)
)</f>
        <v/>
      </c>
      <c r="AD660" s="34" t="str">
        <f t="shared" si="660"/>
        <v/>
      </c>
      <c r="AE660" s="34" t="str">
        <f t="shared" si="660"/>
        <v/>
      </c>
      <c r="AF660" s="34" t="str">
        <f t="shared" si="660"/>
        <v/>
      </c>
      <c r="AG660" s="34" t="str">
        <f t="shared" si="660"/>
        <v/>
      </c>
      <c r="AH660" s="34" t="str">
        <f t="shared" si="660"/>
        <v/>
      </c>
      <c r="AI660" s="34" t="str">
        <f t="shared" si="660"/>
        <v/>
      </c>
      <c r="AJ660" s="34" t="str">
        <f t="shared" si="660"/>
        <v/>
      </c>
      <c r="AK660" s="34" t="str">
        <f t="shared" si="660"/>
        <v/>
      </c>
      <c r="AL660" s="34" t="str">
        <f t="shared" si="660"/>
        <v/>
      </c>
      <c r="AM660" s="34" t="str">
        <f t="shared" si="660"/>
        <v/>
      </c>
      <c r="AN660" s="34" t="str">
        <f t="shared" si="660"/>
        <v/>
      </c>
      <c r="AO660" s="34" t="str">
        <f t="shared" si="660"/>
        <v/>
      </c>
      <c r="AP660" s="34" t="str">
        <f t="shared" si="660"/>
        <v/>
      </c>
      <c r="AQ660" s="76" t="s">
        <v>700</v>
      </c>
      <c r="AR660" s="77"/>
      <c r="AS660" s="77"/>
      <c r="AT660" s="77"/>
      <c r="AU660" s="77"/>
      <c r="AV660" s="77"/>
      <c r="AW660" s="77"/>
      <c r="AX660" s="77"/>
      <c r="AY660" s="77"/>
      <c r="AZ660" s="77"/>
      <c r="BA660" s="77"/>
      <c r="BB660" s="77"/>
      <c r="BC660" s="77"/>
      <c r="BD660" s="77"/>
      <c r="BE660" s="77"/>
      <c r="BF660" s="77"/>
      <c r="BG660" s="77"/>
      <c r="BH660" s="77"/>
      <c r="BI660" s="77"/>
      <c r="BJ660" s="77"/>
      <c r="BK660" s="77"/>
      <c r="BL660" s="77"/>
      <c r="BM660" s="78"/>
    </row>
    <row r="661">
      <c r="A661" s="41">
        <v>2.642857142857143</v>
      </c>
      <c r="B661" s="41" t="b">
        <v>0</v>
      </c>
      <c r="C661" s="41" t="b">
        <f t="shared" si="3"/>
        <v>0</v>
      </c>
      <c r="D661" s="42" t="s">
        <v>1565</v>
      </c>
      <c r="E661" s="43" t="s">
        <v>1152</v>
      </c>
      <c r="F661" s="44" t="s">
        <v>1710</v>
      </c>
      <c r="G661" s="29" t="s">
        <v>831</v>
      </c>
      <c r="H661" s="32">
        <v>-12.156287881702461</v>
      </c>
      <c r="I661" s="32">
        <v>-6.714150272974604</v>
      </c>
      <c r="J661" s="45" t="s">
        <v>2330</v>
      </c>
      <c r="K661" s="29">
        <v>28.3</v>
      </c>
      <c r="L661" s="41">
        <v>78.94624999999999</v>
      </c>
      <c r="M661" s="46">
        <v>23.0</v>
      </c>
      <c r="N661" s="46">
        <v>6.0</v>
      </c>
      <c r="O661" s="47">
        <v>-0.37520308453172896</v>
      </c>
      <c r="P661" s="47">
        <v>-1.2530324790321439</v>
      </c>
      <c r="Q661" s="47">
        <v>-3.4124996110111714</v>
      </c>
      <c r="R661" s="47">
        <v>-2.1407925666253145</v>
      </c>
      <c r="S661" s="47">
        <v>-0.8190499511307614</v>
      </c>
      <c r="T661" s="47">
        <v>0.26516896763446557</v>
      </c>
      <c r="U661" s="47">
        <v>-0.5451841933313648</v>
      </c>
      <c r="V661" s="47">
        <v>0.0</v>
      </c>
      <c r="W661" s="47">
        <v>-2.216064045522508</v>
      </c>
      <c r="X661" s="47">
        <v>-1.6596309181519358</v>
      </c>
      <c r="Y661" s="50" t="s">
        <v>69</v>
      </c>
      <c r="Z661" s="50" t="s">
        <v>69</v>
      </c>
      <c r="AA661" s="50" t="s">
        <v>69</v>
      </c>
      <c r="AB661" s="50" t="s">
        <v>69</v>
      </c>
      <c r="AC661" s="34" t="str">
        <f t="shared" ref="AC661:AP661" si="661">LET(
  skater, IFERROR(INDEX(AllProj, MATCH($E661, AllProjNames, 0), MATCH(AC$2, AllProjCats, 0) + 1), ""),
  goalie, IFERROR(INDEX(AllGProj, MATCH($E661, AllGProjNames, 0), MATCH(AC$2, AllGProjCats, 0) + 1), ""),
  val, IF(skater &lt;&gt; "", skater, goalie),
  IF(OR($E661="", AC$2="", val=""), "", val * AC$1)
)</f>
        <v/>
      </c>
      <c r="AD661" s="34" t="str">
        <f t="shared" si="661"/>
        <v/>
      </c>
      <c r="AE661" s="34" t="str">
        <f t="shared" si="661"/>
        <v/>
      </c>
      <c r="AF661" s="34" t="str">
        <f t="shared" si="661"/>
        <v/>
      </c>
      <c r="AG661" s="34" t="str">
        <f t="shared" si="661"/>
        <v/>
      </c>
      <c r="AH661" s="34" t="str">
        <f t="shared" si="661"/>
        <v/>
      </c>
      <c r="AI661" s="34" t="str">
        <f t="shared" si="661"/>
        <v/>
      </c>
      <c r="AJ661" s="34" t="str">
        <f t="shared" si="661"/>
        <v/>
      </c>
      <c r="AK661" s="34" t="str">
        <f t="shared" si="661"/>
        <v/>
      </c>
      <c r="AL661" s="34" t="str">
        <f t="shared" si="661"/>
        <v/>
      </c>
      <c r="AM661" s="34" t="str">
        <f t="shared" si="661"/>
        <v/>
      </c>
      <c r="AN661" s="34" t="str">
        <f t="shared" si="661"/>
        <v/>
      </c>
      <c r="AO661" s="34" t="str">
        <f t="shared" si="661"/>
        <v/>
      </c>
      <c r="AP661" s="34" t="str">
        <f t="shared" si="661"/>
        <v/>
      </c>
      <c r="AQ661" s="76" t="s">
        <v>701</v>
      </c>
      <c r="AR661" s="77"/>
      <c r="AS661" s="77"/>
      <c r="AT661" s="77"/>
      <c r="AU661" s="77"/>
      <c r="AV661" s="77"/>
      <c r="AW661" s="77"/>
      <c r="AX661" s="77"/>
      <c r="AY661" s="77"/>
      <c r="AZ661" s="77"/>
      <c r="BA661" s="77"/>
      <c r="BB661" s="77"/>
      <c r="BC661" s="77"/>
      <c r="BD661" s="77"/>
      <c r="BE661" s="77"/>
      <c r="BF661" s="77"/>
      <c r="BG661" s="77"/>
      <c r="BH661" s="77"/>
      <c r="BI661" s="77"/>
      <c r="BJ661" s="77"/>
      <c r="BK661" s="77"/>
      <c r="BL661" s="77"/>
      <c r="BM661" s="78"/>
    </row>
    <row r="662">
      <c r="A662" s="79">
        <v>2.7142857142857144</v>
      </c>
      <c r="B662" s="79" t="b">
        <v>0</v>
      </c>
      <c r="C662" s="79" t="b">
        <f t="shared" si="3"/>
        <v>0</v>
      </c>
      <c r="D662" s="80" t="s">
        <v>1565</v>
      </c>
      <c r="E662" s="81" t="s">
        <v>1328</v>
      </c>
      <c r="F662" s="82" t="s">
        <v>849</v>
      </c>
      <c r="G662" s="35" t="s">
        <v>837</v>
      </c>
      <c r="H662" s="37">
        <v>-12.16144143870564</v>
      </c>
      <c r="I662" s="37">
        <v>-6.6315826667767395</v>
      </c>
      <c r="J662" s="83" t="s">
        <v>2331</v>
      </c>
      <c r="K662" s="35">
        <v>29.6</v>
      </c>
      <c r="L662" s="79">
        <v>69.85714285714286</v>
      </c>
      <c r="M662" s="84">
        <v>29.0</v>
      </c>
      <c r="N662" s="84">
        <v>6.0</v>
      </c>
      <c r="O662" s="85">
        <v>-2.16116009403381</v>
      </c>
      <c r="P662" s="85">
        <v>-1.5023290989579774</v>
      </c>
      <c r="Q662" s="85">
        <v>0.16853986468857757</v>
      </c>
      <c r="R662" s="85">
        <v>-1.6730873186449529</v>
      </c>
      <c r="S662" s="85">
        <v>-1.6359330464867654</v>
      </c>
      <c r="T662" s="85">
        <v>-0.7871777123417198</v>
      </c>
      <c r="U662" s="85">
        <v>-2.499656802901722</v>
      </c>
      <c r="V662" s="85">
        <v>0.0</v>
      </c>
      <c r="W662" s="85">
        <v>-1.8861313214267523</v>
      </c>
      <c r="X662" s="85">
        <v>-0.18450590860051935</v>
      </c>
      <c r="Y662" s="50" t="s">
        <v>69</v>
      </c>
      <c r="Z662" s="50" t="s">
        <v>69</v>
      </c>
      <c r="AA662" s="50" t="s">
        <v>69</v>
      </c>
      <c r="AB662" s="50" t="s">
        <v>69</v>
      </c>
      <c r="AC662" s="34" t="str">
        <f t="shared" ref="AC662:AP662" si="662">LET(
  skater, IFERROR(INDEX(AllProj, MATCH($E662, AllProjNames, 0), MATCH(AC$2, AllProjCats, 0) + 1), ""),
  goalie, IFERROR(INDEX(AllGProj, MATCH($E662, AllGProjNames, 0), MATCH(AC$2, AllGProjCats, 0) + 1), ""),
  val, IF(skater &lt;&gt; "", skater, goalie),
  IF(OR($E662="", AC$2="", val=""), "", val * AC$1)
)</f>
        <v/>
      </c>
      <c r="AD662" s="34" t="str">
        <f t="shared" si="662"/>
        <v/>
      </c>
      <c r="AE662" s="34" t="str">
        <f t="shared" si="662"/>
        <v/>
      </c>
      <c r="AF662" s="34" t="str">
        <f t="shared" si="662"/>
        <v/>
      </c>
      <c r="AG662" s="34" t="str">
        <f t="shared" si="662"/>
        <v/>
      </c>
      <c r="AH662" s="34" t="str">
        <f t="shared" si="662"/>
        <v/>
      </c>
      <c r="AI662" s="34" t="str">
        <f t="shared" si="662"/>
        <v/>
      </c>
      <c r="AJ662" s="34" t="str">
        <f t="shared" si="662"/>
        <v/>
      </c>
      <c r="AK662" s="34" t="str">
        <f t="shared" si="662"/>
        <v/>
      </c>
      <c r="AL662" s="34" t="str">
        <f t="shared" si="662"/>
        <v/>
      </c>
      <c r="AM662" s="34" t="str">
        <f t="shared" si="662"/>
        <v/>
      </c>
      <c r="AN662" s="34" t="str">
        <f t="shared" si="662"/>
        <v/>
      </c>
      <c r="AO662" s="34" t="str">
        <f t="shared" si="662"/>
        <v/>
      </c>
      <c r="AP662" s="34" t="str">
        <f t="shared" si="662"/>
        <v/>
      </c>
      <c r="AQ662" s="76" t="s">
        <v>702</v>
      </c>
      <c r="AR662" s="77"/>
      <c r="AS662" s="77"/>
      <c r="AT662" s="77"/>
      <c r="AU662" s="77"/>
      <c r="AV662" s="77"/>
      <c r="AW662" s="77"/>
      <c r="AX662" s="77"/>
      <c r="AY662" s="77"/>
      <c r="AZ662" s="77"/>
      <c r="BA662" s="77"/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8"/>
    </row>
    <row r="663">
      <c r="A663" s="41">
        <v>3.142857142857143</v>
      </c>
      <c r="B663" s="41" t="b">
        <v>0</v>
      </c>
      <c r="C663" s="41" t="b">
        <f t="shared" si="3"/>
        <v>0</v>
      </c>
      <c r="D663" s="42" t="s">
        <v>1565</v>
      </c>
      <c r="E663" s="43" t="s">
        <v>1397</v>
      </c>
      <c r="F663" s="44" t="s">
        <v>1482</v>
      </c>
      <c r="G663" s="29" t="s">
        <v>6</v>
      </c>
      <c r="H663" s="32">
        <v>-12.161827083559174</v>
      </c>
      <c r="I663" s="32">
        <v>-7.823604105089061</v>
      </c>
      <c r="J663" s="45" t="s">
        <v>2332</v>
      </c>
      <c r="K663" s="29">
        <v>26.9</v>
      </c>
      <c r="L663" s="41">
        <v>33.6</v>
      </c>
      <c r="M663" s="46">
        <v>27.0</v>
      </c>
      <c r="N663" s="46">
        <v>6.0</v>
      </c>
      <c r="O663" s="94" t="s">
        <v>69</v>
      </c>
      <c r="P663" s="94" t="s">
        <v>69</v>
      </c>
      <c r="Q663" s="94" t="s">
        <v>69</v>
      </c>
      <c r="R663" s="94" t="s">
        <v>69</v>
      </c>
      <c r="S663" s="94" t="s">
        <v>69</v>
      </c>
      <c r="T663" s="94" t="s">
        <v>69</v>
      </c>
      <c r="U663" s="94" t="s">
        <v>69</v>
      </c>
      <c r="V663" s="94" t="s">
        <v>69</v>
      </c>
      <c r="W663" s="94" t="s">
        <v>69</v>
      </c>
      <c r="X663" s="94" t="s">
        <v>69</v>
      </c>
      <c r="Y663" s="95">
        <v>-1.8467700510185285</v>
      </c>
      <c r="Z663" s="95">
        <v>-3.7559893480446895</v>
      </c>
      <c r="AA663" s="95">
        <v>-6.5590676844959575</v>
      </c>
      <c r="AB663" s="95">
        <v>0.0</v>
      </c>
      <c r="AC663" s="34" t="str">
        <f t="shared" ref="AC663:AP663" si="663">LET(
  skater, IFERROR(INDEX(AllProj, MATCH($E663, AllProjNames, 0), MATCH(AC$2, AllProjCats, 0) + 1), ""),
  goalie, IFERROR(INDEX(AllGProj, MATCH($E663, AllGProjNames, 0), MATCH(AC$2, AllGProjCats, 0) + 1), ""),
  val, IF(skater &lt;&gt; "", skater, goalie),
  IF(OR($E663="", AC$2="", val=""), "", val * AC$1)
)</f>
        <v/>
      </c>
      <c r="AD663" s="34" t="str">
        <f t="shared" si="663"/>
        <v/>
      </c>
      <c r="AE663" s="34" t="str">
        <f t="shared" si="663"/>
        <v/>
      </c>
      <c r="AF663" s="34" t="str">
        <f t="shared" si="663"/>
        <v/>
      </c>
      <c r="AG663" s="34" t="str">
        <f t="shared" si="663"/>
        <v/>
      </c>
      <c r="AH663" s="34" t="str">
        <f t="shared" si="663"/>
        <v/>
      </c>
      <c r="AI663" s="34" t="str">
        <f t="shared" si="663"/>
        <v/>
      </c>
      <c r="AJ663" s="34" t="str">
        <f t="shared" si="663"/>
        <v/>
      </c>
      <c r="AK663" s="34" t="str">
        <f t="shared" si="663"/>
        <v/>
      </c>
      <c r="AL663" s="34" t="str">
        <f t="shared" si="663"/>
        <v/>
      </c>
      <c r="AM663" s="34" t="str">
        <f t="shared" si="663"/>
        <v/>
      </c>
      <c r="AN663" s="34" t="str">
        <f t="shared" si="663"/>
        <v/>
      </c>
      <c r="AO663" s="34" t="str">
        <f t="shared" si="663"/>
        <v/>
      </c>
      <c r="AP663" s="34" t="str">
        <f t="shared" si="663"/>
        <v/>
      </c>
      <c r="AQ663" s="76" t="s">
        <v>703</v>
      </c>
      <c r="AR663" s="77"/>
      <c r="AS663" s="77"/>
      <c r="AT663" s="77"/>
      <c r="AU663" s="77"/>
      <c r="AV663" s="77"/>
      <c r="AW663" s="77"/>
      <c r="AX663" s="77"/>
      <c r="AY663" s="77"/>
      <c r="AZ663" s="77"/>
      <c r="BA663" s="77"/>
      <c r="BB663" s="77"/>
      <c r="BC663" s="77"/>
      <c r="BD663" s="77"/>
      <c r="BE663" s="77"/>
      <c r="BF663" s="77"/>
      <c r="BG663" s="77"/>
      <c r="BH663" s="77"/>
      <c r="BI663" s="77"/>
      <c r="BJ663" s="77"/>
      <c r="BK663" s="77"/>
      <c r="BL663" s="77"/>
      <c r="BM663" s="78"/>
    </row>
    <row r="664">
      <c r="A664" s="79">
        <v>2.7142857142857144</v>
      </c>
      <c r="B664" s="79" t="b">
        <v>0</v>
      </c>
      <c r="C664" s="79" t="b">
        <f t="shared" si="3"/>
        <v>0</v>
      </c>
      <c r="D664" s="80" t="s">
        <v>1565</v>
      </c>
      <c r="E664" s="81" t="s">
        <v>1342</v>
      </c>
      <c r="F664" s="82" t="s">
        <v>1517</v>
      </c>
      <c r="G664" s="35" t="s">
        <v>835</v>
      </c>
      <c r="H664" s="37">
        <v>-12.16193547176119</v>
      </c>
      <c r="I664" s="37">
        <v>-6.774055346848451</v>
      </c>
      <c r="J664" s="83" t="s">
        <v>2333</v>
      </c>
      <c r="K664" s="35">
        <v>23.0</v>
      </c>
      <c r="L664" s="79">
        <v>76.0</v>
      </c>
      <c r="M664" s="84">
        <v>18.0</v>
      </c>
      <c r="N664" s="84">
        <v>6.0</v>
      </c>
      <c r="O664" s="85">
        <v>-1.2736705067112504</v>
      </c>
      <c r="P664" s="85">
        <v>-1.9454409799522345</v>
      </c>
      <c r="Q664" s="85">
        <v>-2.4102786462738934</v>
      </c>
      <c r="R664" s="85">
        <v>-1.5576269293481866</v>
      </c>
      <c r="S664" s="85">
        <v>-1.72461069241107</v>
      </c>
      <c r="T664" s="85">
        <v>-0.7871777123417198</v>
      </c>
      <c r="U664" s="85">
        <v>-2.278178271600946</v>
      </c>
      <c r="V664" s="85">
        <v>0.0</v>
      </c>
      <c r="W664" s="85">
        <v>0.9042594979955306</v>
      </c>
      <c r="X664" s="85">
        <v>-1.0892112311174185</v>
      </c>
      <c r="Y664" s="50" t="s">
        <v>69</v>
      </c>
      <c r="Z664" s="50" t="s">
        <v>69</v>
      </c>
      <c r="AA664" s="50" t="s">
        <v>69</v>
      </c>
      <c r="AB664" s="50" t="s">
        <v>69</v>
      </c>
      <c r="AC664" s="34" t="str">
        <f t="shared" ref="AC664:AP664" si="664">LET(
  skater, IFERROR(INDEX(AllProj, MATCH($E664, AllProjNames, 0), MATCH(AC$2, AllProjCats, 0) + 1), ""),
  goalie, IFERROR(INDEX(AllGProj, MATCH($E664, AllGProjNames, 0), MATCH(AC$2, AllGProjCats, 0) + 1), ""),
  val, IF(skater &lt;&gt; "", skater, goalie),
  IF(OR($E664="", AC$2="", val=""), "", val * AC$1)
)</f>
        <v/>
      </c>
      <c r="AD664" s="34" t="str">
        <f t="shared" si="664"/>
        <v/>
      </c>
      <c r="AE664" s="34" t="str">
        <f t="shared" si="664"/>
        <v/>
      </c>
      <c r="AF664" s="34" t="str">
        <f t="shared" si="664"/>
        <v/>
      </c>
      <c r="AG664" s="34" t="str">
        <f t="shared" si="664"/>
        <v/>
      </c>
      <c r="AH664" s="34" t="str">
        <f t="shared" si="664"/>
        <v/>
      </c>
      <c r="AI664" s="34" t="str">
        <f t="shared" si="664"/>
        <v/>
      </c>
      <c r="AJ664" s="34" t="str">
        <f t="shared" si="664"/>
        <v/>
      </c>
      <c r="AK664" s="34" t="str">
        <f t="shared" si="664"/>
        <v/>
      </c>
      <c r="AL664" s="34" t="str">
        <f t="shared" si="664"/>
        <v/>
      </c>
      <c r="AM664" s="34" t="str">
        <f t="shared" si="664"/>
        <v/>
      </c>
      <c r="AN664" s="34" t="str">
        <f t="shared" si="664"/>
        <v/>
      </c>
      <c r="AO664" s="34" t="str">
        <f t="shared" si="664"/>
        <v/>
      </c>
      <c r="AP664" s="34" t="str">
        <f t="shared" si="664"/>
        <v/>
      </c>
      <c r="AQ664" s="76" t="s">
        <v>704</v>
      </c>
      <c r="AR664" s="77"/>
      <c r="AS664" s="77"/>
      <c r="AT664" s="77"/>
      <c r="AU664" s="77"/>
      <c r="AV664" s="77"/>
      <c r="AW664" s="77"/>
      <c r="AX664" s="77"/>
      <c r="AY664" s="77"/>
      <c r="AZ664" s="77"/>
      <c r="BA664" s="77"/>
      <c r="BB664" s="77"/>
      <c r="BC664" s="77"/>
      <c r="BD664" s="77"/>
      <c r="BE664" s="77"/>
      <c r="BF664" s="77"/>
      <c r="BG664" s="77"/>
      <c r="BH664" s="77"/>
      <c r="BI664" s="77"/>
      <c r="BJ664" s="77"/>
      <c r="BK664" s="77"/>
      <c r="BL664" s="77"/>
      <c r="BM664" s="78"/>
    </row>
    <row r="665">
      <c r="A665" s="41">
        <v>2.642857142857143</v>
      </c>
      <c r="B665" s="41" t="b">
        <v>0</v>
      </c>
      <c r="C665" s="41" t="b">
        <f t="shared" si="3"/>
        <v>0</v>
      </c>
      <c r="D665" s="42" t="s">
        <v>1565</v>
      </c>
      <c r="E665" s="43" t="s">
        <v>1164</v>
      </c>
      <c r="F665" s="44" t="s">
        <v>1419</v>
      </c>
      <c r="G665" s="29" t="s">
        <v>284</v>
      </c>
      <c r="H665" s="32">
        <v>-12.18412342407301</v>
      </c>
      <c r="I665" s="32">
        <v>-7.146057403889924</v>
      </c>
      <c r="J665" s="45" t="s">
        <v>2334</v>
      </c>
      <c r="K665" s="29">
        <v>26.2</v>
      </c>
      <c r="L665" s="41">
        <v>69.4</v>
      </c>
      <c r="M665" s="46">
        <v>23.0</v>
      </c>
      <c r="N665" s="46">
        <v>7.0</v>
      </c>
      <c r="O665" s="47">
        <v>-1.5754888279059671</v>
      </c>
      <c r="P665" s="47">
        <v>-1.636886633500736</v>
      </c>
      <c r="Q665" s="47">
        <v>-0.3965614160531406</v>
      </c>
      <c r="R665" s="47">
        <v>-1.3462456012510298</v>
      </c>
      <c r="S665" s="47">
        <v>-1.4912484662944787</v>
      </c>
      <c r="T665" s="47">
        <v>-0.7871777123417198</v>
      </c>
      <c r="U665" s="47">
        <v>-2.0435556138134774</v>
      </c>
      <c r="V665" s="47">
        <v>0.0</v>
      </c>
      <c r="W665" s="47">
        <v>-1.0096699163333496</v>
      </c>
      <c r="X665" s="47">
        <v>-1.89728923657911</v>
      </c>
      <c r="Y665" s="50" t="s">
        <v>69</v>
      </c>
      <c r="Z665" s="50" t="s">
        <v>69</v>
      </c>
      <c r="AA665" s="50" t="s">
        <v>69</v>
      </c>
      <c r="AB665" s="50" t="s">
        <v>69</v>
      </c>
      <c r="AC665" s="34" t="str">
        <f t="shared" ref="AC665:AP665" si="665">LET(
  skater, IFERROR(INDEX(AllProj, MATCH($E665, AllProjNames, 0), MATCH(AC$2, AllProjCats, 0) + 1), ""),
  goalie, IFERROR(INDEX(AllGProj, MATCH($E665, AllGProjNames, 0), MATCH(AC$2, AllGProjCats, 0) + 1), ""),
  val, IF(skater &lt;&gt; "", skater, goalie),
  IF(OR($E665="", AC$2="", val=""), "", val * AC$1)
)</f>
        <v/>
      </c>
      <c r="AD665" s="34" t="str">
        <f t="shared" si="665"/>
        <v/>
      </c>
      <c r="AE665" s="34" t="str">
        <f t="shared" si="665"/>
        <v/>
      </c>
      <c r="AF665" s="34" t="str">
        <f t="shared" si="665"/>
        <v/>
      </c>
      <c r="AG665" s="34" t="str">
        <f t="shared" si="665"/>
        <v/>
      </c>
      <c r="AH665" s="34" t="str">
        <f t="shared" si="665"/>
        <v/>
      </c>
      <c r="AI665" s="34" t="str">
        <f t="shared" si="665"/>
        <v/>
      </c>
      <c r="AJ665" s="34" t="str">
        <f t="shared" si="665"/>
        <v/>
      </c>
      <c r="AK665" s="34" t="str">
        <f t="shared" si="665"/>
        <v/>
      </c>
      <c r="AL665" s="34" t="str">
        <f t="shared" si="665"/>
        <v/>
      </c>
      <c r="AM665" s="34" t="str">
        <f t="shared" si="665"/>
        <v/>
      </c>
      <c r="AN665" s="34" t="str">
        <f t="shared" si="665"/>
        <v/>
      </c>
      <c r="AO665" s="34" t="str">
        <f t="shared" si="665"/>
        <v/>
      </c>
      <c r="AP665" s="34" t="str">
        <f t="shared" si="665"/>
        <v/>
      </c>
      <c r="AQ665" s="76" t="s">
        <v>705</v>
      </c>
      <c r="AR665" s="77"/>
      <c r="AS665" s="77"/>
      <c r="AT665" s="77"/>
      <c r="AU665" s="77"/>
      <c r="AV665" s="77"/>
      <c r="AW665" s="77"/>
      <c r="AX665" s="77"/>
      <c r="AY665" s="77"/>
      <c r="AZ665" s="77"/>
      <c r="BA665" s="77"/>
      <c r="BB665" s="77"/>
      <c r="BC665" s="77"/>
      <c r="BD665" s="77"/>
      <c r="BE665" s="77"/>
      <c r="BF665" s="77"/>
      <c r="BG665" s="77"/>
      <c r="BH665" s="77"/>
      <c r="BI665" s="77"/>
      <c r="BJ665" s="77"/>
      <c r="BK665" s="77"/>
      <c r="BL665" s="77"/>
      <c r="BM665" s="78"/>
    </row>
    <row r="666">
      <c r="A666" s="79">
        <v>2.642857142857143</v>
      </c>
      <c r="B666" s="79" t="b">
        <v>0</v>
      </c>
      <c r="C666" s="79" t="b">
        <f t="shared" si="3"/>
        <v>0</v>
      </c>
      <c r="D666" s="80" t="s">
        <v>1565</v>
      </c>
      <c r="E666" s="81" t="s">
        <v>1125</v>
      </c>
      <c r="F666" s="82" t="s">
        <v>1439</v>
      </c>
      <c r="G666" s="35" t="s">
        <v>835</v>
      </c>
      <c r="H666" s="37">
        <v>-12.20948878054503</v>
      </c>
      <c r="I666" s="37">
        <v>-6.821608655632291</v>
      </c>
      <c r="J666" s="83" t="s">
        <v>2335</v>
      </c>
      <c r="K666" s="35">
        <v>30.5</v>
      </c>
      <c r="L666" s="79">
        <v>73.71428571428571</v>
      </c>
      <c r="M666" s="84">
        <v>25.0</v>
      </c>
      <c r="N666" s="84">
        <v>6.0</v>
      </c>
      <c r="O666" s="85">
        <v>-1.6868741607278266</v>
      </c>
      <c r="P666" s="85">
        <v>-2.0637588120501773</v>
      </c>
      <c r="Q666" s="85">
        <v>-0.09450579136493033</v>
      </c>
      <c r="R666" s="85">
        <v>-1.868481823608711</v>
      </c>
      <c r="S666" s="85">
        <v>-1.6546020245760928</v>
      </c>
      <c r="T666" s="85">
        <v>-0.16952108464970286</v>
      </c>
      <c r="U666" s="85">
        <v>-2.207199988572804</v>
      </c>
      <c r="V666" s="85">
        <v>0.0</v>
      </c>
      <c r="W666" s="85">
        <v>-0.6724342654757679</v>
      </c>
      <c r="X666" s="85">
        <v>-1.792110829519017</v>
      </c>
      <c r="Y666" s="50" t="s">
        <v>69</v>
      </c>
      <c r="Z666" s="50" t="s">
        <v>69</v>
      </c>
      <c r="AA666" s="50" t="s">
        <v>69</v>
      </c>
      <c r="AB666" s="50" t="s">
        <v>69</v>
      </c>
      <c r="AC666" s="34" t="str">
        <f t="shared" ref="AC666:AP666" si="666">LET(
  skater, IFERROR(INDEX(AllProj, MATCH($E666, AllProjNames, 0), MATCH(AC$2, AllProjCats, 0) + 1), ""),
  goalie, IFERROR(INDEX(AllGProj, MATCH($E666, AllGProjNames, 0), MATCH(AC$2, AllGProjCats, 0) + 1), ""),
  val, IF(skater &lt;&gt; "", skater, goalie),
  IF(OR($E666="", AC$2="", val=""), "", val * AC$1)
)</f>
        <v/>
      </c>
      <c r="AD666" s="34" t="str">
        <f t="shared" si="666"/>
        <v/>
      </c>
      <c r="AE666" s="34" t="str">
        <f t="shared" si="666"/>
        <v/>
      </c>
      <c r="AF666" s="34" t="str">
        <f t="shared" si="666"/>
        <v/>
      </c>
      <c r="AG666" s="34" t="str">
        <f t="shared" si="666"/>
        <v/>
      </c>
      <c r="AH666" s="34" t="str">
        <f t="shared" si="666"/>
        <v/>
      </c>
      <c r="AI666" s="34" t="str">
        <f t="shared" si="666"/>
        <v/>
      </c>
      <c r="AJ666" s="34" t="str">
        <f t="shared" si="666"/>
        <v/>
      </c>
      <c r="AK666" s="34" t="str">
        <f t="shared" si="666"/>
        <v/>
      </c>
      <c r="AL666" s="34" t="str">
        <f t="shared" si="666"/>
        <v/>
      </c>
      <c r="AM666" s="34" t="str">
        <f t="shared" si="666"/>
        <v/>
      </c>
      <c r="AN666" s="34" t="str">
        <f t="shared" si="666"/>
        <v/>
      </c>
      <c r="AO666" s="34" t="str">
        <f t="shared" si="666"/>
        <v/>
      </c>
      <c r="AP666" s="34" t="str">
        <f t="shared" si="666"/>
        <v/>
      </c>
      <c r="AQ666" s="76" t="s">
        <v>706</v>
      </c>
      <c r="AR666" s="77"/>
      <c r="AS666" s="77"/>
      <c r="AT666" s="77"/>
      <c r="AU666" s="77"/>
      <c r="AV666" s="77"/>
      <c r="AW666" s="77"/>
      <c r="AX666" s="77"/>
      <c r="AY666" s="77"/>
      <c r="AZ666" s="77"/>
      <c r="BA666" s="77"/>
      <c r="BB666" s="77"/>
      <c r="BC666" s="77"/>
      <c r="BD666" s="77"/>
      <c r="BE666" s="77"/>
      <c r="BF666" s="77"/>
      <c r="BG666" s="77"/>
      <c r="BH666" s="77"/>
      <c r="BI666" s="77"/>
      <c r="BJ666" s="77"/>
      <c r="BK666" s="77"/>
      <c r="BL666" s="77"/>
      <c r="BM666" s="78"/>
    </row>
    <row r="667">
      <c r="A667" s="41">
        <v>2.642857142857143</v>
      </c>
      <c r="B667" s="41" t="b">
        <v>0</v>
      </c>
      <c r="C667" s="41" t="b">
        <f t="shared" si="3"/>
        <v>0</v>
      </c>
      <c r="D667" s="42" t="s">
        <v>1565</v>
      </c>
      <c r="E667" s="43" t="s">
        <v>1218</v>
      </c>
      <c r="F667" s="44" t="s">
        <v>1299</v>
      </c>
      <c r="G667" s="29" t="s">
        <v>284</v>
      </c>
      <c r="H667" s="32">
        <v>-12.252659430908533</v>
      </c>
      <c r="I667" s="32">
        <v>-7.214593410725448</v>
      </c>
      <c r="J667" s="45" t="s">
        <v>2336</v>
      </c>
      <c r="K667" s="29">
        <v>23.3</v>
      </c>
      <c r="L667" s="41">
        <v>69.6</v>
      </c>
      <c r="M667" s="46">
        <v>31.0</v>
      </c>
      <c r="N667" s="46">
        <v>7.0</v>
      </c>
      <c r="O667" s="47">
        <v>-1.9678526454590985</v>
      </c>
      <c r="P667" s="47">
        <v>-2.1825406356465438</v>
      </c>
      <c r="Q667" s="47">
        <v>-1.4671415343790535</v>
      </c>
      <c r="R667" s="47">
        <v>-0.35150993961735083</v>
      </c>
      <c r="S667" s="47">
        <v>-1.72461069241107</v>
      </c>
      <c r="T667" s="47">
        <v>-0.16952108464970286</v>
      </c>
      <c r="U667" s="47">
        <v>-2.752024031446226</v>
      </c>
      <c r="V667" s="47">
        <v>0.00904150467156218</v>
      </c>
      <c r="W667" s="47">
        <v>0.06163875369998927</v>
      </c>
      <c r="X667" s="47">
        <v>-1.70813912567104</v>
      </c>
      <c r="Y667" s="50" t="s">
        <v>69</v>
      </c>
      <c r="Z667" s="50" t="s">
        <v>69</v>
      </c>
      <c r="AA667" s="50" t="s">
        <v>69</v>
      </c>
      <c r="AB667" s="50" t="s">
        <v>69</v>
      </c>
      <c r="AC667" s="34" t="str">
        <f t="shared" ref="AC667:AP667" si="667">LET(
  skater, IFERROR(INDEX(AllProj, MATCH($E667, AllProjNames, 0), MATCH(AC$2, AllProjCats, 0) + 1), ""),
  goalie, IFERROR(INDEX(AllGProj, MATCH($E667, AllGProjNames, 0), MATCH(AC$2, AllGProjCats, 0) + 1), ""),
  val, IF(skater &lt;&gt; "", skater, goalie),
  IF(OR($E667="", AC$2="", val=""), "", val * AC$1)
)</f>
        <v/>
      </c>
      <c r="AD667" s="34" t="str">
        <f t="shared" si="667"/>
        <v/>
      </c>
      <c r="AE667" s="34" t="str">
        <f t="shared" si="667"/>
        <v/>
      </c>
      <c r="AF667" s="34" t="str">
        <f t="shared" si="667"/>
        <v/>
      </c>
      <c r="AG667" s="34" t="str">
        <f t="shared" si="667"/>
        <v/>
      </c>
      <c r="AH667" s="34" t="str">
        <f t="shared" si="667"/>
        <v/>
      </c>
      <c r="AI667" s="34" t="str">
        <f t="shared" si="667"/>
        <v/>
      </c>
      <c r="AJ667" s="34" t="str">
        <f t="shared" si="667"/>
        <v/>
      </c>
      <c r="AK667" s="34" t="str">
        <f t="shared" si="667"/>
        <v/>
      </c>
      <c r="AL667" s="34" t="str">
        <f t="shared" si="667"/>
        <v/>
      </c>
      <c r="AM667" s="34" t="str">
        <f t="shared" si="667"/>
        <v/>
      </c>
      <c r="AN667" s="34" t="str">
        <f t="shared" si="667"/>
        <v/>
      </c>
      <c r="AO667" s="34" t="str">
        <f t="shared" si="667"/>
        <v/>
      </c>
      <c r="AP667" s="34" t="str">
        <f t="shared" si="667"/>
        <v/>
      </c>
      <c r="AQ667" s="76" t="s">
        <v>707</v>
      </c>
      <c r="AR667" s="77"/>
      <c r="AS667" s="77"/>
      <c r="AT667" s="77"/>
      <c r="AU667" s="77"/>
      <c r="AV667" s="77"/>
      <c r="AW667" s="77"/>
      <c r="AX667" s="77"/>
      <c r="AY667" s="77"/>
      <c r="AZ667" s="77"/>
      <c r="BA667" s="77"/>
      <c r="BB667" s="77"/>
      <c r="BC667" s="77"/>
      <c r="BD667" s="77"/>
      <c r="BE667" s="77"/>
      <c r="BF667" s="77"/>
      <c r="BG667" s="77"/>
      <c r="BH667" s="77"/>
      <c r="BI667" s="77"/>
      <c r="BJ667" s="77"/>
      <c r="BK667" s="77"/>
      <c r="BL667" s="77"/>
      <c r="BM667" s="78"/>
    </row>
    <row r="668">
      <c r="A668" s="79">
        <v>2.642857142857143</v>
      </c>
      <c r="B668" s="79" t="b">
        <v>0</v>
      </c>
      <c r="C668" s="79" t="b">
        <f t="shared" si="3"/>
        <v>0</v>
      </c>
      <c r="D668" s="80" t="s">
        <v>1565</v>
      </c>
      <c r="E668" s="81" t="s">
        <v>1121</v>
      </c>
      <c r="F668" s="82" t="s">
        <v>1436</v>
      </c>
      <c r="G668" s="35" t="s">
        <v>284</v>
      </c>
      <c r="H668" s="37">
        <v>-12.258093272163894</v>
      </c>
      <c r="I668" s="37">
        <v>-7.220027251980809</v>
      </c>
      <c r="J668" s="83" t="s">
        <v>2337</v>
      </c>
      <c r="K668" s="35">
        <v>21.7</v>
      </c>
      <c r="L668" s="79">
        <v>75.0</v>
      </c>
      <c r="M668" s="84">
        <v>26.0</v>
      </c>
      <c r="N668" s="84">
        <v>5.0</v>
      </c>
      <c r="O668" s="85">
        <v>-1.90245867586691</v>
      </c>
      <c r="P668" s="85">
        <v>-2.026639492176313</v>
      </c>
      <c r="Q668" s="96" t="s">
        <v>69</v>
      </c>
      <c r="R668" s="85">
        <v>-2.117165739017131</v>
      </c>
      <c r="S668" s="96" t="s">
        <v>69</v>
      </c>
      <c r="T668" s="96" t="s">
        <v>69</v>
      </c>
      <c r="U668" s="85">
        <v>-2.0711582794355325</v>
      </c>
      <c r="V668" s="96" t="s">
        <v>69</v>
      </c>
      <c r="W668" s="85">
        <v>-1.9440936989178992</v>
      </c>
      <c r="X668" s="85">
        <v>-2.196577386750107</v>
      </c>
      <c r="Y668" s="50" t="s">
        <v>69</v>
      </c>
      <c r="Z668" s="50" t="s">
        <v>69</v>
      </c>
      <c r="AA668" s="50" t="s">
        <v>69</v>
      </c>
      <c r="AB668" s="50" t="s">
        <v>69</v>
      </c>
      <c r="AC668" s="34" t="str">
        <f t="shared" ref="AC668:AP668" si="668">LET(
  skater, IFERROR(INDEX(AllProj, MATCH($E668, AllProjNames, 0), MATCH(AC$2, AllProjCats, 0) + 1), ""),
  goalie, IFERROR(INDEX(AllGProj, MATCH($E668, AllGProjNames, 0), MATCH(AC$2, AllGProjCats, 0) + 1), ""),
  val, IF(skater &lt;&gt; "", skater, goalie),
  IF(OR($E668="", AC$2="", val=""), "", val * AC$1)
)</f>
        <v/>
      </c>
      <c r="AD668" s="34" t="str">
        <f t="shared" si="668"/>
        <v/>
      </c>
      <c r="AE668" s="34" t="str">
        <f t="shared" si="668"/>
        <v/>
      </c>
      <c r="AF668" s="34" t="str">
        <f t="shared" si="668"/>
        <v/>
      </c>
      <c r="AG668" s="34" t="str">
        <f t="shared" si="668"/>
        <v/>
      </c>
      <c r="AH668" s="34" t="str">
        <f t="shared" si="668"/>
        <v/>
      </c>
      <c r="AI668" s="34" t="str">
        <f t="shared" si="668"/>
        <v/>
      </c>
      <c r="AJ668" s="34" t="str">
        <f t="shared" si="668"/>
        <v/>
      </c>
      <c r="AK668" s="34" t="str">
        <f t="shared" si="668"/>
        <v/>
      </c>
      <c r="AL668" s="34" t="str">
        <f t="shared" si="668"/>
        <v/>
      </c>
      <c r="AM668" s="34" t="str">
        <f t="shared" si="668"/>
        <v/>
      </c>
      <c r="AN668" s="34" t="str">
        <f t="shared" si="668"/>
        <v/>
      </c>
      <c r="AO668" s="34" t="str">
        <f t="shared" si="668"/>
        <v/>
      </c>
      <c r="AP668" s="34" t="str">
        <f t="shared" si="668"/>
        <v/>
      </c>
      <c r="AQ668" s="76" t="s">
        <v>708</v>
      </c>
      <c r="AR668" s="77"/>
      <c r="AS668" s="77"/>
      <c r="AT668" s="77"/>
      <c r="AU668" s="77"/>
      <c r="AV668" s="77"/>
      <c r="AW668" s="77"/>
      <c r="AX668" s="77"/>
      <c r="AY668" s="77"/>
      <c r="AZ668" s="77"/>
      <c r="BA668" s="77"/>
      <c r="BB668" s="77"/>
      <c r="BC668" s="77"/>
      <c r="BD668" s="77"/>
      <c r="BE668" s="77"/>
      <c r="BF668" s="77"/>
      <c r="BG668" s="77"/>
      <c r="BH668" s="77"/>
      <c r="BI668" s="77"/>
      <c r="BJ668" s="77"/>
      <c r="BK668" s="77"/>
      <c r="BL668" s="77"/>
      <c r="BM668" s="78"/>
    </row>
    <row r="669">
      <c r="A669" s="41">
        <v>2.642857142857143</v>
      </c>
      <c r="B669" s="41" t="b">
        <v>0</v>
      </c>
      <c r="C669" s="41" t="b">
        <f t="shared" si="3"/>
        <v>0</v>
      </c>
      <c r="D669" s="42" t="s">
        <v>1565</v>
      </c>
      <c r="E669" s="43" t="s">
        <v>1115</v>
      </c>
      <c r="F669" s="44" t="s">
        <v>1043</v>
      </c>
      <c r="G669" s="29" t="s">
        <v>832</v>
      </c>
      <c r="H669" s="32">
        <v>-12.26762932039571</v>
      </c>
      <c r="I669" s="32">
        <v>-6.825491711667852</v>
      </c>
      <c r="J669" s="45" t="s">
        <v>2338</v>
      </c>
      <c r="K669" s="29">
        <v>24.6</v>
      </c>
      <c r="L669" s="41">
        <v>71.0</v>
      </c>
      <c r="M669" s="46">
        <v>28.0</v>
      </c>
      <c r="N669" s="46">
        <v>6.0</v>
      </c>
      <c r="O669" s="47">
        <v>-1.7201101068117688</v>
      </c>
      <c r="P669" s="47">
        <v>-1.7302649225584263</v>
      </c>
      <c r="Q669" s="47">
        <v>-0.04250478705387482</v>
      </c>
      <c r="R669" s="47">
        <v>-1.7752253553305537</v>
      </c>
      <c r="S669" s="47">
        <v>-1.6079295793527744</v>
      </c>
      <c r="T669" s="94" t="s">
        <v>69</v>
      </c>
      <c r="U669" s="47">
        <v>-1.979149394028682</v>
      </c>
      <c r="V669" s="47">
        <v>0.0</v>
      </c>
      <c r="W669" s="47">
        <v>-1.3580296598407475</v>
      </c>
      <c r="X669" s="47">
        <v>-2.0544155154188832</v>
      </c>
      <c r="Y669" s="50" t="s">
        <v>69</v>
      </c>
      <c r="Z669" s="50" t="s">
        <v>69</v>
      </c>
      <c r="AA669" s="50" t="s">
        <v>69</v>
      </c>
      <c r="AB669" s="50" t="s">
        <v>69</v>
      </c>
      <c r="AC669" s="34" t="str">
        <f t="shared" ref="AC669:AP669" si="669">LET(
  skater, IFERROR(INDEX(AllProj, MATCH($E669, AllProjNames, 0), MATCH(AC$2, AllProjCats, 0) + 1), ""),
  goalie, IFERROR(INDEX(AllGProj, MATCH($E669, AllGProjNames, 0), MATCH(AC$2, AllGProjCats, 0) + 1), ""),
  val, IF(skater &lt;&gt; "", skater, goalie),
  IF(OR($E669="", AC$2="", val=""), "", val * AC$1)
)</f>
        <v/>
      </c>
      <c r="AD669" s="34" t="str">
        <f t="shared" si="669"/>
        <v/>
      </c>
      <c r="AE669" s="34" t="str">
        <f t="shared" si="669"/>
        <v/>
      </c>
      <c r="AF669" s="34" t="str">
        <f t="shared" si="669"/>
        <v/>
      </c>
      <c r="AG669" s="34" t="str">
        <f t="shared" si="669"/>
        <v/>
      </c>
      <c r="AH669" s="34" t="str">
        <f t="shared" si="669"/>
        <v/>
      </c>
      <c r="AI669" s="34" t="str">
        <f t="shared" si="669"/>
        <v/>
      </c>
      <c r="AJ669" s="34" t="str">
        <f t="shared" si="669"/>
        <v/>
      </c>
      <c r="AK669" s="34" t="str">
        <f t="shared" si="669"/>
        <v/>
      </c>
      <c r="AL669" s="34" t="str">
        <f t="shared" si="669"/>
        <v/>
      </c>
      <c r="AM669" s="34" t="str">
        <f t="shared" si="669"/>
        <v/>
      </c>
      <c r="AN669" s="34" t="str">
        <f t="shared" si="669"/>
        <v/>
      </c>
      <c r="AO669" s="34" t="str">
        <f t="shared" si="669"/>
        <v/>
      </c>
      <c r="AP669" s="34" t="str">
        <f t="shared" si="669"/>
        <v/>
      </c>
      <c r="AQ669" s="76" t="s">
        <v>709</v>
      </c>
      <c r="AR669" s="77"/>
      <c r="AS669" s="77"/>
      <c r="AT669" s="77"/>
      <c r="AU669" s="77"/>
      <c r="AV669" s="77"/>
      <c r="AW669" s="77"/>
      <c r="AX669" s="77"/>
      <c r="AY669" s="77"/>
      <c r="AZ669" s="77"/>
      <c r="BA669" s="77"/>
      <c r="BB669" s="77"/>
      <c r="BC669" s="77"/>
      <c r="BD669" s="77"/>
      <c r="BE669" s="77"/>
      <c r="BF669" s="77"/>
      <c r="BG669" s="77"/>
      <c r="BH669" s="77"/>
      <c r="BI669" s="77"/>
      <c r="BJ669" s="77"/>
      <c r="BK669" s="77"/>
      <c r="BL669" s="77"/>
      <c r="BM669" s="78"/>
    </row>
    <row r="670">
      <c r="A670" s="79">
        <v>2.642857142857143</v>
      </c>
      <c r="B670" s="79" t="b">
        <v>0</v>
      </c>
      <c r="C670" s="79" t="b">
        <f t="shared" si="3"/>
        <v>0</v>
      </c>
      <c r="D670" s="80" t="s">
        <v>1565</v>
      </c>
      <c r="E670" s="81" t="s">
        <v>1258</v>
      </c>
      <c r="F670" s="82" t="s">
        <v>1436</v>
      </c>
      <c r="G670" s="35" t="s">
        <v>837</v>
      </c>
      <c r="H670" s="37">
        <v>-12.272834693997499</v>
      </c>
      <c r="I670" s="37">
        <v>-6.742975922068598</v>
      </c>
      <c r="J670" s="83" t="s">
        <v>2339</v>
      </c>
      <c r="K670" s="35">
        <v>22.0</v>
      </c>
      <c r="L670" s="79">
        <v>70.0</v>
      </c>
      <c r="M670" s="84">
        <v>26.0</v>
      </c>
      <c r="N670" s="84">
        <v>5.0</v>
      </c>
      <c r="O670" s="85">
        <v>-2.028216309698042</v>
      </c>
      <c r="P670" s="85">
        <v>-1.6206469310559204</v>
      </c>
      <c r="Q670" s="85">
        <v>-1.5903644897180844</v>
      </c>
      <c r="R670" s="85">
        <v>-1.5576269293481866</v>
      </c>
      <c r="S670" s="85">
        <v>-1.6079295793527744</v>
      </c>
      <c r="T670" s="85">
        <v>-0.7871777123417198</v>
      </c>
      <c r="U670" s="85">
        <v>-1.8411360659184062</v>
      </c>
      <c r="V670" s="85">
        <v>0.0</v>
      </c>
      <c r="W670" s="85">
        <v>-0.5096712256521432</v>
      </c>
      <c r="X670" s="85">
        <v>-0.7300654509122222</v>
      </c>
      <c r="Y670" s="50" t="s">
        <v>69</v>
      </c>
      <c r="Z670" s="50" t="s">
        <v>69</v>
      </c>
      <c r="AA670" s="50" t="s">
        <v>69</v>
      </c>
      <c r="AB670" s="50" t="s">
        <v>69</v>
      </c>
      <c r="AC670" s="34" t="str">
        <f t="shared" ref="AC670:AP670" si="670">LET(
  skater, IFERROR(INDEX(AllProj, MATCH($E670, AllProjNames, 0), MATCH(AC$2, AllProjCats, 0) + 1), ""),
  goalie, IFERROR(INDEX(AllGProj, MATCH($E670, AllGProjNames, 0), MATCH(AC$2, AllGProjCats, 0) + 1), ""),
  val, IF(skater &lt;&gt; "", skater, goalie),
  IF(OR($E670="", AC$2="", val=""), "", val * AC$1)
)</f>
        <v/>
      </c>
      <c r="AD670" s="34" t="str">
        <f t="shared" si="670"/>
        <v/>
      </c>
      <c r="AE670" s="34" t="str">
        <f t="shared" si="670"/>
        <v/>
      </c>
      <c r="AF670" s="34" t="str">
        <f t="shared" si="670"/>
        <v/>
      </c>
      <c r="AG670" s="34" t="str">
        <f t="shared" si="670"/>
        <v/>
      </c>
      <c r="AH670" s="34" t="str">
        <f t="shared" si="670"/>
        <v/>
      </c>
      <c r="AI670" s="34" t="str">
        <f t="shared" si="670"/>
        <v/>
      </c>
      <c r="AJ670" s="34" t="str">
        <f t="shared" si="670"/>
        <v/>
      </c>
      <c r="AK670" s="34" t="str">
        <f t="shared" si="670"/>
        <v/>
      </c>
      <c r="AL670" s="34" t="str">
        <f t="shared" si="670"/>
        <v/>
      </c>
      <c r="AM670" s="34" t="str">
        <f t="shared" si="670"/>
        <v/>
      </c>
      <c r="AN670" s="34" t="str">
        <f t="shared" si="670"/>
        <v/>
      </c>
      <c r="AO670" s="34" t="str">
        <f t="shared" si="670"/>
        <v/>
      </c>
      <c r="AP670" s="34" t="str">
        <f t="shared" si="670"/>
        <v/>
      </c>
      <c r="AQ670" s="76" t="s">
        <v>710</v>
      </c>
      <c r="AR670" s="77"/>
      <c r="AS670" s="77"/>
      <c r="AT670" s="77"/>
      <c r="AU670" s="77"/>
      <c r="AV670" s="77"/>
      <c r="AW670" s="77"/>
      <c r="AX670" s="77"/>
      <c r="AY670" s="77"/>
      <c r="AZ670" s="77"/>
      <c r="BA670" s="77"/>
      <c r="BB670" s="77"/>
      <c r="BC670" s="77"/>
      <c r="BD670" s="77"/>
      <c r="BE670" s="77"/>
      <c r="BF670" s="77"/>
      <c r="BG670" s="77"/>
      <c r="BH670" s="77"/>
      <c r="BI670" s="77"/>
      <c r="BJ670" s="77"/>
      <c r="BK670" s="77"/>
      <c r="BL670" s="77"/>
      <c r="BM670" s="78"/>
    </row>
    <row r="671">
      <c r="A671" s="41">
        <v>2.642857142857143</v>
      </c>
      <c r="B671" s="41" t="b">
        <v>0</v>
      </c>
      <c r="C671" s="41" t="b">
        <f t="shared" si="3"/>
        <v>0</v>
      </c>
      <c r="D671" s="42" t="s">
        <v>1565</v>
      </c>
      <c r="E671" s="43" t="s">
        <v>1129</v>
      </c>
      <c r="F671" s="44" t="s">
        <v>1548</v>
      </c>
      <c r="G671" s="29" t="s">
        <v>284</v>
      </c>
      <c r="H671" s="32">
        <v>-12.283476501677242</v>
      </c>
      <c r="I671" s="32">
        <v>-7.245410481494157</v>
      </c>
      <c r="J671" s="45" t="s">
        <v>2340</v>
      </c>
      <c r="K671" s="29">
        <v>21.2</v>
      </c>
      <c r="L671" s="41">
        <v>80.0</v>
      </c>
      <c r="M671" s="46">
        <v>34.0</v>
      </c>
      <c r="N671" s="46">
        <v>7.0</v>
      </c>
      <c r="O671" s="47">
        <v>-2.028216309698042</v>
      </c>
      <c r="P671" s="47">
        <v>-1.9454409799522345</v>
      </c>
      <c r="Q671" s="94" t="s">
        <v>69</v>
      </c>
      <c r="R671" s="47">
        <v>-1.992823781312921</v>
      </c>
      <c r="S671" s="94" t="s">
        <v>69</v>
      </c>
      <c r="T671" s="94" t="s">
        <v>69</v>
      </c>
      <c r="U671" s="47">
        <v>-2.3701871570077966</v>
      </c>
      <c r="V671" s="94" t="s">
        <v>69</v>
      </c>
      <c r="W671" s="47">
        <v>-1.7801597019732414</v>
      </c>
      <c r="X671" s="47">
        <v>-2.166648571733007</v>
      </c>
      <c r="Y671" s="50" t="s">
        <v>69</v>
      </c>
      <c r="Z671" s="50" t="s">
        <v>69</v>
      </c>
      <c r="AA671" s="50" t="s">
        <v>69</v>
      </c>
      <c r="AB671" s="50" t="s">
        <v>69</v>
      </c>
      <c r="AC671" s="34" t="str">
        <f t="shared" ref="AC671:AP671" si="671">LET(
  skater, IFERROR(INDEX(AllProj, MATCH($E671, AllProjNames, 0), MATCH(AC$2, AllProjCats, 0) + 1), ""),
  goalie, IFERROR(INDEX(AllGProj, MATCH($E671, AllGProjNames, 0), MATCH(AC$2, AllGProjCats, 0) + 1), ""),
  val, IF(skater &lt;&gt; "", skater, goalie),
  IF(OR($E671="", AC$2="", val=""), "", val * AC$1)
)</f>
        <v/>
      </c>
      <c r="AD671" s="34" t="str">
        <f t="shared" si="671"/>
        <v/>
      </c>
      <c r="AE671" s="34" t="str">
        <f t="shared" si="671"/>
        <v/>
      </c>
      <c r="AF671" s="34" t="str">
        <f t="shared" si="671"/>
        <v/>
      </c>
      <c r="AG671" s="34" t="str">
        <f t="shared" si="671"/>
        <v/>
      </c>
      <c r="AH671" s="34" t="str">
        <f t="shared" si="671"/>
        <v/>
      </c>
      <c r="AI671" s="34" t="str">
        <f t="shared" si="671"/>
        <v/>
      </c>
      <c r="AJ671" s="34" t="str">
        <f t="shared" si="671"/>
        <v/>
      </c>
      <c r="AK671" s="34" t="str">
        <f t="shared" si="671"/>
        <v/>
      </c>
      <c r="AL671" s="34" t="str">
        <f t="shared" si="671"/>
        <v/>
      </c>
      <c r="AM671" s="34" t="str">
        <f t="shared" si="671"/>
        <v/>
      </c>
      <c r="AN671" s="34" t="str">
        <f t="shared" si="671"/>
        <v/>
      </c>
      <c r="AO671" s="34" t="str">
        <f t="shared" si="671"/>
        <v/>
      </c>
      <c r="AP671" s="34" t="str">
        <f t="shared" si="671"/>
        <v/>
      </c>
      <c r="AQ671" s="76" t="s">
        <v>711</v>
      </c>
      <c r="AR671" s="77"/>
      <c r="AS671" s="77"/>
      <c r="AT671" s="77"/>
      <c r="AU671" s="77"/>
      <c r="AV671" s="77"/>
      <c r="AW671" s="77"/>
      <c r="AX671" s="77"/>
      <c r="AY671" s="77"/>
      <c r="AZ671" s="77"/>
      <c r="BA671" s="77"/>
      <c r="BB671" s="77"/>
      <c r="BC671" s="77"/>
      <c r="BD671" s="77"/>
      <c r="BE671" s="77"/>
      <c r="BF671" s="77"/>
      <c r="BG671" s="77"/>
      <c r="BH671" s="77"/>
      <c r="BI671" s="77"/>
      <c r="BJ671" s="77"/>
      <c r="BK671" s="77"/>
      <c r="BL671" s="77"/>
      <c r="BM671" s="78"/>
    </row>
    <row r="672">
      <c r="A672" s="79">
        <v>2.642857142857143</v>
      </c>
      <c r="B672" s="79" t="b">
        <v>0</v>
      </c>
      <c r="C672" s="79" t="b">
        <f t="shared" si="3"/>
        <v>0</v>
      </c>
      <c r="D672" s="80" t="s">
        <v>1565</v>
      </c>
      <c r="E672" s="81" t="s">
        <v>1279</v>
      </c>
      <c r="F672" s="82" t="s">
        <v>1512</v>
      </c>
      <c r="G672" s="35" t="s">
        <v>835</v>
      </c>
      <c r="H672" s="37">
        <v>-12.2844041102414</v>
      </c>
      <c r="I672" s="37">
        <v>-6.8965239853286615</v>
      </c>
      <c r="J672" s="83" t="s">
        <v>2341</v>
      </c>
      <c r="K672" s="35">
        <v>32.6</v>
      </c>
      <c r="L672" s="79">
        <v>55.4</v>
      </c>
      <c r="M672" s="84">
        <v>21.0</v>
      </c>
      <c r="N672" s="84">
        <v>7.0</v>
      </c>
      <c r="O672" s="85">
        <v>-2.214337607768117</v>
      </c>
      <c r="P672" s="85">
        <v>-2.163052992712765</v>
      </c>
      <c r="Q672" s="85">
        <v>-1.6136922598919938</v>
      </c>
      <c r="R672" s="85">
        <v>1.1157251612923258</v>
      </c>
      <c r="S672" s="85">
        <v>-1.72461069241107</v>
      </c>
      <c r="T672" s="85">
        <v>-0.7871777123417198</v>
      </c>
      <c r="U672" s="85">
        <v>-3.177105082025876</v>
      </c>
      <c r="V672" s="85">
        <v>0.0</v>
      </c>
      <c r="W672" s="85">
        <v>0.34114621849063115</v>
      </c>
      <c r="X672" s="85">
        <v>-2.0612991428728167</v>
      </c>
      <c r="Y672" s="50" t="s">
        <v>69</v>
      </c>
      <c r="Z672" s="50" t="s">
        <v>69</v>
      </c>
      <c r="AA672" s="50" t="s">
        <v>69</v>
      </c>
      <c r="AB672" s="50" t="s">
        <v>69</v>
      </c>
      <c r="AC672" s="34" t="str">
        <f t="shared" ref="AC672:AP672" si="672">LET(
  skater, IFERROR(INDEX(AllProj, MATCH($E672, AllProjNames, 0), MATCH(AC$2, AllProjCats, 0) + 1), ""),
  goalie, IFERROR(INDEX(AllGProj, MATCH($E672, AllGProjNames, 0), MATCH(AC$2, AllGProjCats, 0) + 1), ""),
  val, IF(skater &lt;&gt; "", skater, goalie),
  IF(OR($E672="", AC$2="", val=""), "", val * AC$1)
)</f>
        <v/>
      </c>
      <c r="AD672" s="34" t="str">
        <f t="shared" si="672"/>
        <v/>
      </c>
      <c r="AE672" s="34" t="str">
        <f t="shared" si="672"/>
        <v/>
      </c>
      <c r="AF672" s="34" t="str">
        <f t="shared" si="672"/>
        <v/>
      </c>
      <c r="AG672" s="34" t="str">
        <f t="shared" si="672"/>
        <v/>
      </c>
      <c r="AH672" s="34" t="str">
        <f t="shared" si="672"/>
        <v/>
      </c>
      <c r="AI672" s="34" t="str">
        <f t="shared" si="672"/>
        <v/>
      </c>
      <c r="AJ672" s="34" t="str">
        <f t="shared" si="672"/>
        <v/>
      </c>
      <c r="AK672" s="34" t="str">
        <f t="shared" si="672"/>
        <v/>
      </c>
      <c r="AL672" s="34" t="str">
        <f t="shared" si="672"/>
        <v/>
      </c>
      <c r="AM672" s="34" t="str">
        <f t="shared" si="672"/>
        <v/>
      </c>
      <c r="AN672" s="34" t="str">
        <f t="shared" si="672"/>
        <v/>
      </c>
      <c r="AO672" s="34" t="str">
        <f t="shared" si="672"/>
        <v/>
      </c>
      <c r="AP672" s="34" t="str">
        <f t="shared" si="672"/>
        <v/>
      </c>
      <c r="AQ672" s="76" t="s">
        <v>712</v>
      </c>
      <c r="AR672" s="77"/>
      <c r="AS672" s="77"/>
      <c r="AT672" s="77"/>
      <c r="AU672" s="77"/>
      <c r="AV672" s="77"/>
      <c r="AW672" s="77"/>
      <c r="AX672" s="77"/>
      <c r="AY672" s="77"/>
      <c r="AZ672" s="77"/>
      <c r="BA672" s="77"/>
      <c r="BB672" s="77"/>
      <c r="BC672" s="77"/>
      <c r="BD672" s="77"/>
      <c r="BE672" s="77"/>
      <c r="BF672" s="77"/>
      <c r="BG672" s="77"/>
      <c r="BH672" s="77"/>
      <c r="BI672" s="77"/>
      <c r="BJ672" s="77"/>
      <c r="BK672" s="77"/>
      <c r="BL672" s="77"/>
      <c r="BM672" s="78"/>
    </row>
    <row r="673">
      <c r="A673" s="41">
        <v>2.642857142857143</v>
      </c>
      <c r="B673" s="41" t="b">
        <v>0</v>
      </c>
      <c r="C673" s="41" t="b">
        <f t="shared" si="3"/>
        <v>0</v>
      </c>
      <c r="D673" s="42" t="s">
        <v>1565</v>
      </c>
      <c r="E673" s="43" t="s">
        <v>1146</v>
      </c>
      <c r="F673" s="44" t="s">
        <v>1706</v>
      </c>
      <c r="G673" s="29" t="s">
        <v>835</v>
      </c>
      <c r="H673" s="32">
        <v>-12.296150340996276</v>
      </c>
      <c r="I673" s="32">
        <v>-6.908270216083537</v>
      </c>
      <c r="J673" s="45" t="s">
        <v>2342</v>
      </c>
      <c r="K673" s="29">
        <v>21.2</v>
      </c>
      <c r="L673" s="41">
        <v>76.41441176470589</v>
      </c>
      <c r="M673" s="46">
        <v>31.0</v>
      </c>
      <c r="N673" s="46">
        <v>7.0</v>
      </c>
      <c r="O673" s="47">
        <v>-0.35472401435711776</v>
      </c>
      <c r="P673" s="47">
        <v>-1.61209286573678</v>
      </c>
      <c r="Q673" s="47">
        <v>-3.303276559921699</v>
      </c>
      <c r="R673" s="47">
        <v>-1.5830405216904284</v>
      </c>
      <c r="S673" s="47">
        <v>-1.05135491162888</v>
      </c>
      <c r="T673" s="47">
        <v>-0.7862365920464865</v>
      </c>
      <c r="U673" s="47">
        <v>-1.0779699183593472</v>
      </c>
      <c r="V673" s="47">
        <v>0.0</v>
      </c>
      <c r="W673" s="47">
        <v>-0.6073636074104645</v>
      </c>
      <c r="X673" s="47">
        <v>-1.9200913498450733</v>
      </c>
      <c r="Y673" s="50" t="s">
        <v>69</v>
      </c>
      <c r="Z673" s="50" t="s">
        <v>69</v>
      </c>
      <c r="AA673" s="50" t="s">
        <v>69</v>
      </c>
      <c r="AB673" s="50" t="s">
        <v>69</v>
      </c>
      <c r="AC673" s="34" t="str">
        <f t="shared" ref="AC673:AP673" si="673">LET(
  skater, IFERROR(INDEX(AllProj, MATCH($E673, AllProjNames, 0), MATCH(AC$2, AllProjCats, 0) + 1), ""),
  goalie, IFERROR(INDEX(AllGProj, MATCH($E673, AllGProjNames, 0), MATCH(AC$2, AllGProjCats, 0) + 1), ""),
  val, IF(skater &lt;&gt; "", skater, goalie),
  IF(OR($E673="", AC$2="", val=""), "", val * AC$1)
)</f>
        <v/>
      </c>
      <c r="AD673" s="34" t="str">
        <f t="shared" si="673"/>
        <v/>
      </c>
      <c r="AE673" s="34" t="str">
        <f t="shared" si="673"/>
        <v/>
      </c>
      <c r="AF673" s="34" t="str">
        <f t="shared" si="673"/>
        <v/>
      </c>
      <c r="AG673" s="34" t="str">
        <f t="shared" si="673"/>
        <v/>
      </c>
      <c r="AH673" s="34" t="str">
        <f t="shared" si="673"/>
        <v/>
      </c>
      <c r="AI673" s="34" t="str">
        <f t="shared" si="673"/>
        <v/>
      </c>
      <c r="AJ673" s="34" t="str">
        <f t="shared" si="673"/>
        <v/>
      </c>
      <c r="AK673" s="34" t="str">
        <f t="shared" si="673"/>
        <v/>
      </c>
      <c r="AL673" s="34" t="str">
        <f t="shared" si="673"/>
        <v/>
      </c>
      <c r="AM673" s="34" t="str">
        <f t="shared" si="673"/>
        <v/>
      </c>
      <c r="AN673" s="34" t="str">
        <f t="shared" si="673"/>
        <v/>
      </c>
      <c r="AO673" s="34" t="str">
        <f t="shared" si="673"/>
        <v/>
      </c>
      <c r="AP673" s="34" t="str">
        <f t="shared" si="673"/>
        <v/>
      </c>
      <c r="AQ673" s="76" t="s">
        <v>713</v>
      </c>
      <c r="AR673" s="77"/>
      <c r="AS673" s="77"/>
      <c r="AT673" s="77"/>
      <c r="AU673" s="77"/>
      <c r="AV673" s="77"/>
      <c r="AW673" s="77"/>
      <c r="AX673" s="77"/>
      <c r="AY673" s="77"/>
      <c r="AZ673" s="77"/>
      <c r="BA673" s="77"/>
      <c r="BB673" s="77"/>
      <c r="BC673" s="77"/>
      <c r="BD673" s="77"/>
      <c r="BE673" s="77"/>
      <c r="BF673" s="77"/>
      <c r="BG673" s="77"/>
      <c r="BH673" s="77"/>
      <c r="BI673" s="77"/>
      <c r="BJ673" s="77"/>
      <c r="BK673" s="77"/>
      <c r="BL673" s="77"/>
      <c r="BM673" s="78"/>
    </row>
    <row r="674">
      <c r="A674" s="79">
        <v>2.642857142857143</v>
      </c>
      <c r="B674" s="79" t="b">
        <v>0</v>
      </c>
      <c r="C674" s="79" t="b">
        <f t="shared" si="3"/>
        <v>0</v>
      </c>
      <c r="D674" s="80" t="s">
        <v>1565</v>
      </c>
      <c r="E674" s="81" t="s">
        <v>1139</v>
      </c>
      <c r="F674" s="82" t="s">
        <v>1043</v>
      </c>
      <c r="G674" s="35" t="s">
        <v>284</v>
      </c>
      <c r="H674" s="37">
        <v>-12.301170646870712</v>
      </c>
      <c r="I674" s="37">
        <v>-7.263104626687627</v>
      </c>
      <c r="J674" s="83" t="s">
        <v>2343</v>
      </c>
      <c r="K674" s="35">
        <v>29.3</v>
      </c>
      <c r="L674" s="79">
        <v>77.0</v>
      </c>
      <c r="M674" s="84">
        <v>28.0</v>
      </c>
      <c r="N674" s="84">
        <v>6.0</v>
      </c>
      <c r="O674" s="85">
        <v>-2.028216309698042</v>
      </c>
      <c r="P674" s="85">
        <v>-2.026639492176313</v>
      </c>
      <c r="Q674" s="96" t="s">
        <v>69</v>
      </c>
      <c r="R674" s="85">
        <v>-1.6819688870523963</v>
      </c>
      <c r="S674" s="96" t="s">
        <v>69</v>
      </c>
      <c r="T674" s="96" t="s">
        <v>69</v>
      </c>
      <c r="U674" s="85">
        <v>-2.324182714304371</v>
      </c>
      <c r="V674" s="96" t="s">
        <v>69</v>
      </c>
      <c r="W674" s="85">
        <v>-2.3129451920433794</v>
      </c>
      <c r="X674" s="85">
        <v>-1.9272180515962098</v>
      </c>
      <c r="Y674" s="50" t="s">
        <v>69</v>
      </c>
      <c r="Z674" s="50" t="s">
        <v>69</v>
      </c>
      <c r="AA674" s="50" t="s">
        <v>69</v>
      </c>
      <c r="AB674" s="50" t="s">
        <v>69</v>
      </c>
      <c r="AC674" s="34" t="str">
        <f t="shared" ref="AC674:AP674" si="674">LET(
  skater, IFERROR(INDEX(AllProj, MATCH($E674, AllProjNames, 0), MATCH(AC$2, AllProjCats, 0) + 1), ""),
  goalie, IFERROR(INDEX(AllGProj, MATCH($E674, AllGProjNames, 0), MATCH(AC$2, AllGProjCats, 0) + 1), ""),
  val, IF(skater &lt;&gt; "", skater, goalie),
  IF(OR($E674="", AC$2="", val=""), "", val * AC$1)
)</f>
        <v/>
      </c>
      <c r="AD674" s="34" t="str">
        <f t="shared" si="674"/>
        <v/>
      </c>
      <c r="AE674" s="34" t="str">
        <f t="shared" si="674"/>
        <v/>
      </c>
      <c r="AF674" s="34" t="str">
        <f t="shared" si="674"/>
        <v/>
      </c>
      <c r="AG674" s="34" t="str">
        <f t="shared" si="674"/>
        <v/>
      </c>
      <c r="AH674" s="34" t="str">
        <f t="shared" si="674"/>
        <v/>
      </c>
      <c r="AI674" s="34" t="str">
        <f t="shared" si="674"/>
        <v/>
      </c>
      <c r="AJ674" s="34" t="str">
        <f t="shared" si="674"/>
        <v/>
      </c>
      <c r="AK674" s="34" t="str">
        <f t="shared" si="674"/>
        <v/>
      </c>
      <c r="AL674" s="34" t="str">
        <f t="shared" si="674"/>
        <v/>
      </c>
      <c r="AM674" s="34" t="str">
        <f t="shared" si="674"/>
        <v/>
      </c>
      <c r="AN674" s="34" t="str">
        <f t="shared" si="674"/>
        <v/>
      </c>
      <c r="AO674" s="34" t="str">
        <f t="shared" si="674"/>
        <v/>
      </c>
      <c r="AP674" s="34" t="str">
        <f t="shared" si="674"/>
        <v/>
      </c>
      <c r="AQ674" s="76" t="s">
        <v>714</v>
      </c>
      <c r="AR674" s="77"/>
      <c r="AS674" s="77"/>
      <c r="AT674" s="77"/>
      <c r="AU674" s="77"/>
      <c r="AV674" s="77"/>
      <c r="AW674" s="77"/>
      <c r="AX674" s="77"/>
      <c r="AY674" s="77"/>
      <c r="AZ674" s="77"/>
      <c r="BA674" s="77"/>
      <c r="BB674" s="77"/>
      <c r="BC674" s="77"/>
      <c r="BD674" s="77"/>
      <c r="BE674" s="77"/>
      <c r="BF674" s="77"/>
      <c r="BG674" s="77"/>
      <c r="BH674" s="77"/>
      <c r="BI674" s="77"/>
      <c r="BJ674" s="77"/>
      <c r="BK674" s="77"/>
      <c r="BL674" s="77"/>
      <c r="BM674" s="78"/>
    </row>
    <row r="675">
      <c r="A675" s="41">
        <v>2.642857142857143</v>
      </c>
      <c r="B675" s="41" t="b">
        <v>0</v>
      </c>
      <c r="C675" s="41" t="b">
        <f t="shared" si="3"/>
        <v>0</v>
      </c>
      <c r="D675" s="42" t="s">
        <v>1565</v>
      </c>
      <c r="E675" s="43" t="s">
        <v>1120</v>
      </c>
      <c r="F675" s="44" t="s">
        <v>849</v>
      </c>
      <c r="G675" s="29" t="s">
        <v>284</v>
      </c>
      <c r="H675" s="32">
        <v>-12.312196816055812</v>
      </c>
      <c r="I675" s="32">
        <v>-7.274130795872726</v>
      </c>
      <c r="J675" s="45" t="s">
        <v>2344</v>
      </c>
      <c r="K675" s="29">
        <v>24.5</v>
      </c>
      <c r="L675" s="41">
        <v>79.85714285714286</v>
      </c>
      <c r="M675" s="46">
        <v>29.0</v>
      </c>
      <c r="N675" s="46">
        <v>6.0</v>
      </c>
      <c r="O675" s="47">
        <v>-1.632978031943056</v>
      </c>
      <c r="P675" s="47">
        <v>-1.725045018201164</v>
      </c>
      <c r="Q675" s="47">
        <v>-0.6862615979830562</v>
      </c>
      <c r="R675" s="47">
        <v>-1.3711139927918716</v>
      </c>
      <c r="S675" s="47">
        <v>-1.72461069241107</v>
      </c>
      <c r="T675" s="47">
        <v>-0.16952108464970286</v>
      </c>
      <c r="U675" s="47">
        <v>-2.7283646037701788</v>
      </c>
      <c r="V675" s="47">
        <v>0.0</v>
      </c>
      <c r="W675" s="47">
        <v>-0.9926910380783671</v>
      </c>
      <c r="X675" s="47">
        <v>-1.281610756227345</v>
      </c>
      <c r="Y675" s="50" t="s">
        <v>69</v>
      </c>
      <c r="Z675" s="50" t="s">
        <v>69</v>
      </c>
      <c r="AA675" s="50" t="s">
        <v>69</v>
      </c>
      <c r="AB675" s="50" t="s">
        <v>69</v>
      </c>
      <c r="AC675" s="34" t="str">
        <f t="shared" ref="AC675:AP675" si="675">LET(
  skater, IFERROR(INDEX(AllProj, MATCH($E675, AllProjNames, 0), MATCH(AC$2, AllProjCats, 0) + 1), ""),
  goalie, IFERROR(INDEX(AllGProj, MATCH($E675, AllGProjNames, 0), MATCH(AC$2, AllGProjCats, 0) + 1), ""),
  val, IF(skater &lt;&gt; "", skater, goalie),
  IF(OR($E675="", AC$2="", val=""), "", val * AC$1)
)</f>
        <v/>
      </c>
      <c r="AD675" s="34" t="str">
        <f t="shared" si="675"/>
        <v/>
      </c>
      <c r="AE675" s="34" t="str">
        <f t="shared" si="675"/>
        <v/>
      </c>
      <c r="AF675" s="34" t="str">
        <f t="shared" si="675"/>
        <v/>
      </c>
      <c r="AG675" s="34" t="str">
        <f t="shared" si="675"/>
        <v/>
      </c>
      <c r="AH675" s="34" t="str">
        <f t="shared" si="675"/>
        <v/>
      </c>
      <c r="AI675" s="34" t="str">
        <f t="shared" si="675"/>
        <v/>
      </c>
      <c r="AJ675" s="34" t="str">
        <f t="shared" si="675"/>
        <v/>
      </c>
      <c r="AK675" s="34" t="str">
        <f t="shared" si="675"/>
        <v/>
      </c>
      <c r="AL675" s="34" t="str">
        <f t="shared" si="675"/>
        <v/>
      </c>
      <c r="AM675" s="34" t="str">
        <f t="shared" si="675"/>
        <v/>
      </c>
      <c r="AN675" s="34" t="str">
        <f t="shared" si="675"/>
        <v/>
      </c>
      <c r="AO675" s="34" t="str">
        <f t="shared" si="675"/>
        <v/>
      </c>
      <c r="AP675" s="34" t="str">
        <f t="shared" si="675"/>
        <v/>
      </c>
      <c r="AQ675" s="76" t="s">
        <v>715</v>
      </c>
      <c r="AR675" s="77"/>
      <c r="AS675" s="77"/>
      <c r="AT675" s="77"/>
      <c r="AU675" s="77"/>
      <c r="AV675" s="77"/>
      <c r="AW675" s="77"/>
      <c r="AX675" s="77"/>
      <c r="AY675" s="77"/>
      <c r="AZ675" s="77"/>
      <c r="BA675" s="77"/>
      <c r="BB675" s="77"/>
      <c r="BC675" s="77"/>
      <c r="BD675" s="77"/>
      <c r="BE675" s="77"/>
      <c r="BF675" s="77"/>
      <c r="BG675" s="77"/>
      <c r="BH675" s="77"/>
      <c r="BI675" s="77"/>
      <c r="BJ675" s="77"/>
      <c r="BK675" s="77"/>
      <c r="BL675" s="77"/>
      <c r="BM675" s="78"/>
    </row>
    <row r="676">
      <c r="A676" s="79">
        <v>2.642857142857143</v>
      </c>
      <c r="B676" s="79" t="b">
        <v>0</v>
      </c>
      <c r="C676" s="79" t="b">
        <f t="shared" si="3"/>
        <v>0</v>
      </c>
      <c r="D676" s="80" t="s">
        <v>1565</v>
      </c>
      <c r="E676" s="81" t="s">
        <v>1239</v>
      </c>
      <c r="F676" s="82" t="s">
        <v>1436</v>
      </c>
      <c r="G676" s="35" t="s">
        <v>832</v>
      </c>
      <c r="H676" s="37">
        <v>-12.32086238901682</v>
      </c>
      <c r="I676" s="37">
        <v>-6.878724780288963</v>
      </c>
      <c r="J676" s="83" t="s">
        <v>2345</v>
      </c>
      <c r="K676" s="35">
        <v>23.5</v>
      </c>
      <c r="L676" s="79">
        <v>74.43589285714286</v>
      </c>
      <c r="M676" s="84">
        <v>26.0</v>
      </c>
      <c r="N676" s="84">
        <v>5.0</v>
      </c>
      <c r="O676" s="85">
        <v>-0.7841303972347105</v>
      </c>
      <c r="P676" s="85">
        <v>-1.5742123424427266</v>
      </c>
      <c r="Q676" s="85">
        <v>-1.5658623455540046</v>
      </c>
      <c r="R676" s="85">
        <v>-1.998299334262391</v>
      </c>
      <c r="S676" s="85">
        <v>-0.8460894574567466</v>
      </c>
      <c r="T676" s="85">
        <v>-0.7871777123417198</v>
      </c>
      <c r="U676" s="85">
        <v>-1.4025686155806665</v>
      </c>
      <c r="V676" s="85">
        <v>0.0</v>
      </c>
      <c r="W676" s="85">
        <v>-1.8331056719759606</v>
      </c>
      <c r="X676" s="85">
        <v>-1.5294165121678944</v>
      </c>
      <c r="Y676" s="50" t="s">
        <v>69</v>
      </c>
      <c r="Z676" s="50" t="s">
        <v>69</v>
      </c>
      <c r="AA676" s="50" t="s">
        <v>69</v>
      </c>
      <c r="AB676" s="50" t="s">
        <v>69</v>
      </c>
      <c r="AC676" s="34" t="str">
        <f t="shared" ref="AC676:AP676" si="676">LET(
  skater, IFERROR(INDEX(AllProj, MATCH($E676, AllProjNames, 0), MATCH(AC$2, AllProjCats, 0) + 1), ""),
  goalie, IFERROR(INDEX(AllGProj, MATCH($E676, AllGProjNames, 0), MATCH(AC$2, AllGProjCats, 0) + 1), ""),
  val, IF(skater &lt;&gt; "", skater, goalie),
  IF(OR($E676="", AC$2="", val=""), "", val * AC$1)
)</f>
        <v/>
      </c>
      <c r="AD676" s="34" t="str">
        <f t="shared" si="676"/>
        <v/>
      </c>
      <c r="AE676" s="34" t="str">
        <f t="shared" si="676"/>
        <v/>
      </c>
      <c r="AF676" s="34" t="str">
        <f t="shared" si="676"/>
        <v/>
      </c>
      <c r="AG676" s="34" t="str">
        <f t="shared" si="676"/>
        <v/>
      </c>
      <c r="AH676" s="34" t="str">
        <f t="shared" si="676"/>
        <v/>
      </c>
      <c r="AI676" s="34" t="str">
        <f t="shared" si="676"/>
        <v/>
      </c>
      <c r="AJ676" s="34" t="str">
        <f t="shared" si="676"/>
        <v/>
      </c>
      <c r="AK676" s="34" t="str">
        <f t="shared" si="676"/>
        <v/>
      </c>
      <c r="AL676" s="34" t="str">
        <f t="shared" si="676"/>
        <v/>
      </c>
      <c r="AM676" s="34" t="str">
        <f t="shared" si="676"/>
        <v/>
      </c>
      <c r="AN676" s="34" t="str">
        <f t="shared" si="676"/>
        <v/>
      </c>
      <c r="AO676" s="34" t="str">
        <f t="shared" si="676"/>
        <v/>
      </c>
      <c r="AP676" s="34" t="str">
        <f t="shared" si="676"/>
        <v/>
      </c>
      <c r="AQ676" s="76" t="s">
        <v>716</v>
      </c>
      <c r="AR676" s="77"/>
      <c r="AS676" s="77"/>
      <c r="AT676" s="77"/>
      <c r="AU676" s="77"/>
      <c r="AV676" s="77"/>
      <c r="AW676" s="77"/>
      <c r="AX676" s="77"/>
      <c r="AY676" s="77"/>
      <c r="AZ676" s="77"/>
      <c r="BA676" s="77"/>
      <c r="BB676" s="77"/>
      <c r="BC676" s="77"/>
      <c r="BD676" s="77"/>
      <c r="BE676" s="77"/>
      <c r="BF676" s="77"/>
      <c r="BG676" s="77"/>
      <c r="BH676" s="77"/>
      <c r="BI676" s="77"/>
      <c r="BJ676" s="77"/>
      <c r="BK676" s="77"/>
      <c r="BL676" s="77"/>
      <c r="BM676" s="78"/>
    </row>
    <row r="677">
      <c r="A677" s="41">
        <v>2.7857142857142856</v>
      </c>
      <c r="B677" s="41" t="b">
        <v>0</v>
      </c>
      <c r="C677" s="41" t="b">
        <f t="shared" si="3"/>
        <v>0</v>
      </c>
      <c r="D677" s="42" t="s">
        <v>1565</v>
      </c>
      <c r="E677" s="43" t="s">
        <v>1368</v>
      </c>
      <c r="F677" s="44" t="s">
        <v>1512</v>
      </c>
      <c r="G677" s="29" t="s">
        <v>837</v>
      </c>
      <c r="H677" s="32">
        <v>-12.356186281954447</v>
      </c>
      <c r="I677" s="32">
        <v>-6.826327510025545</v>
      </c>
      <c r="J677" s="45" t="s">
        <v>2346</v>
      </c>
      <c r="K677" s="29">
        <v>34.8</v>
      </c>
      <c r="L677" s="41">
        <v>81.42964285714285</v>
      </c>
      <c r="M677" s="46">
        <v>21.0</v>
      </c>
      <c r="N677" s="46">
        <v>7.0</v>
      </c>
      <c r="O677" s="47">
        <v>-2.0721270772266105</v>
      </c>
      <c r="P677" s="47">
        <v>-0.551054163694929</v>
      </c>
      <c r="Q677" s="47">
        <v>-2.4537618507215453</v>
      </c>
      <c r="R677" s="47">
        <v>-1.7814483543871764</v>
      </c>
      <c r="S677" s="47">
        <v>-0.7760382289354583</v>
      </c>
      <c r="T677" s="47">
        <v>-0.34649432813790226</v>
      </c>
      <c r="U677" s="47">
        <v>-1.8086136983371819</v>
      </c>
      <c r="V677" s="47">
        <v>0.0</v>
      </c>
      <c r="W677" s="47">
        <v>-2.359516072299717</v>
      </c>
      <c r="X677" s="47">
        <v>-0.20713250821392656</v>
      </c>
      <c r="Y677" s="50" t="s">
        <v>69</v>
      </c>
      <c r="Z677" s="50" t="s">
        <v>69</v>
      </c>
      <c r="AA677" s="50" t="s">
        <v>69</v>
      </c>
      <c r="AB677" s="50" t="s">
        <v>69</v>
      </c>
      <c r="AC677" s="34" t="str">
        <f t="shared" ref="AC677:AP677" si="677">LET(
  skater, IFERROR(INDEX(AllProj, MATCH($E677, AllProjNames, 0), MATCH(AC$2, AllProjCats, 0) + 1), ""),
  goalie, IFERROR(INDEX(AllGProj, MATCH($E677, AllGProjNames, 0), MATCH(AC$2, AllGProjCats, 0) + 1), ""),
  val, IF(skater &lt;&gt; "", skater, goalie),
  IF(OR($E677="", AC$2="", val=""), "", val * AC$1)
)</f>
        <v/>
      </c>
      <c r="AD677" s="34" t="str">
        <f t="shared" si="677"/>
        <v/>
      </c>
      <c r="AE677" s="34" t="str">
        <f t="shared" si="677"/>
        <v/>
      </c>
      <c r="AF677" s="34" t="str">
        <f t="shared" si="677"/>
        <v/>
      </c>
      <c r="AG677" s="34" t="str">
        <f t="shared" si="677"/>
        <v/>
      </c>
      <c r="AH677" s="34" t="str">
        <f t="shared" si="677"/>
        <v/>
      </c>
      <c r="AI677" s="34" t="str">
        <f t="shared" si="677"/>
        <v/>
      </c>
      <c r="AJ677" s="34" t="str">
        <f t="shared" si="677"/>
        <v/>
      </c>
      <c r="AK677" s="34" t="str">
        <f t="shared" si="677"/>
        <v/>
      </c>
      <c r="AL677" s="34" t="str">
        <f t="shared" si="677"/>
        <v/>
      </c>
      <c r="AM677" s="34" t="str">
        <f t="shared" si="677"/>
        <v/>
      </c>
      <c r="AN677" s="34" t="str">
        <f t="shared" si="677"/>
        <v/>
      </c>
      <c r="AO677" s="34" t="str">
        <f t="shared" si="677"/>
        <v/>
      </c>
      <c r="AP677" s="34" t="str">
        <f t="shared" si="677"/>
        <v/>
      </c>
      <c r="AQ677" s="76" t="s">
        <v>717</v>
      </c>
      <c r="AR677" s="77"/>
      <c r="AS677" s="77"/>
      <c r="AT677" s="77"/>
      <c r="AU677" s="77"/>
      <c r="AV677" s="77"/>
      <c r="AW677" s="77"/>
      <c r="AX677" s="77"/>
      <c r="AY677" s="77"/>
      <c r="AZ677" s="77"/>
      <c r="BA677" s="77"/>
      <c r="BB677" s="77"/>
      <c r="BC677" s="77"/>
      <c r="BD677" s="77"/>
      <c r="BE677" s="77"/>
      <c r="BF677" s="77"/>
      <c r="BG677" s="77"/>
      <c r="BH677" s="77"/>
      <c r="BI677" s="77"/>
      <c r="BJ677" s="77"/>
      <c r="BK677" s="77"/>
      <c r="BL677" s="77"/>
      <c r="BM677" s="78"/>
    </row>
    <row r="678">
      <c r="A678" s="79" t="s">
        <v>69</v>
      </c>
      <c r="B678" s="79" t="b">
        <v>0</v>
      </c>
      <c r="C678" s="79" t="b">
        <f t="shared" si="3"/>
        <v>1</v>
      </c>
      <c r="D678" s="80" t="s">
        <v>773</v>
      </c>
      <c r="E678" s="81" t="s">
        <v>2347</v>
      </c>
      <c r="F678" s="82" t="s">
        <v>1779</v>
      </c>
      <c r="G678" s="35" t="s">
        <v>837</v>
      </c>
      <c r="H678" s="37">
        <v>-12.385334055315123</v>
      </c>
      <c r="I678" s="37">
        <v>-6.855475283386222</v>
      </c>
      <c r="J678" s="83" t="s">
        <v>2348</v>
      </c>
      <c r="K678" s="35">
        <v>20.8</v>
      </c>
      <c r="L678" s="79">
        <v>80.91882352941175</v>
      </c>
      <c r="M678" s="84">
        <v>27.0</v>
      </c>
      <c r="N678" s="84">
        <v>6.0</v>
      </c>
      <c r="O678" s="85">
        <v>-1.665366060523552</v>
      </c>
      <c r="P678" s="85">
        <v>-0.34330230495857184</v>
      </c>
      <c r="Q678" s="85">
        <v>-5.416639730494124</v>
      </c>
      <c r="R678" s="85">
        <v>-0.2775218649866422</v>
      </c>
      <c r="S678" s="85">
        <v>0.17101904787812897</v>
      </c>
      <c r="T678" s="85">
        <v>-0.7481888229173576</v>
      </c>
      <c r="U678" s="85">
        <v>-1.5596316315865248</v>
      </c>
      <c r="V678" s="85">
        <v>0.0</v>
      </c>
      <c r="W678" s="85">
        <v>-1.910285726720433</v>
      </c>
      <c r="X678" s="85">
        <v>-0.635416961006047</v>
      </c>
      <c r="Y678" s="50" t="s">
        <v>69</v>
      </c>
      <c r="Z678" s="50" t="s">
        <v>69</v>
      </c>
      <c r="AA678" s="50" t="s">
        <v>69</v>
      </c>
      <c r="AB678" s="50" t="s">
        <v>69</v>
      </c>
      <c r="AC678" s="34" t="str">
        <f t="shared" ref="AC678:AP678" si="678">LET(
  skater, IFERROR(INDEX(AllProj, MATCH($E678, AllProjNames, 0), MATCH(AC$2, AllProjCats, 0) + 1), ""),
  goalie, IFERROR(INDEX(AllGProj, MATCH($E678, AllGProjNames, 0), MATCH(AC$2, AllGProjCats, 0) + 1), ""),
  val, IF(skater &lt;&gt; "", skater, goalie),
  IF(OR($E678="", AC$2="", val=""), "", val * AC$1)
)</f>
        <v/>
      </c>
      <c r="AD678" s="34" t="str">
        <f t="shared" si="678"/>
        <v/>
      </c>
      <c r="AE678" s="34" t="str">
        <f t="shared" si="678"/>
        <v/>
      </c>
      <c r="AF678" s="34" t="str">
        <f t="shared" si="678"/>
        <v/>
      </c>
      <c r="AG678" s="34" t="str">
        <f t="shared" si="678"/>
        <v/>
      </c>
      <c r="AH678" s="34" t="str">
        <f t="shared" si="678"/>
        <v/>
      </c>
      <c r="AI678" s="34" t="str">
        <f t="shared" si="678"/>
        <v/>
      </c>
      <c r="AJ678" s="34" t="str">
        <f t="shared" si="678"/>
        <v/>
      </c>
      <c r="AK678" s="34" t="str">
        <f t="shared" si="678"/>
        <v/>
      </c>
      <c r="AL678" s="34" t="str">
        <f t="shared" si="678"/>
        <v/>
      </c>
      <c r="AM678" s="34" t="str">
        <f t="shared" si="678"/>
        <v/>
      </c>
      <c r="AN678" s="34" t="str">
        <f t="shared" si="678"/>
        <v/>
      </c>
      <c r="AO678" s="34" t="str">
        <f t="shared" si="678"/>
        <v/>
      </c>
      <c r="AP678" s="34" t="str">
        <f t="shared" si="678"/>
        <v/>
      </c>
      <c r="AQ678" s="76" t="s">
        <v>718</v>
      </c>
      <c r="AR678" s="77"/>
      <c r="AS678" s="77"/>
      <c r="AT678" s="77"/>
      <c r="AU678" s="77"/>
      <c r="AV678" s="77"/>
      <c r="AW678" s="77"/>
      <c r="AX678" s="77"/>
      <c r="AY678" s="77"/>
      <c r="AZ678" s="77"/>
      <c r="BA678" s="77"/>
      <c r="BB678" s="77"/>
      <c r="BC678" s="77"/>
      <c r="BD678" s="77"/>
      <c r="BE678" s="77"/>
      <c r="BF678" s="77"/>
      <c r="BG678" s="77"/>
      <c r="BH678" s="77"/>
      <c r="BI678" s="77"/>
      <c r="BJ678" s="77"/>
      <c r="BK678" s="77"/>
      <c r="BL678" s="77"/>
      <c r="BM678" s="78"/>
    </row>
    <row r="679">
      <c r="A679" s="41">
        <v>2.642857142857143</v>
      </c>
      <c r="B679" s="41" t="b">
        <v>0</v>
      </c>
      <c r="C679" s="41" t="b">
        <f t="shared" si="3"/>
        <v>0</v>
      </c>
      <c r="D679" s="42" t="s">
        <v>1565</v>
      </c>
      <c r="E679" s="43" t="s">
        <v>1265</v>
      </c>
      <c r="F679" s="44" t="s">
        <v>1489</v>
      </c>
      <c r="G679" s="29" t="s">
        <v>284</v>
      </c>
      <c r="H679" s="32">
        <v>-12.42257736810854</v>
      </c>
      <c r="I679" s="32">
        <v>-7.3845113479254545</v>
      </c>
      <c r="J679" s="45" t="s">
        <v>2349</v>
      </c>
      <c r="K679" s="29">
        <v>23.8</v>
      </c>
      <c r="L679" s="41">
        <v>67.2</v>
      </c>
      <c r="M679" s="46">
        <v>28.0</v>
      </c>
      <c r="N679" s="46">
        <v>7.0</v>
      </c>
      <c r="O679" s="47">
        <v>-1.8471253169812116</v>
      </c>
      <c r="P679" s="47">
        <v>-2.163052992712765</v>
      </c>
      <c r="Q679" s="47">
        <v>-1.1755252563275507</v>
      </c>
      <c r="R679" s="47">
        <v>-0.6623648338778755</v>
      </c>
      <c r="S679" s="47">
        <v>-1.72461069241107</v>
      </c>
      <c r="T679" s="47">
        <v>-0.7871777123417198</v>
      </c>
      <c r="U679" s="47">
        <v>-2.7198209215538287</v>
      </c>
      <c r="V679" s="47">
        <v>0.0</v>
      </c>
      <c r="W679" s="47">
        <v>0.6501618027313109</v>
      </c>
      <c r="X679" s="47">
        <v>-1.993061444633829</v>
      </c>
      <c r="Y679" s="50" t="s">
        <v>69</v>
      </c>
      <c r="Z679" s="50" t="s">
        <v>69</v>
      </c>
      <c r="AA679" s="50" t="s">
        <v>69</v>
      </c>
      <c r="AB679" s="50" t="s">
        <v>69</v>
      </c>
      <c r="AC679" s="34" t="str">
        <f t="shared" ref="AC679:AP679" si="679">LET(
  skater, IFERROR(INDEX(AllProj, MATCH($E679, AllProjNames, 0), MATCH(AC$2, AllProjCats, 0) + 1), ""),
  goalie, IFERROR(INDEX(AllGProj, MATCH($E679, AllGProjNames, 0), MATCH(AC$2, AllGProjCats, 0) + 1), ""),
  val, IF(skater &lt;&gt; "", skater, goalie),
  IF(OR($E679="", AC$2="", val=""), "", val * AC$1)
)</f>
        <v/>
      </c>
      <c r="AD679" s="34" t="str">
        <f t="shared" si="679"/>
        <v/>
      </c>
      <c r="AE679" s="34" t="str">
        <f t="shared" si="679"/>
        <v/>
      </c>
      <c r="AF679" s="34" t="str">
        <f t="shared" si="679"/>
        <v/>
      </c>
      <c r="AG679" s="34" t="str">
        <f t="shared" si="679"/>
        <v/>
      </c>
      <c r="AH679" s="34" t="str">
        <f t="shared" si="679"/>
        <v/>
      </c>
      <c r="AI679" s="34" t="str">
        <f t="shared" si="679"/>
        <v/>
      </c>
      <c r="AJ679" s="34" t="str">
        <f t="shared" si="679"/>
        <v/>
      </c>
      <c r="AK679" s="34" t="str">
        <f t="shared" si="679"/>
        <v/>
      </c>
      <c r="AL679" s="34" t="str">
        <f t="shared" si="679"/>
        <v/>
      </c>
      <c r="AM679" s="34" t="str">
        <f t="shared" si="679"/>
        <v/>
      </c>
      <c r="AN679" s="34" t="str">
        <f t="shared" si="679"/>
        <v/>
      </c>
      <c r="AO679" s="34" t="str">
        <f t="shared" si="679"/>
        <v/>
      </c>
      <c r="AP679" s="34" t="str">
        <f t="shared" si="679"/>
        <v/>
      </c>
      <c r="AQ679" s="76" t="s">
        <v>719</v>
      </c>
      <c r="AR679" s="77"/>
      <c r="AS679" s="77"/>
      <c r="AT679" s="77"/>
      <c r="AU679" s="77"/>
      <c r="AV679" s="77"/>
      <c r="AW679" s="77"/>
      <c r="AX679" s="77"/>
      <c r="AY679" s="77"/>
      <c r="AZ679" s="77"/>
      <c r="BA679" s="77"/>
      <c r="BB679" s="77"/>
      <c r="BC679" s="77"/>
      <c r="BD679" s="77"/>
      <c r="BE679" s="77"/>
      <c r="BF679" s="77"/>
      <c r="BG679" s="77"/>
      <c r="BH679" s="77"/>
      <c r="BI679" s="77"/>
      <c r="BJ679" s="77"/>
      <c r="BK679" s="77"/>
      <c r="BL679" s="77"/>
      <c r="BM679" s="78"/>
    </row>
    <row r="680">
      <c r="A680" s="79">
        <v>2.7142857142857144</v>
      </c>
      <c r="B680" s="79" t="b">
        <v>0</v>
      </c>
      <c r="C680" s="79" t="b">
        <f t="shared" si="3"/>
        <v>0</v>
      </c>
      <c r="D680" s="80" t="s">
        <v>1565</v>
      </c>
      <c r="E680" s="81" t="s">
        <v>1317</v>
      </c>
      <c r="F680" s="82" t="s">
        <v>1779</v>
      </c>
      <c r="G680" s="35" t="s">
        <v>835</v>
      </c>
      <c r="H680" s="37">
        <v>-12.45141086598271</v>
      </c>
      <c r="I680" s="37">
        <v>-7.063530741069972</v>
      </c>
      <c r="J680" s="83" t="s">
        <v>2350</v>
      </c>
      <c r="K680" s="35">
        <v>26.8</v>
      </c>
      <c r="L680" s="79">
        <v>80.0</v>
      </c>
      <c r="M680" s="84">
        <v>27.0</v>
      </c>
      <c r="N680" s="84">
        <v>6.0</v>
      </c>
      <c r="O680" s="85">
        <v>-1.1277916514671373</v>
      </c>
      <c r="P680" s="85">
        <v>-1.9389450989743082</v>
      </c>
      <c r="Q680" s="85">
        <v>-3.506010312902897</v>
      </c>
      <c r="R680" s="85">
        <v>-1.072693294301768</v>
      </c>
      <c r="S680" s="85">
        <v>-1.561257134129456</v>
      </c>
      <c r="T680" s="85">
        <v>-0.7871777123417198</v>
      </c>
      <c r="U680" s="85">
        <v>-2.0831194345384234</v>
      </c>
      <c r="V680" s="85">
        <v>0.0</v>
      </c>
      <c r="W680" s="85">
        <v>1.5444217560644196</v>
      </c>
      <c r="X680" s="85">
        <v>-1.9188379833914218</v>
      </c>
      <c r="Y680" s="50" t="s">
        <v>69</v>
      </c>
      <c r="Z680" s="50" t="s">
        <v>69</v>
      </c>
      <c r="AA680" s="50" t="s">
        <v>69</v>
      </c>
      <c r="AB680" s="50" t="s">
        <v>69</v>
      </c>
      <c r="AC680" s="34" t="str">
        <f t="shared" ref="AC680:AP680" si="680">LET(
  skater, IFERROR(INDEX(AllProj, MATCH($E680, AllProjNames, 0), MATCH(AC$2, AllProjCats, 0) + 1), ""),
  goalie, IFERROR(INDEX(AllGProj, MATCH($E680, AllGProjNames, 0), MATCH(AC$2, AllGProjCats, 0) + 1), ""),
  val, IF(skater &lt;&gt; "", skater, goalie),
  IF(OR($E680="", AC$2="", val=""), "", val * AC$1)
)</f>
        <v/>
      </c>
      <c r="AD680" s="34" t="str">
        <f t="shared" si="680"/>
        <v/>
      </c>
      <c r="AE680" s="34" t="str">
        <f t="shared" si="680"/>
        <v/>
      </c>
      <c r="AF680" s="34" t="str">
        <f t="shared" si="680"/>
        <v/>
      </c>
      <c r="AG680" s="34" t="str">
        <f t="shared" si="680"/>
        <v/>
      </c>
      <c r="AH680" s="34" t="str">
        <f t="shared" si="680"/>
        <v/>
      </c>
      <c r="AI680" s="34" t="str">
        <f t="shared" si="680"/>
        <v/>
      </c>
      <c r="AJ680" s="34" t="str">
        <f t="shared" si="680"/>
        <v/>
      </c>
      <c r="AK680" s="34" t="str">
        <f t="shared" si="680"/>
        <v/>
      </c>
      <c r="AL680" s="34" t="str">
        <f t="shared" si="680"/>
        <v/>
      </c>
      <c r="AM680" s="34" t="str">
        <f t="shared" si="680"/>
        <v/>
      </c>
      <c r="AN680" s="34" t="str">
        <f t="shared" si="680"/>
        <v/>
      </c>
      <c r="AO680" s="34" t="str">
        <f t="shared" si="680"/>
        <v/>
      </c>
      <c r="AP680" s="34" t="str">
        <f t="shared" si="680"/>
        <v/>
      </c>
      <c r="AQ680" s="76" t="s">
        <v>720</v>
      </c>
      <c r="AR680" s="77"/>
      <c r="AS680" s="77"/>
      <c r="AT680" s="77"/>
      <c r="AU680" s="77"/>
      <c r="AV680" s="77"/>
      <c r="AW680" s="77"/>
      <c r="AX680" s="77"/>
      <c r="AY680" s="77"/>
      <c r="AZ680" s="77"/>
      <c r="BA680" s="77"/>
      <c r="BB680" s="77"/>
      <c r="BC680" s="77"/>
      <c r="BD680" s="77"/>
      <c r="BE680" s="77"/>
      <c r="BF680" s="77"/>
      <c r="BG680" s="77"/>
      <c r="BH680" s="77"/>
      <c r="BI680" s="77"/>
      <c r="BJ680" s="77"/>
      <c r="BK680" s="77"/>
      <c r="BL680" s="77"/>
      <c r="BM680" s="78"/>
    </row>
    <row r="681">
      <c r="A681" s="41">
        <v>2.7142857142857144</v>
      </c>
      <c r="B681" s="41" t="b">
        <v>0</v>
      </c>
      <c r="C681" s="41" t="b">
        <f t="shared" si="3"/>
        <v>0</v>
      </c>
      <c r="D681" s="42" t="s">
        <v>1565</v>
      </c>
      <c r="E681" s="43" t="s">
        <v>1343</v>
      </c>
      <c r="F681" s="44" t="s">
        <v>1563</v>
      </c>
      <c r="G681" s="29" t="s">
        <v>837</v>
      </c>
      <c r="H681" s="32">
        <v>-12.454054433711207</v>
      </c>
      <c r="I681" s="32">
        <v>-6.9241956617823055</v>
      </c>
      <c r="J681" s="45" t="s">
        <v>2351</v>
      </c>
      <c r="K681" s="29">
        <v>28.0</v>
      </c>
      <c r="L681" s="41">
        <v>72.0</v>
      </c>
      <c r="M681" s="46">
        <v>29.0</v>
      </c>
      <c r="N681" s="46">
        <v>6.0</v>
      </c>
      <c r="O681" s="47">
        <v>-2.4054892111914374</v>
      </c>
      <c r="P681" s="47">
        <v>-2.1078380044003917</v>
      </c>
      <c r="Q681" s="47">
        <v>-4.196949791387729</v>
      </c>
      <c r="R681" s="47">
        <v>-0.12769441574977294</v>
      </c>
      <c r="S681" s="47">
        <v>-1.72461069241107</v>
      </c>
      <c r="T681" s="47">
        <v>-0.7871777123417198</v>
      </c>
      <c r="U681" s="47">
        <v>-2.6002093705249227</v>
      </c>
      <c r="V681" s="47">
        <v>0.0</v>
      </c>
      <c r="W681" s="47">
        <v>1.0886852445582706</v>
      </c>
      <c r="X681" s="47">
        <v>0.40722951973756594</v>
      </c>
      <c r="Y681" s="50" t="s">
        <v>69</v>
      </c>
      <c r="Z681" s="50" t="s">
        <v>69</v>
      </c>
      <c r="AA681" s="50" t="s">
        <v>69</v>
      </c>
      <c r="AB681" s="50" t="s">
        <v>69</v>
      </c>
      <c r="AC681" s="34" t="str">
        <f t="shared" ref="AC681:AP681" si="681">LET(
  skater, IFERROR(INDEX(AllProj, MATCH($E681, AllProjNames, 0), MATCH(AC$2, AllProjCats, 0) + 1), ""),
  goalie, IFERROR(INDEX(AllGProj, MATCH($E681, AllGProjNames, 0), MATCH(AC$2, AllGProjCats, 0) + 1), ""),
  val, IF(skater &lt;&gt; "", skater, goalie),
  IF(OR($E681="", AC$2="", val=""), "", val * AC$1)
)</f>
        <v/>
      </c>
      <c r="AD681" s="34" t="str">
        <f t="shared" si="681"/>
        <v/>
      </c>
      <c r="AE681" s="34" t="str">
        <f t="shared" si="681"/>
        <v/>
      </c>
      <c r="AF681" s="34" t="str">
        <f t="shared" si="681"/>
        <v/>
      </c>
      <c r="AG681" s="34" t="str">
        <f t="shared" si="681"/>
        <v/>
      </c>
      <c r="AH681" s="34" t="str">
        <f t="shared" si="681"/>
        <v/>
      </c>
      <c r="AI681" s="34" t="str">
        <f t="shared" si="681"/>
        <v/>
      </c>
      <c r="AJ681" s="34" t="str">
        <f t="shared" si="681"/>
        <v/>
      </c>
      <c r="AK681" s="34" t="str">
        <f t="shared" si="681"/>
        <v/>
      </c>
      <c r="AL681" s="34" t="str">
        <f t="shared" si="681"/>
        <v/>
      </c>
      <c r="AM681" s="34" t="str">
        <f t="shared" si="681"/>
        <v/>
      </c>
      <c r="AN681" s="34" t="str">
        <f t="shared" si="681"/>
        <v/>
      </c>
      <c r="AO681" s="34" t="str">
        <f t="shared" si="681"/>
        <v/>
      </c>
      <c r="AP681" s="34" t="str">
        <f t="shared" si="681"/>
        <v/>
      </c>
      <c r="AQ681" s="76" t="s">
        <v>721</v>
      </c>
      <c r="AR681" s="77"/>
      <c r="AS681" s="77"/>
      <c r="AT681" s="77"/>
      <c r="AU681" s="77"/>
      <c r="AV681" s="77"/>
      <c r="AW681" s="77"/>
      <c r="AX681" s="77"/>
      <c r="AY681" s="77"/>
      <c r="AZ681" s="77"/>
      <c r="BA681" s="77"/>
      <c r="BB681" s="77"/>
      <c r="BC681" s="77"/>
      <c r="BD681" s="77"/>
      <c r="BE681" s="77"/>
      <c r="BF681" s="77"/>
      <c r="BG681" s="77"/>
      <c r="BH681" s="77"/>
      <c r="BI681" s="77"/>
      <c r="BJ681" s="77"/>
      <c r="BK681" s="77"/>
      <c r="BL681" s="77"/>
      <c r="BM681" s="78"/>
    </row>
    <row r="682">
      <c r="A682" s="79">
        <v>2.642857142857143</v>
      </c>
      <c r="B682" s="79" t="b">
        <v>0</v>
      </c>
      <c r="C682" s="79" t="b">
        <f t="shared" si="3"/>
        <v>0</v>
      </c>
      <c r="D682" s="80" t="s">
        <v>1565</v>
      </c>
      <c r="E682" s="81" t="s">
        <v>1165</v>
      </c>
      <c r="F682" s="82" t="s">
        <v>1505</v>
      </c>
      <c r="G682" s="35" t="s">
        <v>832</v>
      </c>
      <c r="H682" s="37">
        <v>-12.456719798356893</v>
      </c>
      <c r="I682" s="37">
        <v>-7.014582189629036</v>
      </c>
      <c r="J682" s="83" t="s">
        <v>2352</v>
      </c>
      <c r="K682" s="35">
        <v>28.0</v>
      </c>
      <c r="L682" s="79">
        <v>74.8</v>
      </c>
      <c r="M682" s="84">
        <v>30.0</v>
      </c>
      <c r="N682" s="84">
        <v>5.0</v>
      </c>
      <c r="O682" s="85">
        <v>-1.1227613461138923</v>
      </c>
      <c r="P682" s="85">
        <v>-1.6693660383903675</v>
      </c>
      <c r="Q682" s="85">
        <v>-0.18927506844175002</v>
      </c>
      <c r="R682" s="85">
        <v>-1.8311792362974482</v>
      </c>
      <c r="S682" s="85">
        <v>-1.374567353236183</v>
      </c>
      <c r="T682" s="85">
        <v>-0.7871777123417198</v>
      </c>
      <c r="U682" s="85">
        <v>-2.075758723705875</v>
      </c>
      <c r="V682" s="85">
        <v>0.0</v>
      </c>
      <c r="W682" s="85">
        <v>-1.4973735572437066</v>
      </c>
      <c r="X682" s="85">
        <v>-1.90926076258595</v>
      </c>
      <c r="Y682" s="50" t="s">
        <v>69</v>
      </c>
      <c r="Z682" s="50" t="s">
        <v>69</v>
      </c>
      <c r="AA682" s="50" t="s">
        <v>69</v>
      </c>
      <c r="AB682" s="50" t="s">
        <v>69</v>
      </c>
      <c r="AC682" s="34" t="str">
        <f t="shared" ref="AC682:AP682" si="682">LET(
  skater, IFERROR(INDEX(AllProj, MATCH($E682, AllProjNames, 0), MATCH(AC$2, AllProjCats, 0) + 1), ""),
  goalie, IFERROR(INDEX(AllGProj, MATCH($E682, AllGProjNames, 0), MATCH(AC$2, AllGProjCats, 0) + 1), ""),
  val, IF(skater &lt;&gt; "", skater, goalie),
  IF(OR($E682="", AC$2="", val=""), "", val * AC$1)
)</f>
        <v/>
      </c>
      <c r="AD682" s="34" t="str">
        <f t="shared" si="682"/>
        <v/>
      </c>
      <c r="AE682" s="34" t="str">
        <f t="shared" si="682"/>
        <v/>
      </c>
      <c r="AF682" s="34" t="str">
        <f t="shared" si="682"/>
        <v/>
      </c>
      <c r="AG682" s="34" t="str">
        <f t="shared" si="682"/>
        <v/>
      </c>
      <c r="AH682" s="34" t="str">
        <f t="shared" si="682"/>
        <v/>
      </c>
      <c r="AI682" s="34" t="str">
        <f t="shared" si="682"/>
        <v/>
      </c>
      <c r="AJ682" s="34" t="str">
        <f t="shared" si="682"/>
        <v/>
      </c>
      <c r="AK682" s="34" t="str">
        <f t="shared" si="682"/>
        <v/>
      </c>
      <c r="AL682" s="34" t="str">
        <f t="shared" si="682"/>
        <v/>
      </c>
      <c r="AM682" s="34" t="str">
        <f t="shared" si="682"/>
        <v/>
      </c>
      <c r="AN682" s="34" t="str">
        <f t="shared" si="682"/>
        <v/>
      </c>
      <c r="AO682" s="34" t="str">
        <f t="shared" si="682"/>
        <v/>
      </c>
      <c r="AP682" s="34" t="str">
        <f t="shared" si="682"/>
        <v/>
      </c>
      <c r="AQ682" s="76" t="s">
        <v>722</v>
      </c>
      <c r="AR682" s="77"/>
      <c r="AS682" s="77"/>
      <c r="AT682" s="77"/>
      <c r="AU682" s="77"/>
      <c r="AV682" s="77"/>
      <c r="AW682" s="77"/>
      <c r="AX682" s="77"/>
      <c r="AY682" s="77"/>
      <c r="AZ682" s="77"/>
      <c r="BA682" s="77"/>
      <c r="BB682" s="77"/>
      <c r="BC682" s="77"/>
      <c r="BD682" s="77"/>
      <c r="BE682" s="77"/>
      <c r="BF682" s="77"/>
      <c r="BG682" s="77"/>
      <c r="BH682" s="77"/>
      <c r="BI682" s="77"/>
      <c r="BJ682" s="77"/>
      <c r="BK682" s="77"/>
      <c r="BL682" s="77"/>
      <c r="BM682" s="78"/>
    </row>
    <row r="683">
      <c r="A683" s="41">
        <v>2.642857142857143</v>
      </c>
      <c r="B683" s="41" t="b">
        <v>0</v>
      </c>
      <c r="C683" s="41" t="b">
        <f t="shared" si="3"/>
        <v>0</v>
      </c>
      <c r="D683" s="42" t="s">
        <v>1565</v>
      </c>
      <c r="E683" s="43" t="s">
        <v>1257</v>
      </c>
      <c r="F683" s="44" t="s">
        <v>1594</v>
      </c>
      <c r="G683" s="29" t="s">
        <v>837</v>
      </c>
      <c r="H683" s="32">
        <v>-12.456748298995997</v>
      </c>
      <c r="I683" s="32">
        <v>-6.926889527067096</v>
      </c>
      <c r="J683" s="45" t="s">
        <v>2353</v>
      </c>
      <c r="K683" s="29">
        <v>24.8</v>
      </c>
      <c r="L683" s="41">
        <v>75.57142857142857</v>
      </c>
      <c r="M683" s="46">
        <v>26.0</v>
      </c>
      <c r="N683" s="46">
        <v>6.0</v>
      </c>
      <c r="O683" s="47">
        <v>-1.9994717076794974</v>
      </c>
      <c r="P683" s="47">
        <v>-1.6392065909928524</v>
      </c>
      <c r="Q683" s="47">
        <v>-2.184554098463007</v>
      </c>
      <c r="R683" s="47">
        <v>-0.5895359729368383</v>
      </c>
      <c r="S683" s="47">
        <v>-1.5425881560401289</v>
      </c>
      <c r="T683" s="47">
        <v>-0.7871777123417198</v>
      </c>
      <c r="U683" s="47">
        <v>-2.439851027387269</v>
      </c>
      <c r="V683" s="47">
        <v>0.0</v>
      </c>
      <c r="W683" s="47">
        <v>-1.1864844416093732</v>
      </c>
      <c r="X683" s="47">
        <v>-0.0878785915453114</v>
      </c>
      <c r="Y683" s="50" t="s">
        <v>69</v>
      </c>
      <c r="Z683" s="50" t="s">
        <v>69</v>
      </c>
      <c r="AA683" s="50" t="s">
        <v>69</v>
      </c>
      <c r="AB683" s="50" t="s">
        <v>69</v>
      </c>
      <c r="AC683" s="34" t="str">
        <f t="shared" ref="AC683:AP683" si="683">LET(
  skater, IFERROR(INDEX(AllProj, MATCH($E683, AllProjNames, 0), MATCH(AC$2, AllProjCats, 0) + 1), ""),
  goalie, IFERROR(INDEX(AllGProj, MATCH($E683, AllGProjNames, 0), MATCH(AC$2, AllGProjCats, 0) + 1), ""),
  val, IF(skater &lt;&gt; "", skater, goalie),
  IF(OR($E683="", AC$2="", val=""), "", val * AC$1)
)</f>
        <v/>
      </c>
      <c r="AD683" s="34" t="str">
        <f t="shared" si="683"/>
        <v/>
      </c>
      <c r="AE683" s="34" t="str">
        <f t="shared" si="683"/>
        <v/>
      </c>
      <c r="AF683" s="34" t="str">
        <f t="shared" si="683"/>
        <v/>
      </c>
      <c r="AG683" s="34" t="str">
        <f t="shared" si="683"/>
        <v/>
      </c>
      <c r="AH683" s="34" t="str">
        <f t="shared" si="683"/>
        <v/>
      </c>
      <c r="AI683" s="34" t="str">
        <f t="shared" si="683"/>
        <v/>
      </c>
      <c r="AJ683" s="34" t="str">
        <f t="shared" si="683"/>
        <v/>
      </c>
      <c r="AK683" s="34" t="str">
        <f t="shared" si="683"/>
        <v/>
      </c>
      <c r="AL683" s="34" t="str">
        <f t="shared" si="683"/>
        <v/>
      </c>
      <c r="AM683" s="34" t="str">
        <f t="shared" si="683"/>
        <v/>
      </c>
      <c r="AN683" s="34" t="str">
        <f t="shared" si="683"/>
        <v/>
      </c>
      <c r="AO683" s="34" t="str">
        <f t="shared" si="683"/>
        <v/>
      </c>
      <c r="AP683" s="34" t="str">
        <f t="shared" si="683"/>
        <v/>
      </c>
      <c r="AQ683" s="76" t="s">
        <v>723</v>
      </c>
      <c r="AR683" s="77"/>
      <c r="AS683" s="77"/>
      <c r="AT683" s="77"/>
      <c r="AU683" s="77"/>
      <c r="AV683" s="77"/>
      <c r="AW683" s="77"/>
      <c r="AX683" s="77"/>
      <c r="AY683" s="77"/>
      <c r="AZ683" s="77"/>
      <c r="BA683" s="77"/>
      <c r="BB683" s="77"/>
      <c r="BC683" s="77"/>
      <c r="BD683" s="77"/>
      <c r="BE683" s="77"/>
      <c r="BF683" s="77"/>
      <c r="BG683" s="77"/>
      <c r="BH683" s="77"/>
      <c r="BI683" s="77"/>
      <c r="BJ683" s="77"/>
      <c r="BK683" s="77"/>
      <c r="BL683" s="77"/>
      <c r="BM683" s="78"/>
    </row>
    <row r="684">
      <c r="A684" s="79">
        <v>2.7142857142857144</v>
      </c>
      <c r="B684" s="79" t="b">
        <v>0</v>
      </c>
      <c r="C684" s="79" t="b">
        <f t="shared" si="3"/>
        <v>0</v>
      </c>
      <c r="D684" s="80" t="s">
        <v>1565</v>
      </c>
      <c r="E684" s="81" t="s">
        <v>1329</v>
      </c>
      <c r="F684" s="82" t="s">
        <v>1517</v>
      </c>
      <c r="G684" s="35" t="s">
        <v>837</v>
      </c>
      <c r="H684" s="37">
        <v>-12.461824422804646</v>
      </c>
      <c r="I684" s="37">
        <v>-6.931965650875745</v>
      </c>
      <c r="J684" s="83" t="s">
        <v>2354</v>
      </c>
      <c r="K684" s="35">
        <v>23.4</v>
      </c>
      <c r="L684" s="79">
        <v>74.57142857142857</v>
      </c>
      <c r="M684" s="84">
        <v>18.0</v>
      </c>
      <c r="N684" s="84">
        <v>6.0</v>
      </c>
      <c r="O684" s="85">
        <v>-1.9779132561655892</v>
      </c>
      <c r="P684" s="85">
        <v>-0.8109817663072514</v>
      </c>
      <c r="Q684" s="85">
        <v>-1.2600468397515574</v>
      </c>
      <c r="R684" s="85">
        <v>-1.6855215144153737</v>
      </c>
      <c r="S684" s="85">
        <v>-0.7771600543777092</v>
      </c>
      <c r="T684" s="85">
        <v>-0.7871777123417198</v>
      </c>
      <c r="U684" s="85">
        <v>-2.2775210652766114</v>
      </c>
      <c r="V684" s="85">
        <v>0.0</v>
      </c>
      <c r="W684" s="85">
        <v>-1.8732507930953863</v>
      </c>
      <c r="X684" s="85">
        <v>-1.012251421073448</v>
      </c>
      <c r="Y684" s="50" t="s">
        <v>69</v>
      </c>
      <c r="Z684" s="50" t="s">
        <v>69</v>
      </c>
      <c r="AA684" s="50" t="s">
        <v>69</v>
      </c>
      <c r="AB684" s="50" t="s">
        <v>69</v>
      </c>
      <c r="AC684" s="34" t="str">
        <f t="shared" ref="AC684:AP684" si="684">LET(
  skater, IFERROR(INDEX(AllProj, MATCH($E684, AllProjNames, 0), MATCH(AC$2, AllProjCats, 0) + 1), ""),
  goalie, IFERROR(INDEX(AllGProj, MATCH($E684, AllGProjNames, 0), MATCH(AC$2, AllGProjCats, 0) + 1), ""),
  val, IF(skater &lt;&gt; "", skater, goalie),
  IF(OR($E684="", AC$2="", val=""), "", val * AC$1)
)</f>
        <v/>
      </c>
      <c r="AD684" s="34" t="str">
        <f t="shared" si="684"/>
        <v/>
      </c>
      <c r="AE684" s="34" t="str">
        <f t="shared" si="684"/>
        <v/>
      </c>
      <c r="AF684" s="34" t="str">
        <f t="shared" si="684"/>
        <v/>
      </c>
      <c r="AG684" s="34" t="str">
        <f t="shared" si="684"/>
        <v/>
      </c>
      <c r="AH684" s="34" t="str">
        <f t="shared" si="684"/>
        <v/>
      </c>
      <c r="AI684" s="34" t="str">
        <f t="shared" si="684"/>
        <v/>
      </c>
      <c r="AJ684" s="34" t="str">
        <f t="shared" si="684"/>
        <v/>
      </c>
      <c r="AK684" s="34" t="str">
        <f t="shared" si="684"/>
        <v/>
      </c>
      <c r="AL684" s="34" t="str">
        <f t="shared" si="684"/>
        <v/>
      </c>
      <c r="AM684" s="34" t="str">
        <f t="shared" si="684"/>
        <v/>
      </c>
      <c r="AN684" s="34" t="str">
        <f t="shared" si="684"/>
        <v/>
      </c>
      <c r="AO684" s="34" t="str">
        <f t="shared" si="684"/>
        <v/>
      </c>
      <c r="AP684" s="34" t="str">
        <f t="shared" si="684"/>
        <v/>
      </c>
      <c r="AQ684" s="76" t="s">
        <v>724</v>
      </c>
      <c r="AR684" s="77"/>
      <c r="AS684" s="77"/>
      <c r="AT684" s="77"/>
      <c r="AU684" s="77"/>
      <c r="AV684" s="77"/>
      <c r="AW684" s="77"/>
      <c r="AX684" s="77"/>
      <c r="AY684" s="77"/>
      <c r="AZ684" s="77"/>
      <c r="BA684" s="77"/>
      <c r="BB684" s="77"/>
      <c r="BC684" s="77"/>
      <c r="BD684" s="77"/>
      <c r="BE684" s="77"/>
      <c r="BF684" s="77"/>
      <c r="BG684" s="77"/>
      <c r="BH684" s="77"/>
      <c r="BI684" s="77"/>
      <c r="BJ684" s="77"/>
      <c r="BK684" s="77"/>
      <c r="BL684" s="77"/>
      <c r="BM684" s="78"/>
    </row>
    <row r="685">
      <c r="A685" s="41">
        <v>2.642857142857143</v>
      </c>
      <c r="B685" s="41" t="b">
        <v>0</v>
      </c>
      <c r="C685" s="41" t="b">
        <f t="shared" si="3"/>
        <v>0</v>
      </c>
      <c r="D685" s="42" t="s">
        <v>1565</v>
      </c>
      <c r="E685" s="43" t="s">
        <v>1254</v>
      </c>
      <c r="F685" s="44" t="s">
        <v>1548</v>
      </c>
      <c r="G685" s="29" t="s">
        <v>837</v>
      </c>
      <c r="H685" s="32">
        <v>-12.473369175173307</v>
      </c>
      <c r="I685" s="32">
        <v>-6.943510403244406</v>
      </c>
      <c r="J685" s="45" t="s">
        <v>2355</v>
      </c>
      <c r="K685" s="29">
        <v>36.0</v>
      </c>
      <c r="L685" s="41">
        <v>73.57142857142857</v>
      </c>
      <c r="M685" s="46">
        <v>34.0</v>
      </c>
      <c r="N685" s="46">
        <v>7.0</v>
      </c>
      <c r="O685" s="47">
        <v>-2.301290028874214</v>
      </c>
      <c r="P685" s="47">
        <v>-1.4420102041629472</v>
      </c>
      <c r="Q685" s="47">
        <v>-0.2174026973453919</v>
      </c>
      <c r="R685" s="47">
        <v>-1.770784571126832</v>
      </c>
      <c r="S685" s="47">
        <v>-1.72461069241107</v>
      </c>
      <c r="T685" s="47">
        <v>-0.7871777123417198</v>
      </c>
      <c r="U685" s="47">
        <v>-2.5062288661450682</v>
      </c>
      <c r="V685" s="47">
        <v>0.0</v>
      </c>
      <c r="W685" s="47">
        <v>-1.5547504561743368</v>
      </c>
      <c r="X685" s="47">
        <v>-0.16911394659172507</v>
      </c>
      <c r="Y685" s="50" t="s">
        <v>69</v>
      </c>
      <c r="Z685" s="50" t="s">
        <v>69</v>
      </c>
      <c r="AA685" s="50" t="s">
        <v>69</v>
      </c>
      <c r="AB685" s="50" t="s">
        <v>69</v>
      </c>
      <c r="AC685" s="34" t="str">
        <f t="shared" ref="AC685:AP685" si="685">LET(
  skater, IFERROR(INDEX(AllProj, MATCH($E685, AllProjNames, 0), MATCH(AC$2, AllProjCats, 0) + 1), ""),
  goalie, IFERROR(INDEX(AllGProj, MATCH($E685, AllGProjNames, 0), MATCH(AC$2, AllGProjCats, 0) + 1), ""),
  val, IF(skater &lt;&gt; "", skater, goalie),
  IF(OR($E685="", AC$2="", val=""), "", val * AC$1)
)</f>
        <v/>
      </c>
      <c r="AD685" s="34" t="str">
        <f t="shared" si="685"/>
        <v/>
      </c>
      <c r="AE685" s="34" t="str">
        <f t="shared" si="685"/>
        <v/>
      </c>
      <c r="AF685" s="34" t="str">
        <f t="shared" si="685"/>
        <v/>
      </c>
      <c r="AG685" s="34" t="str">
        <f t="shared" si="685"/>
        <v/>
      </c>
      <c r="AH685" s="34" t="str">
        <f t="shared" si="685"/>
        <v/>
      </c>
      <c r="AI685" s="34" t="str">
        <f t="shared" si="685"/>
        <v/>
      </c>
      <c r="AJ685" s="34" t="str">
        <f t="shared" si="685"/>
        <v/>
      </c>
      <c r="AK685" s="34" t="str">
        <f t="shared" si="685"/>
        <v/>
      </c>
      <c r="AL685" s="34" t="str">
        <f t="shared" si="685"/>
        <v/>
      </c>
      <c r="AM685" s="34" t="str">
        <f t="shared" si="685"/>
        <v/>
      </c>
      <c r="AN685" s="34" t="str">
        <f t="shared" si="685"/>
        <v/>
      </c>
      <c r="AO685" s="34" t="str">
        <f t="shared" si="685"/>
        <v/>
      </c>
      <c r="AP685" s="34" t="str">
        <f t="shared" si="685"/>
        <v/>
      </c>
      <c r="AQ685" s="76" t="s">
        <v>725</v>
      </c>
      <c r="AR685" s="77"/>
      <c r="AS685" s="77"/>
      <c r="AT685" s="77"/>
      <c r="AU685" s="77"/>
      <c r="AV685" s="77"/>
      <c r="AW685" s="77"/>
      <c r="AX685" s="77"/>
      <c r="AY685" s="77"/>
      <c r="AZ685" s="77"/>
      <c r="BA685" s="77"/>
      <c r="BB685" s="77"/>
      <c r="BC685" s="77"/>
      <c r="BD685" s="77"/>
      <c r="BE685" s="77"/>
      <c r="BF685" s="77"/>
      <c r="BG685" s="77"/>
      <c r="BH685" s="77"/>
      <c r="BI685" s="77"/>
      <c r="BJ685" s="77"/>
      <c r="BK685" s="77"/>
      <c r="BL685" s="77"/>
      <c r="BM685" s="78"/>
    </row>
    <row r="686">
      <c r="A686" s="79">
        <v>2.642857142857143</v>
      </c>
      <c r="B686" s="79" t="b">
        <v>0</v>
      </c>
      <c r="C686" s="79" t="b">
        <f t="shared" si="3"/>
        <v>0</v>
      </c>
      <c r="D686" s="80" t="s">
        <v>1565</v>
      </c>
      <c r="E686" s="81" t="s">
        <v>1287</v>
      </c>
      <c r="F686" s="82" t="s">
        <v>1548</v>
      </c>
      <c r="G686" s="35" t="s">
        <v>837</v>
      </c>
      <c r="H686" s="37">
        <v>-12.49276784171998</v>
      </c>
      <c r="I686" s="37">
        <v>-6.9629090697910785</v>
      </c>
      <c r="J686" s="83" t="s">
        <v>2356</v>
      </c>
      <c r="K686" s="35">
        <v>24.7</v>
      </c>
      <c r="L686" s="79">
        <v>71.6</v>
      </c>
      <c r="M686" s="84">
        <v>34.0</v>
      </c>
      <c r="N686" s="84">
        <v>7.0</v>
      </c>
      <c r="O686" s="85">
        <v>-2.028216309698042</v>
      </c>
      <c r="P686" s="85">
        <v>-1.7180851457248145</v>
      </c>
      <c r="Q686" s="85">
        <v>-1.0898686850749197</v>
      </c>
      <c r="R686" s="85">
        <v>-1.22190364354682</v>
      </c>
      <c r="S686" s="85">
        <v>-1.7059417143217428</v>
      </c>
      <c r="T686" s="85">
        <v>-0.7871777123417198</v>
      </c>
      <c r="U686" s="85">
        <v>-1.993870815693778</v>
      </c>
      <c r="V686" s="85">
        <v>0.0</v>
      </c>
      <c r="W686" s="85">
        <v>-1.7096680832870386</v>
      </c>
      <c r="X686" s="85">
        <v>-0.23803573203110343</v>
      </c>
      <c r="Y686" s="50" t="s">
        <v>69</v>
      </c>
      <c r="Z686" s="50" t="s">
        <v>69</v>
      </c>
      <c r="AA686" s="50" t="s">
        <v>69</v>
      </c>
      <c r="AB686" s="50" t="s">
        <v>69</v>
      </c>
      <c r="AC686" s="34" t="str">
        <f t="shared" ref="AC686:AP686" si="686">LET(
  skater, IFERROR(INDEX(AllProj, MATCH($E686, AllProjNames, 0), MATCH(AC$2, AllProjCats, 0) + 1), ""),
  goalie, IFERROR(INDEX(AllGProj, MATCH($E686, AllGProjNames, 0), MATCH(AC$2, AllGProjCats, 0) + 1), ""),
  val, IF(skater &lt;&gt; "", skater, goalie),
  IF(OR($E686="", AC$2="", val=""), "", val * AC$1)
)</f>
        <v/>
      </c>
      <c r="AD686" s="34" t="str">
        <f t="shared" si="686"/>
        <v/>
      </c>
      <c r="AE686" s="34" t="str">
        <f t="shared" si="686"/>
        <v/>
      </c>
      <c r="AF686" s="34" t="str">
        <f t="shared" si="686"/>
        <v/>
      </c>
      <c r="AG686" s="34" t="str">
        <f t="shared" si="686"/>
        <v/>
      </c>
      <c r="AH686" s="34" t="str">
        <f t="shared" si="686"/>
        <v/>
      </c>
      <c r="AI686" s="34" t="str">
        <f t="shared" si="686"/>
        <v/>
      </c>
      <c r="AJ686" s="34" t="str">
        <f t="shared" si="686"/>
        <v/>
      </c>
      <c r="AK686" s="34" t="str">
        <f t="shared" si="686"/>
        <v/>
      </c>
      <c r="AL686" s="34" t="str">
        <f t="shared" si="686"/>
        <v/>
      </c>
      <c r="AM686" s="34" t="str">
        <f t="shared" si="686"/>
        <v/>
      </c>
      <c r="AN686" s="34" t="str">
        <f t="shared" si="686"/>
        <v/>
      </c>
      <c r="AO686" s="34" t="str">
        <f t="shared" si="686"/>
        <v/>
      </c>
      <c r="AP686" s="34" t="str">
        <f t="shared" si="686"/>
        <v/>
      </c>
      <c r="AQ686" s="76" t="s">
        <v>726</v>
      </c>
      <c r="AR686" s="77"/>
      <c r="AS686" s="77"/>
      <c r="AT686" s="77"/>
      <c r="AU686" s="77"/>
      <c r="AV686" s="77"/>
      <c r="AW686" s="77"/>
      <c r="AX686" s="77"/>
      <c r="AY686" s="77"/>
      <c r="AZ686" s="77"/>
      <c r="BA686" s="77"/>
      <c r="BB686" s="77"/>
      <c r="BC686" s="77"/>
      <c r="BD686" s="77"/>
      <c r="BE686" s="77"/>
      <c r="BF686" s="77"/>
      <c r="BG686" s="77"/>
      <c r="BH686" s="77"/>
      <c r="BI686" s="77"/>
      <c r="BJ686" s="77"/>
      <c r="BK686" s="77"/>
      <c r="BL686" s="77"/>
      <c r="BM686" s="78"/>
    </row>
    <row r="687">
      <c r="A687" s="41">
        <v>2.642857142857143</v>
      </c>
      <c r="B687" s="41" t="b">
        <v>0</v>
      </c>
      <c r="C687" s="41" t="b">
        <f t="shared" si="3"/>
        <v>0</v>
      </c>
      <c r="D687" s="42" t="s">
        <v>1565</v>
      </c>
      <c r="E687" s="43" t="s">
        <v>1244</v>
      </c>
      <c r="F687" s="44" t="s">
        <v>1489</v>
      </c>
      <c r="G687" s="29" t="s">
        <v>837</v>
      </c>
      <c r="H687" s="32">
        <v>-12.497009591733573</v>
      </c>
      <c r="I687" s="32">
        <v>-6.967150819804671</v>
      </c>
      <c r="J687" s="45" t="s">
        <v>2357</v>
      </c>
      <c r="K687" s="29">
        <v>34.5</v>
      </c>
      <c r="L687" s="41">
        <v>68.0</v>
      </c>
      <c r="M687" s="46">
        <v>28.0</v>
      </c>
      <c r="N687" s="46">
        <v>7.0</v>
      </c>
      <c r="O687" s="47">
        <v>-2.1539739435291736</v>
      </c>
      <c r="P687" s="47">
        <v>-1.0522573454873705</v>
      </c>
      <c r="Q687" s="47">
        <v>-1.2317770675236144</v>
      </c>
      <c r="R687" s="47">
        <v>-1.3089430139397666</v>
      </c>
      <c r="S687" s="47">
        <v>-0.5577995618281134</v>
      </c>
      <c r="T687" s="47">
        <v>-0.7871777123417198</v>
      </c>
      <c r="U687" s="47">
        <v>-2.1401649434906704</v>
      </c>
      <c r="V687" s="47">
        <v>0.0</v>
      </c>
      <c r="W687" s="47">
        <v>-2.026060697390228</v>
      </c>
      <c r="X687" s="47">
        <v>-1.2388553062029168</v>
      </c>
      <c r="Y687" s="50" t="s">
        <v>69</v>
      </c>
      <c r="Z687" s="50" t="s">
        <v>69</v>
      </c>
      <c r="AA687" s="50" t="s">
        <v>69</v>
      </c>
      <c r="AB687" s="50" t="s">
        <v>69</v>
      </c>
      <c r="AC687" s="34" t="str">
        <f t="shared" ref="AC687:AP687" si="687">LET(
  skater, IFERROR(INDEX(AllProj, MATCH($E687, AllProjNames, 0), MATCH(AC$2, AllProjCats, 0) + 1), ""),
  goalie, IFERROR(INDEX(AllGProj, MATCH($E687, AllGProjNames, 0), MATCH(AC$2, AllGProjCats, 0) + 1), ""),
  val, IF(skater &lt;&gt; "", skater, goalie),
  IF(OR($E687="", AC$2="", val=""), "", val * AC$1)
)</f>
        <v/>
      </c>
      <c r="AD687" s="34" t="str">
        <f t="shared" si="687"/>
        <v/>
      </c>
      <c r="AE687" s="34" t="str">
        <f t="shared" si="687"/>
        <v/>
      </c>
      <c r="AF687" s="34" t="str">
        <f t="shared" si="687"/>
        <v/>
      </c>
      <c r="AG687" s="34" t="str">
        <f t="shared" si="687"/>
        <v/>
      </c>
      <c r="AH687" s="34" t="str">
        <f t="shared" si="687"/>
        <v/>
      </c>
      <c r="AI687" s="34" t="str">
        <f t="shared" si="687"/>
        <v/>
      </c>
      <c r="AJ687" s="34" t="str">
        <f t="shared" si="687"/>
        <v/>
      </c>
      <c r="AK687" s="34" t="str">
        <f t="shared" si="687"/>
        <v/>
      </c>
      <c r="AL687" s="34" t="str">
        <f t="shared" si="687"/>
        <v/>
      </c>
      <c r="AM687" s="34" t="str">
        <f t="shared" si="687"/>
        <v/>
      </c>
      <c r="AN687" s="34" t="str">
        <f t="shared" si="687"/>
        <v/>
      </c>
      <c r="AO687" s="34" t="str">
        <f t="shared" si="687"/>
        <v/>
      </c>
      <c r="AP687" s="34" t="str">
        <f t="shared" si="687"/>
        <v/>
      </c>
      <c r="AQ687" s="76" t="s">
        <v>727</v>
      </c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 s="77"/>
      <c r="BH687" s="77"/>
      <c r="BI687" s="77"/>
      <c r="BJ687" s="77"/>
      <c r="BK687" s="77"/>
      <c r="BL687" s="77"/>
      <c r="BM687" s="78"/>
    </row>
    <row r="688">
      <c r="A688" s="79">
        <v>2.642857142857143</v>
      </c>
      <c r="B688" s="79" t="b">
        <v>0</v>
      </c>
      <c r="C688" s="79" t="b">
        <f t="shared" si="3"/>
        <v>0</v>
      </c>
      <c r="D688" s="80" t="s">
        <v>1565</v>
      </c>
      <c r="E688" s="81" t="s">
        <v>1256</v>
      </c>
      <c r="F688" s="82" t="s">
        <v>1489</v>
      </c>
      <c r="G688" s="35" t="s">
        <v>837</v>
      </c>
      <c r="H688" s="37">
        <v>-12.523033345312259</v>
      </c>
      <c r="I688" s="37">
        <v>-6.9931745733833575</v>
      </c>
      <c r="J688" s="83" t="s">
        <v>2358</v>
      </c>
      <c r="K688" s="35">
        <v>35.0</v>
      </c>
      <c r="L688" s="79">
        <v>82.0</v>
      </c>
      <c r="M688" s="84">
        <v>28.0</v>
      </c>
      <c r="N688" s="84">
        <v>7.0</v>
      </c>
      <c r="O688" s="85">
        <v>-2.304883104126532</v>
      </c>
      <c r="P688" s="85">
        <v>-1.5278486313712591</v>
      </c>
      <c r="Q688" s="85">
        <v>-1.1077419729033102</v>
      </c>
      <c r="R688" s="85">
        <v>-1.5753900661630735</v>
      </c>
      <c r="S688" s="85">
        <v>-1.72461069241107</v>
      </c>
      <c r="T688" s="85">
        <v>-0.16952108464970286</v>
      </c>
      <c r="U688" s="85">
        <v>-2.42013483765723</v>
      </c>
      <c r="V688" s="85">
        <v>0.0</v>
      </c>
      <c r="W688" s="85">
        <v>-1.6888250465326462</v>
      </c>
      <c r="X688" s="85">
        <v>-0.004077909497432785</v>
      </c>
      <c r="Y688" s="50" t="s">
        <v>69</v>
      </c>
      <c r="Z688" s="50" t="s">
        <v>69</v>
      </c>
      <c r="AA688" s="50" t="s">
        <v>69</v>
      </c>
      <c r="AB688" s="50" t="s">
        <v>69</v>
      </c>
      <c r="AC688" s="34" t="str">
        <f t="shared" ref="AC688:AP688" si="688">LET(
  skater, IFERROR(INDEX(AllProj, MATCH($E688, AllProjNames, 0), MATCH(AC$2, AllProjCats, 0) + 1), ""),
  goalie, IFERROR(INDEX(AllGProj, MATCH($E688, AllGProjNames, 0), MATCH(AC$2, AllGProjCats, 0) + 1), ""),
  val, IF(skater &lt;&gt; "", skater, goalie),
  IF(OR($E688="", AC$2="", val=""), "", val * AC$1)
)</f>
        <v/>
      </c>
      <c r="AD688" s="34" t="str">
        <f t="shared" si="688"/>
        <v/>
      </c>
      <c r="AE688" s="34" t="str">
        <f t="shared" si="688"/>
        <v/>
      </c>
      <c r="AF688" s="34" t="str">
        <f t="shared" si="688"/>
        <v/>
      </c>
      <c r="AG688" s="34" t="str">
        <f t="shared" si="688"/>
        <v/>
      </c>
      <c r="AH688" s="34" t="str">
        <f t="shared" si="688"/>
        <v/>
      </c>
      <c r="AI688" s="34" t="str">
        <f t="shared" si="688"/>
        <v/>
      </c>
      <c r="AJ688" s="34" t="str">
        <f t="shared" si="688"/>
        <v/>
      </c>
      <c r="AK688" s="34" t="str">
        <f t="shared" si="688"/>
        <v/>
      </c>
      <c r="AL688" s="34" t="str">
        <f t="shared" si="688"/>
        <v/>
      </c>
      <c r="AM688" s="34" t="str">
        <f t="shared" si="688"/>
        <v/>
      </c>
      <c r="AN688" s="34" t="str">
        <f t="shared" si="688"/>
        <v/>
      </c>
      <c r="AO688" s="34" t="str">
        <f t="shared" si="688"/>
        <v/>
      </c>
      <c r="AP688" s="34" t="str">
        <f t="shared" si="688"/>
        <v/>
      </c>
      <c r="AQ688" s="76" t="s">
        <v>728</v>
      </c>
      <c r="AR688" s="77"/>
      <c r="AS688" s="77"/>
      <c r="AT688" s="77"/>
      <c r="AU688" s="77"/>
      <c r="AV688" s="77"/>
      <c r="AW688" s="77"/>
      <c r="AX688" s="77"/>
      <c r="AY688" s="77"/>
      <c r="AZ688" s="77"/>
      <c r="BA688" s="77"/>
      <c r="BB688" s="77"/>
      <c r="BC688" s="77"/>
      <c r="BD688" s="77"/>
      <c r="BE688" s="77"/>
      <c r="BF688" s="77"/>
      <c r="BG688" s="77"/>
      <c r="BH688" s="77"/>
      <c r="BI688" s="77"/>
      <c r="BJ688" s="77"/>
      <c r="BK688" s="77"/>
      <c r="BL688" s="77"/>
      <c r="BM688" s="78"/>
    </row>
    <row r="689">
      <c r="A689" s="41">
        <v>2.5714285714285716</v>
      </c>
      <c r="B689" s="41" t="b">
        <v>0</v>
      </c>
      <c r="C689" s="41" t="b">
        <f t="shared" si="3"/>
        <v>0</v>
      </c>
      <c r="D689" s="42" t="s">
        <v>1565</v>
      </c>
      <c r="E689" s="43" t="s">
        <v>1084</v>
      </c>
      <c r="F689" s="44" t="s">
        <v>279</v>
      </c>
      <c r="G689" s="29" t="s">
        <v>284</v>
      </c>
      <c r="H689" s="32">
        <v>-12.533699359318325</v>
      </c>
      <c r="I689" s="32">
        <v>-7.49563333913524</v>
      </c>
      <c r="J689" s="45" t="s">
        <v>2359</v>
      </c>
      <c r="K689" s="29">
        <v>21.9</v>
      </c>
      <c r="L689" s="41">
        <v>74.0</v>
      </c>
      <c r="M689" s="46">
        <v>34.0</v>
      </c>
      <c r="N689" s="46">
        <v>7.0</v>
      </c>
      <c r="O689" s="47">
        <v>-0.9970037122827603</v>
      </c>
      <c r="P689" s="47">
        <v>-1.523208716387026</v>
      </c>
      <c r="Q689" s="47">
        <v>-1.172916566727935</v>
      </c>
      <c r="R689" s="47">
        <v>-2.1047315432467104</v>
      </c>
      <c r="S689" s="47">
        <v>-1.2578862401778874</v>
      </c>
      <c r="T689" s="47">
        <v>-0.7871777123417198</v>
      </c>
      <c r="U689" s="47">
        <v>-1.3534889732620985</v>
      </c>
      <c r="V689" s="47">
        <v>0.0</v>
      </c>
      <c r="W689" s="47">
        <v>-1.4399966583130763</v>
      </c>
      <c r="X689" s="47">
        <v>-1.89728923657911</v>
      </c>
      <c r="Y689" s="50" t="s">
        <v>69</v>
      </c>
      <c r="Z689" s="50" t="s">
        <v>69</v>
      </c>
      <c r="AA689" s="50" t="s">
        <v>69</v>
      </c>
      <c r="AB689" s="50" t="s">
        <v>69</v>
      </c>
      <c r="AC689" s="34" t="str">
        <f t="shared" ref="AC689:AP689" si="689">LET(
  skater, IFERROR(INDEX(AllProj, MATCH($E689, AllProjNames, 0), MATCH(AC$2, AllProjCats, 0) + 1), ""),
  goalie, IFERROR(INDEX(AllGProj, MATCH($E689, AllGProjNames, 0), MATCH(AC$2, AllGProjCats, 0) + 1), ""),
  val, IF(skater &lt;&gt; "", skater, goalie),
  IF(OR($E689="", AC$2="", val=""), "", val * AC$1)
)</f>
        <v/>
      </c>
      <c r="AD689" s="34" t="str">
        <f t="shared" si="689"/>
        <v/>
      </c>
      <c r="AE689" s="34" t="str">
        <f t="shared" si="689"/>
        <v/>
      </c>
      <c r="AF689" s="34" t="str">
        <f t="shared" si="689"/>
        <v/>
      </c>
      <c r="AG689" s="34" t="str">
        <f t="shared" si="689"/>
        <v/>
      </c>
      <c r="AH689" s="34" t="str">
        <f t="shared" si="689"/>
        <v/>
      </c>
      <c r="AI689" s="34" t="str">
        <f t="shared" si="689"/>
        <v/>
      </c>
      <c r="AJ689" s="34" t="str">
        <f t="shared" si="689"/>
        <v/>
      </c>
      <c r="AK689" s="34" t="str">
        <f t="shared" si="689"/>
        <v/>
      </c>
      <c r="AL689" s="34" t="str">
        <f t="shared" si="689"/>
        <v/>
      </c>
      <c r="AM689" s="34" t="str">
        <f t="shared" si="689"/>
        <v/>
      </c>
      <c r="AN689" s="34" t="str">
        <f t="shared" si="689"/>
        <v/>
      </c>
      <c r="AO689" s="34" t="str">
        <f t="shared" si="689"/>
        <v/>
      </c>
      <c r="AP689" s="34" t="str">
        <f t="shared" si="689"/>
        <v/>
      </c>
      <c r="AQ689" s="76" t="s">
        <v>729</v>
      </c>
      <c r="AR689" s="77"/>
      <c r="AS689" s="77"/>
      <c r="AT689" s="77"/>
      <c r="AU689" s="77"/>
      <c r="AV689" s="77"/>
      <c r="AW689" s="77"/>
      <c r="AX689" s="77"/>
      <c r="AY689" s="77"/>
      <c r="AZ689" s="77"/>
      <c r="BA689" s="77"/>
      <c r="BB689" s="77"/>
      <c r="BC689" s="77"/>
      <c r="BD689" s="77"/>
      <c r="BE689" s="77"/>
      <c r="BF689" s="77"/>
      <c r="BG689" s="77"/>
      <c r="BH689" s="77"/>
      <c r="BI689" s="77"/>
      <c r="BJ689" s="77"/>
      <c r="BK689" s="77"/>
      <c r="BL689" s="77"/>
      <c r="BM689" s="78"/>
    </row>
    <row r="690">
      <c r="A690" s="79">
        <v>2.642857142857143</v>
      </c>
      <c r="B690" s="79" t="b">
        <v>0</v>
      </c>
      <c r="C690" s="79" t="b">
        <f t="shared" si="3"/>
        <v>0</v>
      </c>
      <c r="D690" s="80" t="s">
        <v>1565</v>
      </c>
      <c r="E690" s="81" t="s">
        <v>1251</v>
      </c>
      <c r="F690" s="82" t="s">
        <v>1473</v>
      </c>
      <c r="G690" s="35" t="s">
        <v>835</v>
      </c>
      <c r="H690" s="37">
        <v>-12.546960473390106</v>
      </c>
      <c r="I690" s="37">
        <v>-7.159080348477367</v>
      </c>
      <c r="J690" s="83" t="s">
        <v>2360</v>
      </c>
      <c r="K690" s="35">
        <v>25.9</v>
      </c>
      <c r="L690" s="79">
        <v>76.43535714285714</v>
      </c>
      <c r="M690" s="84">
        <v>25.0</v>
      </c>
      <c r="N690" s="84">
        <v>6.0</v>
      </c>
      <c r="O690" s="85">
        <v>-0.8429545547687981</v>
      </c>
      <c r="P690" s="85">
        <v>-0.4564941472291897</v>
      </c>
      <c r="Q690" s="85">
        <v>-2.2602859608082793</v>
      </c>
      <c r="R690" s="85">
        <v>-1.9487372214501961</v>
      </c>
      <c r="S690" s="85">
        <v>-0.6275039128261505</v>
      </c>
      <c r="T690" s="85">
        <v>-0.7871777123417198</v>
      </c>
      <c r="U690" s="85">
        <v>-1.27507035483282</v>
      </c>
      <c r="V690" s="85">
        <v>0.0</v>
      </c>
      <c r="W690" s="85">
        <v>-2.170146879805773</v>
      </c>
      <c r="X690" s="85">
        <v>-2.1785897293271805</v>
      </c>
      <c r="Y690" s="50" t="s">
        <v>69</v>
      </c>
      <c r="Z690" s="50" t="s">
        <v>69</v>
      </c>
      <c r="AA690" s="50" t="s">
        <v>69</v>
      </c>
      <c r="AB690" s="50" t="s">
        <v>69</v>
      </c>
      <c r="AC690" s="34" t="str">
        <f t="shared" ref="AC690:AP690" si="690">LET(
  skater, IFERROR(INDEX(AllProj, MATCH($E690, AllProjNames, 0), MATCH(AC$2, AllProjCats, 0) + 1), ""),
  goalie, IFERROR(INDEX(AllGProj, MATCH($E690, AllGProjNames, 0), MATCH(AC$2, AllGProjCats, 0) + 1), ""),
  val, IF(skater &lt;&gt; "", skater, goalie),
  IF(OR($E690="", AC$2="", val=""), "", val * AC$1)
)</f>
        <v/>
      </c>
      <c r="AD690" s="34" t="str">
        <f t="shared" si="690"/>
        <v/>
      </c>
      <c r="AE690" s="34" t="str">
        <f t="shared" si="690"/>
        <v/>
      </c>
      <c r="AF690" s="34" t="str">
        <f t="shared" si="690"/>
        <v/>
      </c>
      <c r="AG690" s="34" t="str">
        <f t="shared" si="690"/>
        <v/>
      </c>
      <c r="AH690" s="34" t="str">
        <f t="shared" si="690"/>
        <v/>
      </c>
      <c r="AI690" s="34" t="str">
        <f t="shared" si="690"/>
        <v/>
      </c>
      <c r="AJ690" s="34" t="str">
        <f t="shared" si="690"/>
        <v/>
      </c>
      <c r="AK690" s="34" t="str">
        <f t="shared" si="690"/>
        <v/>
      </c>
      <c r="AL690" s="34" t="str">
        <f t="shared" si="690"/>
        <v/>
      </c>
      <c r="AM690" s="34" t="str">
        <f t="shared" si="690"/>
        <v/>
      </c>
      <c r="AN690" s="34" t="str">
        <f t="shared" si="690"/>
        <v/>
      </c>
      <c r="AO690" s="34" t="str">
        <f t="shared" si="690"/>
        <v/>
      </c>
      <c r="AP690" s="34" t="str">
        <f t="shared" si="690"/>
        <v/>
      </c>
      <c r="AQ690" s="76" t="s">
        <v>730</v>
      </c>
      <c r="AR690" s="77"/>
      <c r="AS690" s="77"/>
      <c r="AT690" s="77"/>
      <c r="AU690" s="77"/>
      <c r="AV690" s="77"/>
      <c r="AW690" s="77"/>
      <c r="AX690" s="77"/>
      <c r="AY690" s="77"/>
      <c r="AZ690" s="77"/>
      <c r="BA690" s="77"/>
      <c r="BB690" s="77"/>
      <c r="BC690" s="77"/>
      <c r="BD690" s="77"/>
      <c r="BE690" s="77"/>
      <c r="BF690" s="77"/>
      <c r="BG690" s="77"/>
      <c r="BH690" s="77"/>
      <c r="BI690" s="77"/>
      <c r="BJ690" s="77"/>
      <c r="BK690" s="77"/>
      <c r="BL690" s="77"/>
      <c r="BM690" s="78"/>
    </row>
    <row r="691">
      <c r="A691" s="41">
        <v>2.642857142857143</v>
      </c>
      <c r="B691" s="41" t="b">
        <v>0</v>
      </c>
      <c r="C691" s="41" t="b">
        <f t="shared" si="3"/>
        <v>0</v>
      </c>
      <c r="D691" s="42" t="s">
        <v>1565</v>
      </c>
      <c r="E691" s="43" t="s">
        <v>1185</v>
      </c>
      <c r="F691" s="44" t="s">
        <v>1451</v>
      </c>
      <c r="G691" s="29" t="s">
        <v>829</v>
      </c>
      <c r="H691" s="32">
        <v>-12.575338203274933</v>
      </c>
      <c r="I691" s="32">
        <v>-7.133200594547076</v>
      </c>
      <c r="J691" s="45" t="s">
        <v>2361</v>
      </c>
      <c r="K691" s="29">
        <v>30.7</v>
      </c>
      <c r="L691" s="41">
        <v>73.42857142857143</v>
      </c>
      <c r="M691" s="46">
        <v>29.0</v>
      </c>
      <c r="N691" s="46">
        <v>7.0</v>
      </c>
      <c r="O691" s="47">
        <v>-1.6221988061861015</v>
      </c>
      <c r="P691" s="47">
        <v>-1.7760840830277278</v>
      </c>
      <c r="Q691" s="47">
        <v>-1.7626843172845794</v>
      </c>
      <c r="R691" s="47">
        <v>-1.0336143933090165</v>
      </c>
      <c r="S691" s="47">
        <v>-1.640600291009097</v>
      </c>
      <c r="T691" s="47">
        <v>-0.16952108464970286</v>
      </c>
      <c r="U691" s="47">
        <v>-2.0277826620294457</v>
      </c>
      <c r="V691" s="47">
        <v>0.0</v>
      </c>
      <c r="W691" s="47">
        <v>-0.864471233325224</v>
      </c>
      <c r="X691" s="47">
        <v>-1.6783813324540382</v>
      </c>
      <c r="Y691" s="50" t="s">
        <v>69</v>
      </c>
      <c r="Z691" s="50" t="s">
        <v>69</v>
      </c>
      <c r="AA691" s="50" t="s">
        <v>69</v>
      </c>
      <c r="AB691" s="50" t="s">
        <v>69</v>
      </c>
      <c r="AC691" s="34" t="str">
        <f t="shared" ref="AC691:AP691" si="691">LET(
  skater, IFERROR(INDEX(AllProj, MATCH($E691, AllProjNames, 0), MATCH(AC$2, AllProjCats, 0) + 1), ""),
  goalie, IFERROR(INDEX(AllGProj, MATCH($E691, AllGProjNames, 0), MATCH(AC$2, AllGProjCats, 0) + 1), ""),
  val, IF(skater &lt;&gt; "", skater, goalie),
  IF(OR($E691="", AC$2="", val=""), "", val * AC$1)
)</f>
        <v/>
      </c>
      <c r="AD691" s="34" t="str">
        <f t="shared" si="691"/>
        <v/>
      </c>
      <c r="AE691" s="34" t="str">
        <f t="shared" si="691"/>
        <v/>
      </c>
      <c r="AF691" s="34" t="str">
        <f t="shared" si="691"/>
        <v/>
      </c>
      <c r="AG691" s="34" t="str">
        <f t="shared" si="691"/>
        <v/>
      </c>
      <c r="AH691" s="34" t="str">
        <f t="shared" si="691"/>
        <v/>
      </c>
      <c r="AI691" s="34" t="str">
        <f t="shared" si="691"/>
        <v/>
      </c>
      <c r="AJ691" s="34" t="str">
        <f t="shared" si="691"/>
        <v/>
      </c>
      <c r="AK691" s="34" t="str">
        <f t="shared" si="691"/>
        <v/>
      </c>
      <c r="AL691" s="34" t="str">
        <f t="shared" si="691"/>
        <v/>
      </c>
      <c r="AM691" s="34" t="str">
        <f t="shared" si="691"/>
        <v/>
      </c>
      <c r="AN691" s="34" t="str">
        <f t="shared" si="691"/>
        <v/>
      </c>
      <c r="AO691" s="34" t="str">
        <f t="shared" si="691"/>
        <v/>
      </c>
      <c r="AP691" s="34" t="str">
        <f t="shared" si="691"/>
        <v/>
      </c>
      <c r="AQ691" s="76" t="s">
        <v>731</v>
      </c>
      <c r="AR691" s="77"/>
      <c r="AS691" s="77"/>
      <c r="AT691" s="77"/>
      <c r="AU691" s="77"/>
      <c r="AV691" s="77"/>
      <c r="AW691" s="77"/>
      <c r="AX691" s="77"/>
      <c r="AY691" s="77"/>
      <c r="AZ691" s="77"/>
      <c r="BA691" s="77"/>
      <c r="BB691" s="77"/>
      <c r="BC691" s="77"/>
      <c r="BD691" s="77"/>
      <c r="BE691" s="77"/>
      <c r="BF691" s="77"/>
      <c r="BG691" s="77"/>
      <c r="BH691" s="77"/>
      <c r="BI691" s="77"/>
      <c r="BJ691" s="77"/>
      <c r="BK691" s="77"/>
      <c r="BL691" s="77"/>
      <c r="BM691" s="78"/>
    </row>
    <row r="692">
      <c r="A692" s="79">
        <v>2.7142857142857144</v>
      </c>
      <c r="B692" s="79" t="b">
        <v>0</v>
      </c>
      <c r="C692" s="79" t="b">
        <f t="shared" si="3"/>
        <v>0</v>
      </c>
      <c r="D692" s="80" t="s">
        <v>1565</v>
      </c>
      <c r="E692" s="81" t="s">
        <v>1322</v>
      </c>
      <c r="F692" s="82" t="s">
        <v>1299</v>
      </c>
      <c r="G692" s="35" t="s">
        <v>284</v>
      </c>
      <c r="H692" s="37">
        <v>-12.58498194969107</v>
      </c>
      <c r="I692" s="37">
        <v>-7.546915929507985</v>
      </c>
      <c r="J692" s="83" t="s">
        <v>2362</v>
      </c>
      <c r="K692" s="35">
        <v>33.6</v>
      </c>
      <c r="L692" s="79">
        <v>75.0</v>
      </c>
      <c r="M692" s="84">
        <v>31.0</v>
      </c>
      <c r="N692" s="84">
        <v>7.0</v>
      </c>
      <c r="O692" s="85">
        <v>-1.90245867586691</v>
      </c>
      <c r="P692" s="85">
        <v>-2.1078380044003917</v>
      </c>
      <c r="Q692" s="85">
        <v>-3.628544088531161</v>
      </c>
      <c r="R692" s="85">
        <v>0.4318443939191715</v>
      </c>
      <c r="S692" s="85">
        <v>-1.6079295793527744</v>
      </c>
      <c r="T692" s="85">
        <v>-0.16952108464970286</v>
      </c>
      <c r="U692" s="85">
        <v>-2.531202706469785</v>
      </c>
      <c r="V692" s="85">
        <v>0.0</v>
      </c>
      <c r="W692" s="85">
        <v>-0.0998362332904986</v>
      </c>
      <c r="X692" s="85">
        <v>-0.9694959710490197</v>
      </c>
      <c r="Y692" s="50" t="s">
        <v>69</v>
      </c>
      <c r="Z692" s="50" t="s">
        <v>69</v>
      </c>
      <c r="AA692" s="50" t="s">
        <v>69</v>
      </c>
      <c r="AB692" s="50" t="s">
        <v>69</v>
      </c>
      <c r="AC692" s="34" t="str">
        <f t="shared" ref="AC692:AP692" si="692">LET(
  skater, IFERROR(INDEX(AllProj, MATCH($E692, AllProjNames, 0), MATCH(AC$2, AllProjCats, 0) + 1), ""),
  goalie, IFERROR(INDEX(AllGProj, MATCH($E692, AllGProjNames, 0), MATCH(AC$2, AllGProjCats, 0) + 1), ""),
  val, IF(skater &lt;&gt; "", skater, goalie),
  IF(OR($E692="", AC$2="", val=""), "", val * AC$1)
)</f>
        <v/>
      </c>
      <c r="AD692" s="34" t="str">
        <f t="shared" si="692"/>
        <v/>
      </c>
      <c r="AE692" s="34" t="str">
        <f t="shared" si="692"/>
        <v/>
      </c>
      <c r="AF692" s="34" t="str">
        <f t="shared" si="692"/>
        <v/>
      </c>
      <c r="AG692" s="34" t="str">
        <f t="shared" si="692"/>
        <v/>
      </c>
      <c r="AH692" s="34" t="str">
        <f t="shared" si="692"/>
        <v/>
      </c>
      <c r="AI692" s="34" t="str">
        <f t="shared" si="692"/>
        <v/>
      </c>
      <c r="AJ692" s="34" t="str">
        <f t="shared" si="692"/>
        <v/>
      </c>
      <c r="AK692" s="34" t="str">
        <f t="shared" si="692"/>
        <v/>
      </c>
      <c r="AL692" s="34" t="str">
        <f t="shared" si="692"/>
        <v/>
      </c>
      <c r="AM692" s="34" t="str">
        <f t="shared" si="692"/>
        <v/>
      </c>
      <c r="AN692" s="34" t="str">
        <f t="shared" si="692"/>
        <v/>
      </c>
      <c r="AO692" s="34" t="str">
        <f t="shared" si="692"/>
        <v/>
      </c>
      <c r="AP692" s="34" t="str">
        <f t="shared" si="692"/>
        <v/>
      </c>
      <c r="AQ692" s="76" t="s">
        <v>732</v>
      </c>
      <c r="AR692" s="77"/>
      <c r="AS692" s="77"/>
      <c r="AT692" s="77"/>
      <c r="AU692" s="77"/>
      <c r="AV692" s="77"/>
      <c r="AW692" s="77"/>
      <c r="AX692" s="77"/>
      <c r="AY692" s="77"/>
      <c r="AZ692" s="77"/>
      <c r="BA692" s="77"/>
      <c r="BB692" s="77"/>
      <c r="BC692" s="77"/>
      <c r="BD692" s="77"/>
      <c r="BE692" s="77"/>
      <c r="BF692" s="77"/>
      <c r="BG692" s="77"/>
      <c r="BH692" s="77"/>
      <c r="BI692" s="77"/>
      <c r="BJ692" s="77"/>
      <c r="BK692" s="77"/>
      <c r="BL692" s="77"/>
      <c r="BM692" s="78"/>
    </row>
    <row r="693">
      <c r="A693" s="41">
        <v>2.642857142857143</v>
      </c>
      <c r="B693" s="41" t="b">
        <v>0</v>
      </c>
      <c r="C693" s="41" t="b">
        <f t="shared" si="3"/>
        <v>0</v>
      </c>
      <c r="D693" s="42" t="s">
        <v>1565</v>
      </c>
      <c r="E693" s="43" t="s">
        <v>1214</v>
      </c>
      <c r="F693" s="44" t="s">
        <v>849</v>
      </c>
      <c r="G693" s="29" t="s">
        <v>837</v>
      </c>
      <c r="H693" s="32">
        <v>-12.59953469383621</v>
      </c>
      <c r="I693" s="32">
        <v>-7.069675921907309</v>
      </c>
      <c r="J693" s="45" t="s">
        <v>2363</v>
      </c>
      <c r="K693" s="29">
        <v>26.3</v>
      </c>
      <c r="L693" s="41">
        <v>75.4</v>
      </c>
      <c r="M693" s="46">
        <v>29.0</v>
      </c>
      <c r="N693" s="46">
        <v>6.0</v>
      </c>
      <c r="O693" s="47">
        <v>-2.45579226472389</v>
      </c>
      <c r="P693" s="47">
        <v>-1.6856057408351832</v>
      </c>
      <c r="Q693" s="47">
        <v>-1.5418071252528467</v>
      </c>
      <c r="R693" s="47">
        <v>-1.7565740616749221</v>
      </c>
      <c r="S693" s="47">
        <v>-1.72461069241107</v>
      </c>
      <c r="T693" s="47">
        <v>-0.7871777123417198</v>
      </c>
      <c r="U693" s="47">
        <v>-2.6140107033359503</v>
      </c>
      <c r="V693" s="47">
        <v>0.0</v>
      </c>
      <c r="W693" s="47">
        <v>-0.33344217893663614</v>
      </c>
      <c r="X693" s="47">
        <v>0.2994857856760072</v>
      </c>
      <c r="Y693" s="50" t="s">
        <v>69</v>
      </c>
      <c r="Z693" s="50" t="s">
        <v>69</v>
      </c>
      <c r="AA693" s="50" t="s">
        <v>69</v>
      </c>
      <c r="AB693" s="50" t="s">
        <v>69</v>
      </c>
      <c r="AC693" s="34" t="str">
        <f t="shared" ref="AC693:AP693" si="693">LET(
  skater, IFERROR(INDEX(AllProj, MATCH($E693, AllProjNames, 0), MATCH(AC$2, AllProjCats, 0) + 1), ""),
  goalie, IFERROR(INDEX(AllGProj, MATCH($E693, AllGProjNames, 0), MATCH(AC$2, AllGProjCats, 0) + 1), ""),
  val, IF(skater &lt;&gt; "", skater, goalie),
  IF(OR($E693="", AC$2="", val=""), "", val * AC$1)
)</f>
        <v/>
      </c>
      <c r="AD693" s="34" t="str">
        <f t="shared" si="693"/>
        <v/>
      </c>
      <c r="AE693" s="34" t="str">
        <f t="shared" si="693"/>
        <v/>
      </c>
      <c r="AF693" s="34" t="str">
        <f t="shared" si="693"/>
        <v/>
      </c>
      <c r="AG693" s="34" t="str">
        <f t="shared" si="693"/>
        <v/>
      </c>
      <c r="AH693" s="34" t="str">
        <f t="shared" si="693"/>
        <v/>
      </c>
      <c r="AI693" s="34" t="str">
        <f t="shared" si="693"/>
        <v/>
      </c>
      <c r="AJ693" s="34" t="str">
        <f t="shared" si="693"/>
        <v/>
      </c>
      <c r="AK693" s="34" t="str">
        <f t="shared" si="693"/>
        <v/>
      </c>
      <c r="AL693" s="34" t="str">
        <f t="shared" si="693"/>
        <v/>
      </c>
      <c r="AM693" s="34" t="str">
        <f t="shared" si="693"/>
        <v/>
      </c>
      <c r="AN693" s="34" t="str">
        <f t="shared" si="693"/>
        <v/>
      </c>
      <c r="AO693" s="34" t="str">
        <f t="shared" si="693"/>
        <v/>
      </c>
      <c r="AP693" s="34" t="str">
        <f t="shared" si="693"/>
        <v/>
      </c>
      <c r="AQ693" s="76" t="s">
        <v>733</v>
      </c>
      <c r="AR693" s="77"/>
      <c r="AS693" s="77"/>
      <c r="AT693" s="77"/>
      <c r="AU693" s="77"/>
      <c r="AV693" s="77"/>
      <c r="AW693" s="77"/>
      <c r="AX693" s="77"/>
      <c r="AY693" s="77"/>
      <c r="AZ693" s="77"/>
      <c r="BA693" s="77"/>
      <c r="BB693" s="77"/>
      <c r="BC693" s="77"/>
      <c r="BD693" s="77"/>
      <c r="BE693" s="77"/>
      <c r="BF693" s="77"/>
      <c r="BG693" s="77"/>
      <c r="BH693" s="77"/>
      <c r="BI693" s="77"/>
      <c r="BJ693" s="77"/>
      <c r="BK693" s="77"/>
      <c r="BL693" s="77"/>
      <c r="BM693" s="78"/>
    </row>
    <row r="694">
      <c r="A694" s="79">
        <v>2.7142857142857144</v>
      </c>
      <c r="B694" s="79" t="b">
        <v>0</v>
      </c>
      <c r="C694" s="79" t="b">
        <f t="shared" si="3"/>
        <v>0</v>
      </c>
      <c r="D694" s="80" t="s">
        <v>1565</v>
      </c>
      <c r="E694" s="81" t="s">
        <v>1330</v>
      </c>
      <c r="F694" s="82" t="s">
        <v>1473</v>
      </c>
      <c r="G694" s="35" t="s">
        <v>832</v>
      </c>
      <c r="H694" s="37">
        <v>-12.605531236537582</v>
      </c>
      <c r="I694" s="37">
        <v>-7.163393627809724</v>
      </c>
      <c r="J694" s="83" t="s">
        <v>2364</v>
      </c>
      <c r="K694" s="35">
        <v>28.6</v>
      </c>
      <c r="L694" s="79">
        <v>72.0</v>
      </c>
      <c r="M694" s="84">
        <v>25.0</v>
      </c>
      <c r="N694" s="84">
        <v>6.0</v>
      </c>
      <c r="O694" s="85">
        <v>-1.2736705067112504</v>
      </c>
      <c r="P694" s="85">
        <v>-1.7830439555040773</v>
      </c>
      <c r="Q694" s="85">
        <v>-2.3996409196003534</v>
      </c>
      <c r="R694" s="85">
        <v>-1.8063108447566063</v>
      </c>
      <c r="S694" s="85">
        <v>-1.1412051271195918</v>
      </c>
      <c r="T694" s="85">
        <v>-0.7871777123417198</v>
      </c>
      <c r="U694" s="85">
        <v>-2.232173828897521</v>
      </c>
      <c r="V694" s="85">
        <v>0.0</v>
      </c>
      <c r="W694" s="85">
        <v>0.5354080048700505</v>
      </c>
      <c r="X694" s="85">
        <v>-1.717716346476512</v>
      </c>
      <c r="Y694" s="50" t="s">
        <v>69</v>
      </c>
      <c r="Z694" s="50" t="s">
        <v>69</v>
      </c>
      <c r="AA694" s="50" t="s">
        <v>69</v>
      </c>
      <c r="AB694" s="50" t="s">
        <v>69</v>
      </c>
      <c r="AC694" s="34" t="str">
        <f t="shared" ref="AC694:AP694" si="694">LET(
  skater, IFERROR(INDEX(AllProj, MATCH($E694, AllProjNames, 0), MATCH(AC$2, AllProjCats, 0) + 1), ""),
  goalie, IFERROR(INDEX(AllGProj, MATCH($E694, AllGProjNames, 0), MATCH(AC$2, AllGProjCats, 0) + 1), ""),
  val, IF(skater &lt;&gt; "", skater, goalie),
  IF(OR($E694="", AC$2="", val=""), "", val * AC$1)
)</f>
        <v/>
      </c>
      <c r="AD694" s="34" t="str">
        <f t="shared" si="694"/>
        <v/>
      </c>
      <c r="AE694" s="34" t="str">
        <f t="shared" si="694"/>
        <v/>
      </c>
      <c r="AF694" s="34" t="str">
        <f t="shared" si="694"/>
        <v/>
      </c>
      <c r="AG694" s="34" t="str">
        <f t="shared" si="694"/>
        <v/>
      </c>
      <c r="AH694" s="34" t="str">
        <f t="shared" si="694"/>
        <v/>
      </c>
      <c r="AI694" s="34" t="str">
        <f t="shared" si="694"/>
        <v/>
      </c>
      <c r="AJ694" s="34" t="str">
        <f t="shared" si="694"/>
        <v/>
      </c>
      <c r="AK694" s="34" t="str">
        <f t="shared" si="694"/>
        <v/>
      </c>
      <c r="AL694" s="34" t="str">
        <f t="shared" si="694"/>
        <v/>
      </c>
      <c r="AM694" s="34" t="str">
        <f t="shared" si="694"/>
        <v/>
      </c>
      <c r="AN694" s="34" t="str">
        <f t="shared" si="694"/>
        <v/>
      </c>
      <c r="AO694" s="34" t="str">
        <f t="shared" si="694"/>
        <v/>
      </c>
      <c r="AP694" s="34" t="str">
        <f t="shared" si="694"/>
        <v/>
      </c>
      <c r="AQ694" s="76" t="s">
        <v>734</v>
      </c>
      <c r="AR694" s="77"/>
      <c r="AS694" s="77"/>
      <c r="AT694" s="77"/>
      <c r="AU694" s="77"/>
      <c r="AV694" s="77"/>
      <c r="AW694" s="77"/>
      <c r="AX694" s="77"/>
      <c r="AY694" s="77"/>
      <c r="AZ694" s="77"/>
      <c r="BA694" s="77"/>
      <c r="BB694" s="77"/>
      <c r="BC694" s="77"/>
      <c r="BD694" s="77"/>
      <c r="BE694" s="77"/>
      <c r="BF694" s="77"/>
      <c r="BG694" s="77"/>
      <c r="BH694" s="77"/>
      <c r="BI694" s="77"/>
      <c r="BJ694" s="77"/>
      <c r="BK694" s="77"/>
      <c r="BL694" s="77"/>
      <c r="BM694" s="78"/>
    </row>
    <row r="695">
      <c r="A695" s="41">
        <v>2.642857142857143</v>
      </c>
      <c r="B695" s="41" t="b">
        <v>0</v>
      </c>
      <c r="C695" s="41" t="b">
        <f t="shared" si="3"/>
        <v>0</v>
      </c>
      <c r="D695" s="42" t="s">
        <v>1565</v>
      </c>
      <c r="E695" s="43" t="s">
        <v>1238</v>
      </c>
      <c r="F695" s="44" t="s">
        <v>1451</v>
      </c>
      <c r="G695" s="29" t="s">
        <v>284</v>
      </c>
      <c r="H695" s="32">
        <v>-12.628901510693083</v>
      </c>
      <c r="I695" s="32">
        <v>-7.590835490509998</v>
      </c>
      <c r="J695" s="45" t="s">
        <v>2365</v>
      </c>
      <c r="K695" s="29">
        <v>22.0</v>
      </c>
      <c r="L695" s="41">
        <v>68.375</v>
      </c>
      <c r="M695" s="46">
        <v>29.0</v>
      </c>
      <c r="N695" s="46">
        <v>7.0</v>
      </c>
      <c r="O695" s="47">
        <v>-1.2552435427599682</v>
      </c>
      <c r="P695" s="47">
        <v>-1.401540294986142</v>
      </c>
      <c r="Q695" s="47">
        <v>-1.66139802648424</v>
      </c>
      <c r="R695" s="47">
        <v>-1.7602584892102562</v>
      </c>
      <c r="S695" s="47">
        <v>-0.6477897384302901</v>
      </c>
      <c r="T695" s="47">
        <v>-0.7793663693524695</v>
      </c>
      <c r="U695" s="47">
        <v>-1.411541606096446</v>
      </c>
      <c r="V695" s="47">
        <v>0.0</v>
      </c>
      <c r="W695" s="47">
        <v>-1.9282160225387286</v>
      </c>
      <c r="X695" s="47">
        <v>-1.783547420834543</v>
      </c>
      <c r="Y695" s="50" t="s">
        <v>69</v>
      </c>
      <c r="Z695" s="50" t="s">
        <v>69</v>
      </c>
      <c r="AA695" s="50" t="s">
        <v>69</v>
      </c>
      <c r="AB695" s="50" t="s">
        <v>69</v>
      </c>
      <c r="AC695" s="34" t="str">
        <f t="shared" ref="AC695:AP695" si="695">LET(
  skater, IFERROR(INDEX(AllProj, MATCH($E695, AllProjNames, 0), MATCH(AC$2, AllProjCats, 0) + 1), ""),
  goalie, IFERROR(INDEX(AllGProj, MATCH($E695, AllGProjNames, 0), MATCH(AC$2, AllGProjCats, 0) + 1), ""),
  val, IF(skater &lt;&gt; "", skater, goalie),
  IF(OR($E695="", AC$2="", val=""), "", val * AC$1)
)</f>
        <v/>
      </c>
      <c r="AD695" s="34" t="str">
        <f t="shared" si="695"/>
        <v/>
      </c>
      <c r="AE695" s="34" t="str">
        <f t="shared" si="695"/>
        <v/>
      </c>
      <c r="AF695" s="34" t="str">
        <f t="shared" si="695"/>
        <v/>
      </c>
      <c r="AG695" s="34" t="str">
        <f t="shared" si="695"/>
        <v/>
      </c>
      <c r="AH695" s="34" t="str">
        <f t="shared" si="695"/>
        <v/>
      </c>
      <c r="AI695" s="34" t="str">
        <f t="shared" si="695"/>
        <v/>
      </c>
      <c r="AJ695" s="34" t="str">
        <f t="shared" si="695"/>
        <v/>
      </c>
      <c r="AK695" s="34" t="str">
        <f t="shared" si="695"/>
        <v/>
      </c>
      <c r="AL695" s="34" t="str">
        <f t="shared" si="695"/>
        <v/>
      </c>
      <c r="AM695" s="34" t="str">
        <f t="shared" si="695"/>
        <v/>
      </c>
      <c r="AN695" s="34" t="str">
        <f t="shared" si="695"/>
        <v/>
      </c>
      <c r="AO695" s="34" t="str">
        <f t="shared" si="695"/>
        <v/>
      </c>
      <c r="AP695" s="34" t="str">
        <f t="shared" si="695"/>
        <v/>
      </c>
      <c r="AQ695" s="76" t="s">
        <v>735</v>
      </c>
      <c r="AR695" s="77"/>
      <c r="AS695" s="77"/>
      <c r="AT695" s="77"/>
      <c r="AU695" s="77"/>
      <c r="AV695" s="77"/>
      <c r="AW695" s="77"/>
      <c r="AX695" s="77"/>
      <c r="AY695" s="77"/>
      <c r="AZ695" s="77"/>
      <c r="BA695" s="77"/>
      <c r="BB695" s="77"/>
      <c r="BC695" s="77"/>
      <c r="BD695" s="77"/>
      <c r="BE695" s="77"/>
      <c r="BF695" s="77"/>
      <c r="BG695" s="77"/>
      <c r="BH695" s="77"/>
      <c r="BI695" s="77"/>
      <c r="BJ695" s="77"/>
      <c r="BK695" s="77"/>
      <c r="BL695" s="77"/>
      <c r="BM695" s="78"/>
    </row>
    <row r="696">
      <c r="A696" s="79">
        <v>2.642857142857143</v>
      </c>
      <c r="B696" s="79" t="b">
        <v>0</v>
      </c>
      <c r="C696" s="79" t="b">
        <f t="shared" si="3"/>
        <v>0</v>
      </c>
      <c r="D696" s="80" t="s">
        <v>1565</v>
      </c>
      <c r="E696" s="81" t="s">
        <v>1259</v>
      </c>
      <c r="F696" s="82" t="s">
        <v>849</v>
      </c>
      <c r="G696" s="35" t="s">
        <v>837</v>
      </c>
      <c r="H696" s="37">
        <v>-12.631105399284948</v>
      </c>
      <c r="I696" s="37">
        <v>-7.101246627356047</v>
      </c>
      <c r="J696" s="83" t="s">
        <v>2366</v>
      </c>
      <c r="K696" s="35">
        <v>24.7</v>
      </c>
      <c r="L696" s="79">
        <v>68.85714285714286</v>
      </c>
      <c r="M696" s="84">
        <v>29.0</v>
      </c>
      <c r="N696" s="84">
        <v>6.0</v>
      </c>
      <c r="O696" s="85">
        <v>-2.04977476121195</v>
      </c>
      <c r="P696" s="85">
        <v>-1.7621643380750287</v>
      </c>
      <c r="Q696" s="85">
        <v>-1.5316437160583427</v>
      </c>
      <c r="R696" s="85">
        <v>-1.2556536034951054</v>
      </c>
      <c r="S696" s="85">
        <v>-1.6312658019644335</v>
      </c>
      <c r="T696" s="85">
        <v>-0.7871777123417198</v>
      </c>
      <c r="U696" s="85">
        <v>-2.2091716075458083</v>
      </c>
      <c r="V696" s="85">
        <v>0.0</v>
      </c>
      <c r="W696" s="85">
        <v>-1.5840243842001687</v>
      </c>
      <c r="X696" s="85">
        <v>0.17977052560760803</v>
      </c>
      <c r="Y696" s="50" t="s">
        <v>69</v>
      </c>
      <c r="Z696" s="50" t="s">
        <v>69</v>
      </c>
      <c r="AA696" s="50" t="s">
        <v>69</v>
      </c>
      <c r="AB696" s="50" t="s">
        <v>69</v>
      </c>
      <c r="AC696" s="34" t="str">
        <f t="shared" ref="AC696:AP696" si="696">LET(
  skater, IFERROR(INDEX(AllProj, MATCH($E696, AllProjNames, 0), MATCH(AC$2, AllProjCats, 0) + 1), ""),
  goalie, IFERROR(INDEX(AllGProj, MATCH($E696, AllGProjNames, 0), MATCH(AC$2, AllGProjCats, 0) + 1), ""),
  val, IF(skater &lt;&gt; "", skater, goalie),
  IF(OR($E696="", AC$2="", val=""), "", val * AC$1)
)</f>
        <v/>
      </c>
      <c r="AD696" s="34" t="str">
        <f t="shared" si="696"/>
        <v/>
      </c>
      <c r="AE696" s="34" t="str">
        <f t="shared" si="696"/>
        <v/>
      </c>
      <c r="AF696" s="34" t="str">
        <f t="shared" si="696"/>
        <v/>
      </c>
      <c r="AG696" s="34" t="str">
        <f t="shared" si="696"/>
        <v/>
      </c>
      <c r="AH696" s="34" t="str">
        <f t="shared" si="696"/>
        <v/>
      </c>
      <c r="AI696" s="34" t="str">
        <f t="shared" si="696"/>
        <v/>
      </c>
      <c r="AJ696" s="34" t="str">
        <f t="shared" si="696"/>
        <v/>
      </c>
      <c r="AK696" s="34" t="str">
        <f t="shared" si="696"/>
        <v/>
      </c>
      <c r="AL696" s="34" t="str">
        <f t="shared" si="696"/>
        <v/>
      </c>
      <c r="AM696" s="34" t="str">
        <f t="shared" si="696"/>
        <v/>
      </c>
      <c r="AN696" s="34" t="str">
        <f t="shared" si="696"/>
        <v/>
      </c>
      <c r="AO696" s="34" t="str">
        <f t="shared" si="696"/>
        <v/>
      </c>
      <c r="AP696" s="34" t="str">
        <f t="shared" si="696"/>
        <v/>
      </c>
      <c r="AQ696" s="76" t="s">
        <v>736</v>
      </c>
      <c r="AR696" s="77"/>
      <c r="AS696" s="77"/>
      <c r="AT696" s="77"/>
      <c r="AU696" s="77"/>
      <c r="AV696" s="77"/>
      <c r="AW696" s="77"/>
      <c r="AX696" s="77"/>
      <c r="AY696" s="77"/>
      <c r="AZ696" s="77"/>
      <c r="BA696" s="77"/>
      <c r="BB696" s="77"/>
      <c r="BC696" s="77"/>
      <c r="BD696" s="77"/>
      <c r="BE696" s="77"/>
      <c r="BF696" s="77"/>
      <c r="BG696" s="77"/>
      <c r="BH696" s="77"/>
      <c r="BI696" s="77"/>
      <c r="BJ696" s="77"/>
      <c r="BK696" s="77"/>
      <c r="BL696" s="77"/>
      <c r="BM696" s="78"/>
    </row>
    <row r="697">
      <c r="A697" s="41">
        <v>2.642857142857143</v>
      </c>
      <c r="B697" s="41" t="b">
        <v>0</v>
      </c>
      <c r="C697" s="41" t="b">
        <f t="shared" si="3"/>
        <v>0</v>
      </c>
      <c r="D697" s="42" t="s">
        <v>1565</v>
      </c>
      <c r="E697" s="43" t="s">
        <v>1276</v>
      </c>
      <c r="F697" s="44" t="s">
        <v>1505</v>
      </c>
      <c r="G697" s="29" t="s">
        <v>836</v>
      </c>
      <c r="H697" s="32">
        <v>-12.674878509273105</v>
      </c>
      <c r="I697" s="32">
        <v>-7.232740900545248</v>
      </c>
      <c r="J697" s="45" t="s">
        <v>2367</v>
      </c>
      <c r="K697" s="29">
        <v>34.7</v>
      </c>
      <c r="L697" s="41">
        <v>68.8</v>
      </c>
      <c r="M697" s="46">
        <v>30.0</v>
      </c>
      <c r="N697" s="46">
        <v>5.0</v>
      </c>
      <c r="O697" s="47">
        <v>-2.0382769204045323</v>
      </c>
      <c r="P697" s="47">
        <v>-2.0656147780438707</v>
      </c>
      <c r="Q697" s="47">
        <v>-1.7528160601465164</v>
      </c>
      <c r="R697" s="47">
        <v>-1.09756168584261</v>
      </c>
      <c r="S697" s="47">
        <v>-1.72461069241107</v>
      </c>
      <c r="T697" s="47">
        <v>-0.7871777123417198</v>
      </c>
      <c r="U697" s="47">
        <v>-2.498999596577387</v>
      </c>
      <c r="V697" s="47">
        <v>0.0</v>
      </c>
      <c r="W697" s="47">
        <v>0.4296705768407463</v>
      </c>
      <c r="X697" s="47">
        <v>-1.1394916403461457</v>
      </c>
      <c r="Y697" s="50" t="s">
        <v>69</v>
      </c>
      <c r="Z697" s="50" t="s">
        <v>69</v>
      </c>
      <c r="AA697" s="50" t="s">
        <v>69</v>
      </c>
      <c r="AB697" s="50" t="s">
        <v>69</v>
      </c>
      <c r="AC697" s="34" t="str">
        <f t="shared" ref="AC697:AP697" si="697">LET(
  skater, IFERROR(INDEX(AllProj, MATCH($E697, AllProjNames, 0), MATCH(AC$2, AllProjCats, 0) + 1), ""),
  goalie, IFERROR(INDEX(AllGProj, MATCH($E697, AllGProjNames, 0), MATCH(AC$2, AllGProjCats, 0) + 1), ""),
  val, IF(skater &lt;&gt; "", skater, goalie),
  IF(OR($E697="", AC$2="", val=""), "", val * AC$1)
)</f>
        <v/>
      </c>
      <c r="AD697" s="34" t="str">
        <f t="shared" si="697"/>
        <v/>
      </c>
      <c r="AE697" s="34" t="str">
        <f t="shared" si="697"/>
        <v/>
      </c>
      <c r="AF697" s="34" t="str">
        <f t="shared" si="697"/>
        <v/>
      </c>
      <c r="AG697" s="34" t="str">
        <f t="shared" si="697"/>
        <v/>
      </c>
      <c r="AH697" s="34" t="str">
        <f t="shared" si="697"/>
        <v/>
      </c>
      <c r="AI697" s="34" t="str">
        <f t="shared" si="697"/>
        <v/>
      </c>
      <c r="AJ697" s="34" t="str">
        <f t="shared" si="697"/>
        <v/>
      </c>
      <c r="AK697" s="34" t="str">
        <f t="shared" si="697"/>
        <v/>
      </c>
      <c r="AL697" s="34" t="str">
        <f t="shared" si="697"/>
        <v/>
      </c>
      <c r="AM697" s="34" t="str">
        <f t="shared" si="697"/>
        <v/>
      </c>
      <c r="AN697" s="34" t="str">
        <f t="shared" si="697"/>
        <v/>
      </c>
      <c r="AO697" s="34" t="str">
        <f t="shared" si="697"/>
        <v/>
      </c>
      <c r="AP697" s="34" t="str">
        <f t="shared" si="697"/>
        <v/>
      </c>
      <c r="AQ697" s="76" t="s">
        <v>737</v>
      </c>
      <c r="AR697" s="77"/>
      <c r="AS697" s="77"/>
      <c r="AT697" s="77"/>
      <c r="AU697" s="77"/>
      <c r="AV697" s="77"/>
      <c r="AW697" s="77"/>
      <c r="AX697" s="77"/>
      <c r="AY697" s="77"/>
      <c r="AZ697" s="77"/>
      <c r="BA697" s="77"/>
      <c r="BB697" s="77"/>
      <c r="BC697" s="77"/>
      <c r="BD697" s="77"/>
      <c r="BE697" s="77"/>
      <c r="BF697" s="77"/>
      <c r="BG697" s="77"/>
      <c r="BH697" s="77"/>
      <c r="BI697" s="77"/>
      <c r="BJ697" s="77"/>
      <c r="BK697" s="77"/>
      <c r="BL697" s="77"/>
      <c r="BM697" s="78"/>
    </row>
    <row r="698">
      <c r="A698" s="79">
        <v>2.642857142857143</v>
      </c>
      <c r="B698" s="79" t="b">
        <v>0</v>
      </c>
      <c r="C698" s="79" t="b">
        <f t="shared" si="3"/>
        <v>0</v>
      </c>
      <c r="D698" s="80" t="s">
        <v>1565</v>
      </c>
      <c r="E698" s="81" t="s">
        <v>1208</v>
      </c>
      <c r="F698" s="82" t="s">
        <v>1464</v>
      </c>
      <c r="G698" s="35" t="s">
        <v>284</v>
      </c>
      <c r="H698" s="37">
        <v>-12.677232047294149</v>
      </c>
      <c r="I698" s="37">
        <v>-7.639166027111064</v>
      </c>
      <c r="J698" s="83" t="s">
        <v>2368</v>
      </c>
      <c r="K698" s="35">
        <v>27.9</v>
      </c>
      <c r="L698" s="79">
        <v>72.42857142857143</v>
      </c>
      <c r="M698" s="84">
        <v>24.0</v>
      </c>
      <c r="N698" s="84">
        <v>7.0</v>
      </c>
      <c r="O698" s="85">
        <v>-1.6653157092139184</v>
      </c>
      <c r="P698" s="85">
        <v>-1.85496263775969</v>
      </c>
      <c r="Q698" s="85">
        <v>-1.5059800593893997</v>
      </c>
      <c r="R698" s="85">
        <v>-1.9484159392757032</v>
      </c>
      <c r="S698" s="85">
        <v>-1.4912484662944787</v>
      </c>
      <c r="T698" s="85">
        <v>-0.16952108464970286</v>
      </c>
      <c r="U698" s="85">
        <v>-2.207857194897139</v>
      </c>
      <c r="V698" s="85">
        <v>0.0</v>
      </c>
      <c r="W698" s="85">
        <v>0.03599479274936085</v>
      </c>
      <c r="X698" s="85">
        <v>-1.8699257485634762</v>
      </c>
      <c r="Y698" s="50" t="s">
        <v>69</v>
      </c>
      <c r="Z698" s="50" t="s">
        <v>69</v>
      </c>
      <c r="AA698" s="50" t="s">
        <v>69</v>
      </c>
      <c r="AB698" s="50" t="s">
        <v>69</v>
      </c>
      <c r="AC698" s="34" t="str">
        <f t="shared" ref="AC698:AP698" si="698">LET(
  skater, IFERROR(INDEX(AllProj, MATCH($E698, AllProjNames, 0), MATCH(AC$2, AllProjCats, 0) + 1), ""),
  goalie, IFERROR(INDEX(AllGProj, MATCH($E698, AllGProjNames, 0), MATCH(AC$2, AllGProjCats, 0) + 1), ""),
  val, IF(skater &lt;&gt; "", skater, goalie),
  IF(OR($E698="", AC$2="", val=""), "", val * AC$1)
)</f>
        <v/>
      </c>
      <c r="AD698" s="34" t="str">
        <f t="shared" si="698"/>
        <v/>
      </c>
      <c r="AE698" s="34" t="str">
        <f t="shared" si="698"/>
        <v/>
      </c>
      <c r="AF698" s="34" t="str">
        <f t="shared" si="698"/>
        <v/>
      </c>
      <c r="AG698" s="34" t="str">
        <f t="shared" si="698"/>
        <v/>
      </c>
      <c r="AH698" s="34" t="str">
        <f t="shared" si="698"/>
        <v/>
      </c>
      <c r="AI698" s="34" t="str">
        <f t="shared" si="698"/>
        <v/>
      </c>
      <c r="AJ698" s="34" t="str">
        <f t="shared" si="698"/>
        <v/>
      </c>
      <c r="AK698" s="34" t="str">
        <f t="shared" si="698"/>
        <v/>
      </c>
      <c r="AL698" s="34" t="str">
        <f t="shared" si="698"/>
        <v/>
      </c>
      <c r="AM698" s="34" t="str">
        <f t="shared" si="698"/>
        <v/>
      </c>
      <c r="AN698" s="34" t="str">
        <f t="shared" si="698"/>
        <v/>
      </c>
      <c r="AO698" s="34" t="str">
        <f t="shared" si="698"/>
        <v/>
      </c>
      <c r="AP698" s="34" t="str">
        <f t="shared" si="698"/>
        <v/>
      </c>
      <c r="AQ698" s="76" t="s">
        <v>738</v>
      </c>
      <c r="AR698" s="77"/>
      <c r="AS698" s="77"/>
      <c r="AT698" s="77"/>
      <c r="AU698" s="77"/>
      <c r="AV698" s="77"/>
      <c r="AW698" s="77"/>
      <c r="AX698" s="77"/>
      <c r="AY698" s="77"/>
      <c r="AZ698" s="77"/>
      <c r="BA698" s="77"/>
      <c r="BB698" s="77"/>
      <c r="BC698" s="77"/>
      <c r="BD698" s="77"/>
      <c r="BE698" s="77"/>
      <c r="BF698" s="77"/>
      <c r="BG698" s="77"/>
      <c r="BH698" s="77"/>
      <c r="BI698" s="77"/>
      <c r="BJ698" s="77"/>
      <c r="BK698" s="77"/>
      <c r="BL698" s="77"/>
      <c r="BM698" s="78"/>
    </row>
    <row r="699">
      <c r="A699" s="41">
        <v>2.642857142857143</v>
      </c>
      <c r="B699" s="41" t="b">
        <v>0</v>
      </c>
      <c r="C699" s="41" t="b">
        <f t="shared" si="3"/>
        <v>0</v>
      </c>
      <c r="D699" s="42" t="s">
        <v>1565</v>
      </c>
      <c r="E699" s="43" t="s">
        <v>1248</v>
      </c>
      <c r="F699" s="44" t="s">
        <v>1426</v>
      </c>
      <c r="G699" s="29" t="s">
        <v>284</v>
      </c>
      <c r="H699" s="32">
        <v>-12.700288209967205</v>
      </c>
      <c r="I699" s="32">
        <v>-7.66222218978412</v>
      </c>
      <c r="J699" s="45" t="s">
        <v>2369</v>
      </c>
      <c r="K699" s="29">
        <v>24.2</v>
      </c>
      <c r="L699" s="41">
        <v>78.98666666666666</v>
      </c>
      <c r="M699" s="46">
        <v>23.0</v>
      </c>
      <c r="N699" s="46">
        <v>6.0</v>
      </c>
      <c r="O699" s="47">
        <v>-1.1335209835862594</v>
      </c>
      <c r="P699" s="47">
        <v>-1.3834332882157012</v>
      </c>
      <c r="Q699" s="47">
        <v>-1.705424291014544</v>
      </c>
      <c r="R699" s="47">
        <v>-1.6165314239329367</v>
      </c>
      <c r="S699" s="47">
        <v>-1.5048329844936446</v>
      </c>
      <c r="T699" s="47">
        <v>-0.36280849886881444</v>
      </c>
      <c r="U699" s="47">
        <v>-2.0475393642507007</v>
      </c>
      <c r="V699" s="47">
        <v>0.0</v>
      </c>
      <c r="W699" s="47">
        <v>-1.5867899974489903</v>
      </c>
      <c r="X699" s="47">
        <v>-1.3594073781556142</v>
      </c>
      <c r="Y699" s="50" t="s">
        <v>69</v>
      </c>
      <c r="Z699" s="50" t="s">
        <v>69</v>
      </c>
      <c r="AA699" s="50" t="s">
        <v>69</v>
      </c>
      <c r="AB699" s="50" t="s">
        <v>69</v>
      </c>
      <c r="AC699" s="34" t="str">
        <f t="shared" ref="AC699:AP699" si="699">LET(
  skater, IFERROR(INDEX(AllProj, MATCH($E699, AllProjNames, 0), MATCH(AC$2, AllProjCats, 0) + 1), ""),
  goalie, IFERROR(INDEX(AllGProj, MATCH($E699, AllGProjNames, 0), MATCH(AC$2, AllGProjCats, 0) + 1), ""),
  val, IF(skater &lt;&gt; "", skater, goalie),
  IF(OR($E699="", AC$2="", val=""), "", val * AC$1)
)</f>
        <v/>
      </c>
      <c r="AD699" s="34" t="str">
        <f t="shared" si="699"/>
        <v/>
      </c>
      <c r="AE699" s="34" t="str">
        <f t="shared" si="699"/>
        <v/>
      </c>
      <c r="AF699" s="34" t="str">
        <f t="shared" si="699"/>
        <v/>
      </c>
      <c r="AG699" s="34" t="str">
        <f t="shared" si="699"/>
        <v/>
      </c>
      <c r="AH699" s="34" t="str">
        <f t="shared" si="699"/>
        <v/>
      </c>
      <c r="AI699" s="34" t="str">
        <f t="shared" si="699"/>
        <v/>
      </c>
      <c r="AJ699" s="34" t="str">
        <f t="shared" si="699"/>
        <v/>
      </c>
      <c r="AK699" s="34" t="str">
        <f t="shared" si="699"/>
        <v/>
      </c>
      <c r="AL699" s="34" t="str">
        <f t="shared" si="699"/>
        <v/>
      </c>
      <c r="AM699" s="34" t="str">
        <f t="shared" si="699"/>
        <v/>
      </c>
      <c r="AN699" s="34" t="str">
        <f t="shared" si="699"/>
        <v/>
      </c>
      <c r="AO699" s="34" t="str">
        <f t="shared" si="699"/>
        <v/>
      </c>
      <c r="AP699" s="34" t="str">
        <f t="shared" si="699"/>
        <v/>
      </c>
      <c r="AQ699" s="76" t="s">
        <v>739</v>
      </c>
      <c r="AR699" s="77"/>
      <c r="AS699" s="77"/>
      <c r="AT699" s="77"/>
      <c r="AU699" s="77"/>
      <c r="AV699" s="77"/>
      <c r="AW699" s="77"/>
      <c r="AX699" s="77"/>
      <c r="AY699" s="77"/>
      <c r="AZ699" s="77"/>
      <c r="BA699" s="77"/>
      <c r="BB699" s="77"/>
      <c r="BC699" s="77"/>
      <c r="BD699" s="77"/>
      <c r="BE699" s="77"/>
      <c r="BF699" s="77"/>
      <c r="BG699" s="77"/>
      <c r="BH699" s="77"/>
      <c r="BI699" s="77"/>
      <c r="BJ699" s="77"/>
      <c r="BK699" s="77"/>
      <c r="BL699" s="77"/>
      <c r="BM699" s="78"/>
    </row>
    <row r="700">
      <c r="A700" s="79">
        <v>2.642857142857143</v>
      </c>
      <c r="B700" s="79" t="b">
        <v>0</v>
      </c>
      <c r="C700" s="79" t="b">
        <f t="shared" si="3"/>
        <v>0</v>
      </c>
      <c r="D700" s="80" t="s">
        <v>1565</v>
      </c>
      <c r="E700" s="81" t="s">
        <v>1246</v>
      </c>
      <c r="F700" s="82" t="s">
        <v>1517</v>
      </c>
      <c r="G700" s="35" t="s">
        <v>835</v>
      </c>
      <c r="H700" s="37">
        <v>-12.713699085012959</v>
      </c>
      <c r="I700" s="37">
        <v>-7.32581896010022</v>
      </c>
      <c r="J700" s="83" t="s">
        <v>2370</v>
      </c>
      <c r="K700" s="35">
        <v>25.7</v>
      </c>
      <c r="L700" s="79">
        <v>72.89349999999999</v>
      </c>
      <c r="M700" s="84">
        <v>18.0</v>
      </c>
      <c r="N700" s="84">
        <v>6.0</v>
      </c>
      <c r="O700" s="85">
        <v>-1.33307842670355</v>
      </c>
      <c r="P700" s="85">
        <v>-1.6231376823754595</v>
      </c>
      <c r="Q700" s="85">
        <v>-1.5560952474948213</v>
      </c>
      <c r="R700" s="85">
        <v>-1.153014490698108</v>
      </c>
      <c r="S700" s="85">
        <v>-1.5634244022879926</v>
      </c>
      <c r="T700" s="85">
        <v>-0.786731382119693</v>
      </c>
      <c r="U700" s="85">
        <v>-1.8233649890855947</v>
      </c>
      <c r="V700" s="85">
        <v>0.0</v>
      </c>
      <c r="W700" s="85">
        <v>-0.7963176326578951</v>
      </c>
      <c r="X700" s="85">
        <v>-2.0785348315898453</v>
      </c>
      <c r="Y700" s="50" t="s">
        <v>69</v>
      </c>
      <c r="Z700" s="50" t="s">
        <v>69</v>
      </c>
      <c r="AA700" s="50" t="s">
        <v>69</v>
      </c>
      <c r="AB700" s="50" t="s">
        <v>69</v>
      </c>
      <c r="AC700" s="34" t="str">
        <f t="shared" ref="AC700:AP700" si="700">LET(
  skater, IFERROR(INDEX(AllProj, MATCH($E700, AllProjNames, 0), MATCH(AC$2, AllProjCats, 0) + 1), ""),
  goalie, IFERROR(INDEX(AllGProj, MATCH($E700, AllGProjNames, 0), MATCH(AC$2, AllGProjCats, 0) + 1), ""),
  val, IF(skater &lt;&gt; "", skater, goalie),
  IF(OR($E700="", AC$2="", val=""), "", val * AC$1)
)</f>
        <v/>
      </c>
      <c r="AD700" s="34" t="str">
        <f t="shared" si="700"/>
        <v/>
      </c>
      <c r="AE700" s="34" t="str">
        <f t="shared" si="700"/>
        <v/>
      </c>
      <c r="AF700" s="34" t="str">
        <f t="shared" si="700"/>
        <v/>
      </c>
      <c r="AG700" s="34" t="str">
        <f t="shared" si="700"/>
        <v/>
      </c>
      <c r="AH700" s="34" t="str">
        <f t="shared" si="700"/>
        <v/>
      </c>
      <c r="AI700" s="34" t="str">
        <f t="shared" si="700"/>
        <v/>
      </c>
      <c r="AJ700" s="34" t="str">
        <f t="shared" si="700"/>
        <v/>
      </c>
      <c r="AK700" s="34" t="str">
        <f t="shared" si="700"/>
        <v/>
      </c>
      <c r="AL700" s="34" t="str">
        <f t="shared" si="700"/>
        <v/>
      </c>
      <c r="AM700" s="34" t="str">
        <f t="shared" si="700"/>
        <v/>
      </c>
      <c r="AN700" s="34" t="str">
        <f t="shared" si="700"/>
        <v/>
      </c>
      <c r="AO700" s="34" t="str">
        <f t="shared" si="700"/>
        <v/>
      </c>
      <c r="AP700" s="34" t="str">
        <f t="shared" si="700"/>
        <v/>
      </c>
      <c r="AQ700" s="76" t="s">
        <v>740</v>
      </c>
      <c r="AR700" s="77"/>
      <c r="AS700" s="77"/>
      <c r="AT700" s="77"/>
      <c r="AU700" s="77"/>
      <c r="AV700" s="77"/>
      <c r="AW700" s="77"/>
      <c r="AX700" s="77"/>
      <c r="AY700" s="77"/>
      <c r="AZ700" s="77"/>
      <c r="BA700" s="77"/>
      <c r="BB700" s="77"/>
      <c r="BC700" s="77"/>
      <c r="BD700" s="77"/>
      <c r="BE700" s="77"/>
      <c r="BF700" s="77"/>
      <c r="BG700" s="77"/>
      <c r="BH700" s="77"/>
      <c r="BI700" s="77"/>
      <c r="BJ700" s="77"/>
      <c r="BK700" s="77"/>
      <c r="BL700" s="77"/>
      <c r="BM700" s="78"/>
    </row>
    <row r="701">
      <c r="A701" s="41">
        <v>2.7142857142857144</v>
      </c>
      <c r="B701" s="41" t="b">
        <v>0</v>
      </c>
      <c r="C701" s="41" t="b">
        <f t="shared" si="3"/>
        <v>0</v>
      </c>
      <c r="D701" s="42" t="s">
        <v>1565</v>
      </c>
      <c r="E701" s="43" t="s">
        <v>1323</v>
      </c>
      <c r="F701" s="44" t="s">
        <v>1444</v>
      </c>
      <c r="G701" s="29" t="s">
        <v>284</v>
      </c>
      <c r="H701" s="32">
        <v>-12.726196015479482</v>
      </c>
      <c r="I701" s="32">
        <v>-7.688129995296397</v>
      </c>
      <c r="J701" s="45" t="s">
        <v>2371</v>
      </c>
      <c r="K701" s="29">
        <v>26.7</v>
      </c>
      <c r="L701" s="41">
        <v>73.4</v>
      </c>
      <c r="M701" s="46">
        <v>33.0</v>
      </c>
      <c r="N701" s="46">
        <v>6.0</v>
      </c>
      <c r="O701" s="47">
        <v>-1.791791958095514</v>
      </c>
      <c r="P701" s="47">
        <v>-1.9129615750626032</v>
      </c>
      <c r="Q701" s="47">
        <v>-2.442050905208225</v>
      </c>
      <c r="R701" s="47">
        <v>-1.5576269293481866</v>
      </c>
      <c r="S701" s="47">
        <v>-1.5845933567411155</v>
      </c>
      <c r="T701" s="47">
        <v>-0.16952108464970286</v>
      </c>
      <c r="U701" s="47">
        <v>-2.3379840471153988</v>
      </c>
      <c r="V701" s="47">
        <v>0.0</v>
      </c>
      <c r="W701" s="47">
        <v>0.5977029237090209</v>
      </c>
      <c r="X701" s="47">
        <v>-1.527369082967758</v>
      </c>
      <c r="Y701" s="50" t="s">
        <v>69</v>
      </c>
      <c r="Z701" s="50" t="s">
        <v>69</v>
      </c>
      <c r="AA701" s="50" t="s">
        <v>69</v>
      </c>
      <c r="AB701" s="50" t="s">
        <v>69</v>
      </c>
      <c r="AC701" s="34" t="str">
        <f t="shared" ref="AC701:AP701" si="701">LET(
  skater, IFERROR(INDEX(AllProj, MATCH($E701, AllProjNames, 0), MATCH(AC$2, AllProjCats, 0) + 1), ""),
  goalie, IFERROR(INDEX(AllGProj, MATCH($E701, AllGProjNames, 0), MATCH(AC$2, AllGProjCats, 0) + 1), ""),
  val, IF(skater &lt;&gt; "", skater, goalie),
  IF(OR($E701="", AC$2="", val=""), "", val * AC$1)
)</f>
        <v/>
      </c>
      <c r="AD701" s="34" t="str">
        <f t="shared" si="701"/>
        <v/>
      </c>
      <c r="AE701" s="34" t="str">
        <f t="shared" si="701"/>
        <v/>
      </c>
      <c r="AF701" s="34" t="str">
        <f t="shared" si="701"/>
        <v/>
      </c>
      <c r="AG701" s="34" t="str">
        <f t="shared" si="701"/>
        <v/>
      </c>
      <c r="AH701" s="34" t="str">
        <f t="shared" si="701"/>
        <v/>
      </c>
      <c r="AI701" s="34" t="str">
        <f t="shared" si="701"/>
        <v/>
      </c>
      <c r="AJ701" s="34" t="str">
        <f t="shared" si="701"/>
        <v/>
      </c>
      <c r="AK701" s="34" t="str">
        <f t="shared" si="701"/>
        <v/>
      </c>
      <c r="AL701" s="34" t="str">
        <f t="shared" si="701"/>
        <v/>
      </c>
      <c r="AM701" s="34" t="str">
        <f t="shared" si="701"/>
        <v/>
      </c>
      <c r="AN701" s="34" t="str">
        <f t="shared" si="701"/>
        <v/>
      </c>
      <c r="AO701" s="34" t="str">
        <f t="shared" si="701"/>
        <v/>
      </c>
      <c r="AP701" s="34" t="str">
        <f t="shared" si="701"/>
        <v/>
      </c>
      <c r="AQ701" s="76" t="s">
        <v>741</v>
      </c>
      <c r="AR701" s="77"/>
      <c r="AS701" s="77"/>
      <c r="AT701" s="77"/>
      <c r="AU701" s="77"/>
      <c r="AV701" s="77"/>
      <c r="AW701" s="77"/>
      <c r="AX701" s="77"/>
      <c r="AY701" s="77"/>
      <c r="AZ701" s="77"/>
      <c r="BA701" s="77"/>
      <c r="BB701" s="77"/>
      <c r="BC701" s="77"/>
      <c r="BD701" s="77"/>
      <c r="BE701" s="77"/>
      <c r="BF701" s="77"/>
      <c r="BG701" s="77"/>
      <c r="BH701" s="77"/>
      <c r="BI701" s="77"/>
      <c r="BJ701" s="77"/>
      <c r="BK701" s="77"/>
      <c r="BL701" s="77"/>
      <c r="BM701" s="78"/>
    </row>
    <row r="702">
      <c r="A702" s="79">
        <v>2.642857142857143</v>
      </c>
      <c r="B702" s="79" t="b">
        <v>0</v>
      </c>
      <c r="C702" s="79" t="b">
        <f t="shared" si="3"/>
        <v>0</v>
      </c>
      <c r="D702" s="80" t="s">
        <v>1565</v>
      </c>
      <c r="E702" s="81" t="s">
        <v>1269</v>
      </c>
      <c r="F702" s="82" t="s">
        <v>1594</v>
      </c>
      <c r="G702" s="35" t="s">
        <v>837</v>
      </c>
      <c r="H702" s="37">
        <v>-12.746426693311857</v>
      </c>
      <c r="I702" s="37">
        <v>-7.216567921382956</v>
      </c>
      <c r="J702" s="83" t="s">
        <v>2372</v>
      </c>
      <c r="K702" s="35">
        <v>27.8</v>
      </c>
      <c r="L702" s="79">
        <v>62.714285714285715</v>
      </c>
      <c r="M702" s="84">
        <v>26.0</v>
      </c>
      <c r="N702" s="84">
        <v>6.0</v>
      </c>
      <c r="O702" s="85">
        <v>-2.2941038783695777</v>
      </c>
      <c r="P702" s="85">
        <v>-2.026639492176313</v>
      </c>
      <c r="Q702" s="85">
        <v>-1.5148569182183127</v>
      </c>
      <c r="R702" s="85">
        <v>-1.992823781312921</v>
      </c>
      <c r="S702" s="85">
        <v>-1.6219313129197699</v>
      </c>
      <c r="T702" s="85">
        <v>-0.7871777123417198</v>
      </c>
      <c r="U702" s="85">
        <v>-2.341270078737072</v>
      </c>
      <c r="V702" s="85">
        <v>0.0</v>
      </c>
      <c r="W702" s="85">
        <v>-0.13789233972407997</v>
      </c>
      <c r="X702" s="85">
        <v>-0.029731179512089784</v>
      </c>
      <c r="Y702" s="50" t="s">
        <v>69</v>
      </c>
      <c r="Z702" s="50" t="s">
        <v>69</v>
      </c>
      <c r="AA702" s="50" t="s">
        <v>69</v>
      </c>
      <c r="AB702" s="50" t="s">
        <v>69</v>
      </c>
      <c r="AC702" s="34" t="str">
        <f t="shared" ref="AC702:AP702" si="702">LET(
  skater, IFERROR(INDEX(AllProj, MATCH($E702, AllProjNames, 0), MATCH(AC$2, AllProjCats, 0) + 1), ""),
  goalie, IFERROR(INDEX(AllGProj, MATCH($E702, AllGProjNames, 0), MATCH(AC$2, AllGProjCats, 0) + 1), ""),
  val, IF(skater &lt;&gt; "", skater, goalie),
  IF(OR($E702="", AC$2="", val=""), "", val * AC$1)
)</f>
        <v/>
      </c>
      <c r="AD702" s="34" t="str">
        <f t="shared" si="702"/>
        <v/>
      </c>
      <c r="AE702" s="34" t="str">
        <f t="shared" si="702"/>
        <v/>
      </c>
      <c r="AF702" s="34" t="str">
        <f t="shared" si="702"/>
        <v/>
      </c>
      <c r="AG702" s="34" t="str">
        <f t="shared" si="702"/>
        <v/>
      </c>
      <c r="AH702" s="34" t="str">
        <f t="shared" si="702"/>
        <v/>
      </c>
      <c r="AI702" s="34" t="str">
        <f t="shared" si="702"/>
        <v/>
      </c>
      <c r="AJ702" s="34" t="str">
        <f t="shared" si="702"/>
        <v/>
      </c>
      <c r="AK702" s="34" t="str">
        <f t="shared" si="702"/>
        <v/>
      </c>
      <c r="AL702" s="34" t="str">
        <f t="shared" si="702"/>
        <v/>
      </c>
      <c r="AM702" s="34" t="str">
        <f t="shared" si="702"/>
        <v/>
      </c>
      <c r="AN702" s="34" t="str">
        <f t="shared" si="702"/>
        <v/>
      </c>
      <c r="AO702" s="34" t="str">
        <f t="shared" si="702"/>
        <v/>
      </c>
      <c r="AP702" s="34" t="str">
        <f t="shared" si="702"/>
        <v/>
      </c>
      <c r="AQ702" s="76" t="s">
        <v>742</v>
      </c>
      <c r="AR702" s="77"/>
      <c r="AS702" s="77"/>
      <c r="AT702" s="77"/>
      <c r="AU702" s="77"/>
      <c r="AV702" s="77"/>
      <c r="AW702" s="77"/>
      <c r="AX702" s="77"/>
      <c r="AY702" s="77"/>
      <c r="AZ702" s="77"/>
      <c r="BA702" s="77"/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8"/>
    </row>
    <row r="703">
      <c r="A703" s="41">
        <v>2.642857142857143</v>
      </c>
      <c r="B703" s="41" t="b">
        <v>0</v>
      </c>
      <c r="C703" s="41" t="b">
        <f t="shared" si="3"/>
        <v>0</v>
      </c>
      <c r="D703" s="42" t="s">
        <v>1565</v>
      </c>
      <c r="E703" s="43" t="s">
        <v>1170</v>
      </c>
      <c r="F703" s="44" t="s">
        <v>1779</v>
      </c>
      <c r="G703" s="29" t="s">
        <v>832</v>
      </c>
      <c r="H703" s="32">
        <v>-12.768656717857224</v>
      </c>
      <c r="I703" s="32">
        <v>-7.326519109129367</v>
      </c>
      <c r="J703" s="45" t="s">
        <v>2373</v>
      </c>
      <c r="K703" s="29">
        <v>22.1</v>
      </c>
      <c r="L703" s="41">
        <v>74.85160714285713</v>
      </c>
      <c r="M703" s="46">
        <v>27.0</v>
      </c>
      <c r="N703" s="46">
        <v>6.0</v>
      </c>
      <c r="O703" s="47">
        <v>-0.6749353653752234</v>
      </c>
      <c r="P703" s="47">
        <v>-1.4900963039403738</v>
      </c>
      <c r="Q703" s="47">
        <v>-2.6626940251599485</v>
      </c>
      <c r="R703" s="47">
        <v>-1.9930307074105509</v>
      </c>
      <c r="S703" s="47">
        <v>-0.7462325562668635</v>
      </c>
      <c r="T703" s="47">
        <v>-0.7871777123417198</v>
      </c>
      <c r="U703" s="47">
        <v>-1.2688936841339689</v>
      </c>
      <c r="V703" s="47">
        <v>0.0</v>
      </c>
      <c r="W703" s="47">
        <v>-1.3088027244387646</v>
      </c>
      <c r="X703" s="47">
        <v>-1.836793638789811</v>
      </c>
      <c r="Y703" s="50" t="s">
        <v>69</v>
      </c>
      <c r="Z703" s="50" t="s">
        <v>69</v>
      </c>
      <c r="AA703" s="50" t="s">
        <v>69</v>
      </c>
      <c r="AB703" s="50" t="s">
        <v>69</v>
      </c>
      <c r="AC703" s="34" t="str">
        <f t="shared" ref="AC703:AP703" si="703">LET(
  skater, IFERROR(INDEX(AllProj, MATCH($E703, AllProjNames, 0), MATCH(AC$2, AllProjCats, 0) + 1), ""),
  goalie, IFERROR(INDEX(AllGProj, MATCH($E703, AllGProjNames, 0), MATCH(AC$2, AllGProjCats, 0) + 1), ""),
  val, IF(skater &lt;&gt; "", skater, goalie),
  IF(OR($E703="", AC$2="", val=""), "", val * AC$1)
)</f>
        <v/>
      </c>
      <c r="AD703" s="34" t="str">
        <f t="shared" si="703"/>
        <v/>
      </c>
      <c r="AE703" s="34" t="str">
        <f t="shared" si="703"/>
        <v/>
      </c>
      <c r="AF703" s="34" t="str">
        <f t="shared" si="703"/>
        <v/>
      </c>
      <c r="AG703" s="34" t="str">
        <f t="shared" si="703"/>
        <v/>
      </c>
      <c r="AH703" s="34" t="str">
        <f t="shared" si="703"/>
        <v/>
      </c>
      <c r="AI703" s="34" t="str">
        <f t="shared" si="703"/>
        <v/>
      </c>
      <c r="AJ703" s="34" t="str">
        <f t="shared" si="703"/>
        <v/>
      </c>
      <c r="AK703" s="34" t="str">
        <f t="shared" si="703"/>
        <v/>
      </c>
      <c r="AL703" s="34" t="str">
        <f t="shared" si="703"/>
        <v/>
      </c>
      <c r="AM703" s="34" t="str">
        <f t="shared" si="703"/>
        <v/>
      </c>
      <c r="AN703" s="34" t="str">
        <f t="shared" si="703"/>
        <v/>
      </c>
      <c r="AO703" s="34" t="str">
        <f t="shared" si="703"/>
        <v/>
      </c>
      <c r="AP703" s="34" t="str">
        <f t="shared" si="703"/>
        <v/>
      </c>
      <c r="AQ703" s="76" t="s">
        <v>743</v>
      </c>
      <c r="AR703" s="77"/>
      <c r="AS703" s="77"/>
      <c r="AT703" s="77"/>
      <c r="AU703" s="77"/>
      <c r="AV703" s="77"/>
      <c r="AW703" s="77"/>
      <c r="AX703" s="77"/>
      <c r="AY703" s="77"/>
      <c r="AZ703" s="77"/>
      <c r="BA703" s="77"/>
      <c r="BB703" s="77"/>
      <c r="BC703" s="77"/>
      <c r="BD703" s="77"/>
      <c r="BE703" s="77"/>
      <c r="BF703" s="77"/>
      <c r="BG703" s="77"/>
      <c r="BH703" s="77"/>
      <c r="BI703" s="77"/>
      <c r="BJ703" s="77"/>
      <c r="BK703" s="77"/>
      <c r="BL703" s="77"/>
      <c r="BM703" s="78"/>
    </row>
    <row r="704">
      <c r="A704" s="79">
        <v>2.642857142857143</v>
      </c>
      <c r="B704" s="79" t="b">
        <v>0</v>
      </c>
      <c r="C704" s="79" t="b">
        <f t="shared" si="3"/>
        <v>0</v>
      </c>
      <c r="D704" s="80" t="s">
        <v>1565</v>
      </c>
      <c r="E704" s="81" t="s">
        <v>1300</v>
      </c>
      <c r="F704" s="82" t="s">
        <v>1419</v>
      </c>
      <c r="G704" s="35" t="s">
        <v>835</v>
      </c>
      <c r="H704" s="37">
        <v>-12.803652546124132</v>
      </c>
      <c r="I704" s="37">
        <v>-7.415772421211393</v>
      </c>
      <c r="J704" s="83" t="s">
        <v>2374</v>
      </c>
      <c r="K704" s="35">
        <v>35.6</v>
      </c>
      <c r="L704" s="79">
        <v>56.8</v>
      </c>
      <c r="M704" s="84">
        <v>23.0</v>
      </c>
      <c r="N704" s="84">
        <v>7.0</v>
      </c>
      <c r="O704" s="85">
        <v>-2.214337607768117</v>
      </c>
      <c r="P704" s="85">
        <v>-2.299466493249217</v>
      </c>
      <c r="Q704" s="85">
        <v>-0.9603200702238757</v>
      </c>
      <c r="R704" s="85">
        <v>-0.5255886804032445</v>
      </c>
      <c r="S704" s="85">
        <v>-1.72461069241107</v>
      </c>
      <c r="T704" s="85">
        <v>-0.7871777123417198</v>
      </c>
      <c r="U704" s="85">
        <v>-2.8909574484105702</v>
      </c>
      <c r="V704" s="85">
        <v>0.0</v>
      </c>
      <c r="W704" s="85">
        <v>0.8157351396454156</v>
      </c>
      <c r="X704" s="85">
        <v>-2.2169289809617343</v>
      </c>
      <c r="Y704" s="50" t="s">
        <v>69</v>
      </c>
      <c r="Z704" s="50" t="s">
        <v>69</v>
      </c>
      <c r="AA704" s="50" t="s">
        <v>69</v>
      </c>
      <c r="AB704" s="50" t="s">
        <v>69</v>
      </c>
      <c r="AC704" s="34" t="str">
        <f t="shared" ref="AC704:AP704" si="704">LET(
  skater, IFERROR(INDEX(AllProj, MATCH($E704, AllProjNames, 0), MATCH(AC$2, AllProjCats, 0) + 1), ""),
  goalie, IFERROR(INDEX(AllGProj, MATCH($E704, AllGProjNames, 0), MATCH(AC$2, AllGProjCats, 0) + 1), ""),
  val, IF(skater &lt;&gt; "", skater, goalie),
  IF(OR($E704="", AC$2="", val=""), "", val * AC$1)
)</f>
        <v/>
      </c>
      <c r="AD704" s="34" t="str">
        <f t="shared" si="704"/>
        <v/>
      </c>
      <c r="AE704" s="34" t="str">
        <f t="shared" si="704"/>
        <v/>
      </c>
      <c r="AF704" s="34" t="str">
        <f t="shared" si="704"/>
        <v/>
      </c>
      <c r="AG704" s="34" t="str">
        <f t="shared" si="704"/>
        <v/>
      </c>
      <c r="AH704" s="34" t="str">
        <f t="shared" si="704"/>
        <v/>
      </c>
      <c r="AI704" s="34" t="str">
        <f t="shared" si="704"/>
        <v/>
      </c>
      <c r="AJ704" s="34" t="str">
        <f t="shared" si="704"/>
        <v/>
      </c>
      <c r="AK704" s="34" t="str">
        <f t="shared" si="704"/>
        <v/>
      </c>
      <c r="AL704" s="34" t="str">
        <f t="shared" si="704"/>
        <v/>
      </c>
      <c r="AM704" s="34" t="str">
        <f t="shared" si="704"/>
        <v/>
      </c>
      <c r="AN704" s="34" t="str">
        <f t="shared" si="704"/>
        <v/>
      </c>
      <c r="AO704" s="34" t="str">
        <f t="shared" si="704"/>
        <v/>
      </c>
      <c r="AP704" s="34" t="str">
        <f t="shared" si="704"/>
        <v/>
      </c>
      <c r="AQ704" s="76" t="s">
        <v>744</v>
      </c>
      <c r="AR704" s="77"/>
      <c r="AS704" s="77"/>
      <c r="AT704" s="77"/>
      <c r="AU704" s="77"/>
      <c r="AV704" s="77"/>
      <c r="AW704" s="77"/>
      <c r="AX704" s="77"/>
      <c r="AY704" s="77"/>
      <c r="AZ704" s="77"/>
      <c r="BA704" s="77"/>
      <c r="BB704" s="77"/>
      <c r="BC704" s="77"/>
      <c r="BD704" s="77"/>
      <c r="BE704" s="77"/>
      <c r="BF704" s="77"/>
      <c r="BG704" s="77"/>
      <c r="BH704" s="77"/>
      <c r="BI704" s="77"/>
      <c r="BJ704" s="77"/>
      <c r="BK704" s="77"/>
      <c r="BL704" s="77"/>
      <c r="BM704" s="78"/>
    </row>
    <row r="705">
      <c r="A705" s="41">
        <v>2.642857142857143</v>
      </c>
      <c r="B705" s="41" t="b">
        <v>0</v>
      </c>
      <c r="C705" s="41" t="b">
        <f t="shared" si="3"/>
        <v>0</v>
      </c>
      <c r="D705" s="42" t="s">
        <v>1565</v>
      </c>
      <c r="E705" s="43" t="s">
        <v>1271</v>
      </c>
      <c r="F705" s="44" t="s">
        <v>1416</v>
      </c>
      <c r="G705" s="29" t="s">
        <v>837</v>
      </c>
      <c r="H705" s="32">
        <v>-12.878161671335086</v>
      </c>
      <c r="I705" s="32">
        <v>-7.3483028994061845</v>
      </c>
      <c r="J705" s="45" t="s">
        <v>2375</v>
      </c>
      <c r="K705" s="29">
        <v>25.0</v>
      </c>
      <c r="L705" s="41">
        <v>57.2</v>
      </c>
      <c r="M705" s="46">
        <v>29.0</v>
      </c>
      <c r="N705" s="46">
        <v>7.0</v>
      </c>
      <c r="O705" s="47">
        <v>-2.4004589058381924</v>
      </c>
      <c r="P705" s="47">
        <v>-1.8480027652833402</v>
      </c>
      <c r="Q705" s="47">
        <v>-0.811298551703707</v>
      </c>
      <c r="R705" s="47">
        <v>-0.28933896076524585</v>
      </c>
      <c r="S705" s="47">
        <v>-1.7059417143217428</v>
      </c>
      <c r="T705" s="47">
        <v>-0.7871777123417198</v>
      </c>
      <c r="U705" s="47">
        <v>-3.0114890882935446</v>
      </c>
      <c r="V705" s="47">
        <v>0.0</v>
      </c>
      <c r="W705" s="47">
        <v>-0.5318023152396719</v>
      </c>
      <c r="X705" s="47">
        <v>-1.4926516575479223</v>
      </c>
      <c r="Y705" s="50" t="s">
        <v>69</v>
      </c>
      <c r="Z705" s="50" t="s">
        <v>69</v>
      </c>
      <c r="AA705" s="50" t="s">
        <v>69</v>
      </c>
      <c r="AB705" s="50" t="s">
        <v>69</v>
      </c>
      <c r="AC705" s="34" t="str">
        <f t="shared" ref="AC705:AP705" si="705">LET(
  skater, IFERROR(INDEX(AllProj, MATCH($E705, AllProjNames, 0), MATCH(AC$2, AllProjCats, 0) + 1), ""),
  goalie, IFERROR(INDEX(AllGProj, MATCH($E705, AllGProjNames, 0), MATCH(AC$2, AllGProjCats, 0) + 1), ""),
  val, IF(skater &lt;&gt; "", skater, goalie),
  IF(OR($E705="", AC$2="", val=""), "", val * AC$1)
)</f>
        <v/>
      </c>
      <c r="AD705" s="34" t="str">
        <f t="shared" si="705"/>
        <v/>
      </c>
      <c r="AE705" s="34" t="str">
        <f t="shared" si="705"/>
        <v/>
      </c>
      <c r="AF705" s="34" t="str">
        <f t="shared" si="705"/>
        <v/>
      </c>
      <c r="AG705" s="34" t="str">
        <f t="shared" si="705"/>
        <v/>
      </c>
      <c r="AH705" s="34" t="str">
        <f t="shared" si="705"/>
        <v/>
      </c>
      <c r="AI705" s="34" t="str">
        <f t="shared" si="705"/>
        <v/>
      </c>
      <c r="AJ705" s="34" t="str">
        <f t="shared" si="705"/>
        <v/>
      </c>
      <c r="AK705" s="34" t="str">
        <f t="shared" si="705"/>
        <v/>
      </c>
      <c r="AL705" s="34" t="str">
        <f t="shared" si="705"/>
        <v/>
      </c>
      <c r="AM705" s="34" t="str">
        <f t="shared" si="705"/>
        <v/>
      </c>
      <c r="AN705" s="34" t="str">
        <f t="shared" si="705"/>
        <v/>
      </c>
      <c r="AO705" s="34" t="str">
        <f t="shared" si="705"/>
        <v/>
      </c>
      <c r="AP705" s="34" t="str">
        <f t="shared" si="705"/>
        <v/>
      </c>
      <c r="AQ705" s="76" t="s">
        <v>745</v>
      </c>
      <c r="AR705" s="77"/>
      <c r="AS705" s="77"/>
      <c r="AT705" s="77"/>
      <c r="AU705" s="77"/>
      <c r="AV705" s="77"/>
      <c r="AW705" s="77"/>
      <c r="AX705" s="77"/>
      <c r="AY705" s="77"/>
      <c r="AZ705" s="77"/>
      <c r="BA705" s="77"/>
      <c r="BB705" s="77"/>
      <c r="BC705" s="77"/>
      <c r="BD705" s="77"/>
      <c r="BE705" s="77"/>
      <c r="BF705" s="77"/>
      <c r="BG705" s="77"/>
      <c r="BH705" s="77"/>
      <c r="BI705" s="77"/>
      <c r="BJ705" s="77"/>
      <c r="BK705" s="77"/>
      <c r="BL705" s="77"/>
      <c r="BM705" s="78"/>
    </row>
    <row r="706">
      <c r="A706" s="79">
        <v>2.7142857142857144</v>
      </c>
      <c r="B706" s="79" t="b">
        <v>0</v>
      </c>
      <c r="C706" s="79" t="b">
        <f t="shared" si="3"/>
        <v>0</v>
      </c>
      <c r="D706" s="80" t="s">
        <v>1565</v>
      </c>
      <c r="E706" s="81" t="s">
        <v>1353</v>
      </c>
      <c r="F706" s="82" t="s">
        <v>1594</v>
      </c>
      <c r="G706" s="35" t="s">
        <v>284</v>
      </c>
      <c r="H706" s="37">
        <v>-12.888429628533522</v>
      </c>
      <c r="I706" s="37">
        <v>-7.850363608350437</v>
      </c>
      <c r="J706" s="83" t="s">
        <v>2376</v>
      </c>
      <c r="K706" s="35">
        <v>20.7</v>
      </c>
      <c r="L706" s="79">
        <v>78.72642857142857</v>
      </c>
      <c r="M706" s="84">
        <v>26.0</v>
      </c>
      <c r="N706" s="84">
        <v>6.0</v>
      </c>
      <c r="O706" s="85">
        <v>-1.1031526700161334</v>
      </c>
      <c r="P706" s="85">
        <v>-1.3423944618113124</v>
      </c>
      <c r="Q706" s="85">
        <v>-2.614691914865786</v>
      </c>
      <c r="R706" s="85">
        <v>-0.750909520057505</v>
      </c>
      <c r="S706" s="85">
        <v>-1.1187596361174872</v>
      </c>
      <c r="T706" s="85">
        <v>-0.7871777123417198</v>
      </c>
      <c r="U706" s="85">
        <v>-1.304832897838332</v>
      </c>
      <c r="V706" s="85">
        <v>0.0</v>
      </c>
      <c r="W706" s="85">
        <v>-2.2967707652645424</v>
      </c>
      <c r="X706" s="85">
        <v>-1.5697400502207048</v>
      </c>
      <c r="Y706" s="50" t="s">
        <v>69</v>
      </c>
      <c r="Z706" s="50" t="s">
        <v>69</v>
      </c>
      <c r="AA706" s="50" t="s">
        <v>69</v>
      </c>
      <c r="AB706" s="50" t="s">
        <v>69</v>
      </c>
      <c r="AC706" s="34" t="str">
        <f t="shared" ref="AC706:AP706" si="706">LET(
  skater, IFERROR(INDEX(AllProj, MATCH($E706, AllProjNames, 0), MATCH(AC$2, AllProjCats, 0) + 1), ""),
  goalie, IFERROR(INDEX(AllGProj, MATCH($E706, AllGProjNames, 0), MATCH(AC$2, AllGProjCats, 0) + 1), ""),
  val, IF(skater &lt;&gt; "", skater, goalie),
  IF(OR($E706="", AC$2="", val=""), "", val * AC$1)
)</f>
        <v/>
      </c>
      <c r="AD706" s="34" t="str">
        <f t="shared" si="706"/>
        <v/>
      </c>
      <c r="AE706" s="34" t="str">
        <f t="shared" si="706"/>
        <v/>
      </c>
      <c r="AF706" s="34" t="str">
        <f t="shared" si="706"/>
        <v/>
      </c>
      <c r="AG706" s="34" t="str">
        <f t="shared" si="706"/>
        <v/>
      </c>
      <c r="AH706" s="34" t="str">
        <f t="shared" si="706"/>
        <v/>
      </c>
      <c r="AI706" s="34" t="str">
        <f t="shared" si="706"/>
        <v/>
      </c>
      <c r="AJ706" s="34" t="str">
        <f t="shared" si="706"/>
        <v/>
      </c>
      <c r="AK706" s="34" t="str">
        <f t="shared" si="706"/>
        <v/>
      </c>
      <c r="AL706" s="34" t="str">
        <f t="shared" si="706"/>
        <v/>
      </c>
      <c r="AM706" s="34" t="str">
        <f t="shared" si="706"/>
        <v/>
      </c>
      <c r="AN706" s="34" t="str">
        <f t="shared" si="706"/>
        <v/>
      </c>
      <c r="AO706" s="34" t="str">
        <f t="shared" si="706"/>
        <v/>
      </c>
      <c r="AP706" s="34" t="str">
        <f t="shared" si="706"/>
        <v/>
      </c>
      <c r="AQ706" s="76" t="s">
        <v>746</v>
      </c>
      <c r="AR706" s="77"/>
      <c r="AS706" s="77"/>
      <c r="AT706" s="77"/>
      <c r="AU706" s="77"/>
      <c r="AV706" s="77"/>
      <c r="AW706" s="77"/>
      <c r="AX706" s="77"/>
      <c r="AY706" s="77"/>
      <c r="AZ706" s="77"/>
      <c r="BA706" s="77"/>
      <c r="BB706" s="77"/>
      <c r="BC706" s="77"/>
      <c r="BD706" s="77"/>
      <c r="BE706" s="77"/>
      <c r="BF706" s="77"/>
      <c r="BG706" s="77"/>
      <c r="BH706" s="77"/>
      <c r="BI706" s="77"/>
      <c r="BJ706" s="77"/>
      <c r="BK706" s="77"/>
      <c r="BL706" s="77"/>
      <c r="BM706" s="78"/>
    </row>
    <row r="707">
      <c r="A707" s="41">
        <v>3.4285714285714284</v>
      </c>
      <c r="B707" s="41" t="b">
        <v>0</v>
      </c>
      <c r="C707" s="41" t="b">
        <f t="shared" si="3"/>
        <v>0</v>
      </c>
      <c r="D707" s="42" t="s">
        <v>1565</v>
      </c>
      <c r="E707" s="43" t="s">
        <v>1399</v>
      </c>
      <c r="F707" s="44" t="s">
        <v>1706</v>
      </c>
      <c r="G707" s="29" t="s">
        <v>6</v>
      </c>
      <c r="H707" s="32">
        <v>-12.892351096310822</v>
      </c>
      <c r="I707" s="32">
        <v>-8.554128117840708</v>
      </c>
      <c r="J707" s="45" t="s">
        <v>2377</v>
      </c>
      <c r="K707" s="29">
        <v>27.1</v>
      </c>
      <c r="L707" s="41">
        <v>28.6</v>
      </c>
      <c r="M707" s="46">
        <v>31.0</v>
      </c>
      <c r="N707" s="46">
        <v>7.0</v>
      </c>
      <c r="O707" s="94" t="s">
        <v>69</v>
      </c>
      <c r="P707" s="94" t="s">
        <v>69</v>
      </c>
      <c r="Q707" s="94" t="s">
        <v>69</v>
      </c>
      <c r="R707" s="94" t="s">
        <v>69</v>
      </c>
      <c r="S707" s="94" t="s">
        <v>69</v>
      </c>
      <c r="T707" s="94" t="s">
        <v>69</v>
      </c>
      <c r="U707" s="94" t="s">
        <v>69</v>
      </c>
      <c r="V707" s="94" t="s">
        <v>69</v>
      </c>
      <c r="W707" s="94" t="s">
        <v>69</v>
      </c>
      <c r="X707" s="94" t="s">
        <v>69</v>
      </c>
      <c r="Y707" s="95">
        <v>-2.6870361911314955</v>
      </c>
      <c r="Z707" s="95">
        <v>-6.210623943247072</v>
      </c>
      <c r="AA707" s="95">
        <v>-3.9946909619322546</v>
      </c>
      <c r="AB707" s="95">
        <v>0.0</v>
      </c>
      <c r="AC707" s="34" t="str">
        <f t="shared" ref="AC707:AP707" si="707">LET(
  skater, IFERROR(INDEX(AllProj, MATCH($E707, AllProjNames, 0), MATCH(AC$2, AllProjCats, 0) + 1), ""),
  goalie, IFERROR(INDEX(AllGProj, MATCH($E707, AllGProjNames, 0), MATCH(AC$2, AllGProjCats, 0) + 1), ""),
  val, IF(skater &lt;&gt; "", skater, goalie),
  IF(OR($E707="", AC$2="", val=""), "", val * AC$1)
)</f>
        <v/>
      </c>
      <c r="AD707" s="34" t="str">
        <f t="shared" si="707"/>
        <v/>
      </c>
      <c r="AE707" s="34" t="str">
        <f t="shared" si="707"/>
        <v/>
      </c>
      <c r="AF707" s="34" t="str">
        <f t="shared" si="707"/>
        <v/>
      </c>
      <c r="AG707" s="34" t="str">
        <f t="shared" si="707"/>
        <v/>
      </c>
      <c r="AH707" s="34" t="str">
        <f t="shared" si="707"/>
        <v/>
      </c>
      <c r="AI707" s="34" t="str">
        <f t="shared" si="707"/>
        <v/>
      </c>
      <c r="AJ707" s="34" t="str">
        <f t="shared" si="707"/>
        <v/>
      </c>
      <c r="AK707" s="34" t="str">
        <f t="shared" si="707"/>
        <v/>
      </c>
      <c r="AL707" s="34" t="str">
        <f t="shared" si="707"/>
        <v/>
      </c>
      <c r="AM707" s="34" t="str">
        <f t="shared" si="707"/>
        <v/>
      </c>
      <c r="AN707" s="34" t="str">
        <f t="shared" si="707"/>
        <v/>
      </c>
      <c r="AO707" s="34" t="str">
        <f t="shared" si="707"/>
        <v/>
      </c>
      <c r="AP707" s="34" t="str">
        <f t="shared" si="707"/>
        <v/>
      </c>
      <c r="AQ707" s="76" t="s">
        <v>747</v>
      </c>
      <c r="AR707" s="77"/>
      <c r="AS707" s="77"/>
      <c r="AT707" s="77"/>
      <c r="AU707" s="77"/>
      <c r="AV707" s="77"/>
      <c r="AW707" s="77"/>
      <c r="AX707" s="77"/>
      <c r="AY707" s="77"/>
      <c r="AZ707" s="77"/>
      <c r="BA707" s="77"/>
      <c r="BB707" s="77"/>
      <c r="BC707" s="77"/>
      <c r="BD707" s="77"/>
      <c r="BE707" s="77"/>
      <c r="BF707" s="77"/>
      <c r="BG707" s="77"/>
      <c r="BH707" s="77"/>
      <c r="BI707" s="77"/>
      <c r="BJ707" s="77"/>
      <c r="BK707" s="77"/>
      <c r="BL707" s="77"/>
      <c r="BM707" s="78"/>
    </row>
    <row r="708">
      <c r="A708" s="79">
        <v>2.642857142857143</v>
      </c>
      <c r="B708" s="79" t="b">
        <v>0</v>
      </c>
      <c r="C708" s="79" t="b">
        <f t="shared" si="3"/>
        <v>0</v>
      </c>
      <c r="D708" s="80" t="s">
        <v>1565</v>
      </c>
      <c r="E708" s="81" t="s">
        <v>1197</v>
      </c>
      <c r="F708" s="82" t="s">
        <v>1594</v>
      </c>
      <c r="G708" s="35" t="s">
        <v>284</v>
      </c>
      <c r="H708" s="37">
        <v>-12.903921412932133</v>
      </c>
      <c r="I708" s="37">
        <v>-7.865855392749048</v>
      </c>
      <c r="J708" s="83" t="s">
        <v>2378</v>
      </c>
      <c r="K708" s="35">
        <v>23.0</v>
      </c>
      <c r="L708" s="79">
        <v>71.85714285714286</v>
      </c>
      <c r="M708" s="84">
        <v>26.0</v>
      </c>
      <c r="N708" s="84">
        <v>6.0</v>
      </c>
      <c r="O708" s="85">
        <v>-1.6868741607278266</v>
      </c>
      <c r="P708" s="85">
        <v>-1.5997673136268715</v>
      </c>
      <c r="Q708" s="85">
        <v>-1.519036042308478</v>
      </c>
      <c r="R708" s="85">
        <v>-1.8418371183863806</v>
      </c>
      <c r="S708" s="85">
        <v>-1.7199434478887383</v>
      </c>
      <c r="T708" s="85">
        <v>-0.16952108464970286</v>
      </c>
      <c r="U708" s="85">
        <v>-1.7655573386199217</v>
      </c>
      <c r="V708" s="85">
        <v>0.0</v>
      </c>
      <c r="W708" s="85">
        <v>-0.9657590242946018</v>
      </c>
      <c r="X708" s="85">
        <v>-1.63562588242961</v>
      </c>
      <c r="Y708" s="50" t="s">
        <v>69</v>
      </c>
      <c r="Z708" s="50" t="s">
        <v>69</v>
      </c>
      <c r="AA708" s="50" t="s">
        <v>69</v>
      </c>
      <c r="AB708" s="50" t="s">
        <v>69</v>
      </c>
      <c r="AC708" s="34" t="str">
        <f t="shared" ref="AC708:AP708" si="708">LET(
  skater, IFERROR(INDEX(AllProj, MATCH($E708, AllProjNames, 0), MATCH(AC$2, AllProjCats, 0) + 1), ""),
  goalie, IFERROR(INDEX(AllGProj, MATCH($E708, AllGProjNames, 0), MATCH(AC$2, AllGProjCats, 0) + 1), ""),
  val, IF(skater &lt;&gt; "", skater, goalie),
  IF(OR($E708="", AC$2="", val=""), "", val * AC$1)
)</f>
        <v/>
      </c>
      <c r="AD708" s="34" t="str">
        <f t="shared" si="708"/>
        <v/>
      </c>
      <c r="AE708" s="34" t="str">
        <f t="shared" si="708"/>
        <v/>
      </c>
      <c r="AF708" s="34" t="str">
        <f t="shared" si="708"/>
        <v/>
      </c>
      <c r="AG708" s="34" t="str">
        <f t="shared" si="708"/>
        <v/>
      </c>
      <c r="AH708" s="34" t="str">
        <f t="shared" si="708"/>
        <v/>
      </c>
      <c r="AI708" s="34" t="str">
        <f t="shared" si="708"/>
        <v/>
      </c>
      <c r="AJ708" s="34" t="str">
        <f t="shared" si="708"/>
        <v/>
      </c>
      <c r="AK708" s="34" t="str">
        <f t="shared" si="708"/>
        <v/>
      </c>
      <c r="AL708" s="34" t="str">
        <f t="shared" si="708"/>
        <v/>
      </c>
      <c r="AM708" s="34" t="str">
        <f t="shared" si="708"/>
        <v/>
      </c>
      <c r="AN708" s="34" t="str">
        <f t="shared" si="708"/>
        <v/>
      </c>
      <c r="AO708" s="34" t="str">
        <f t="shared" si="708"/>
        <v/>
      </c>
      <c r="AP708" s="34" t="str">
        <f t="shared" si="708"/>
        <v/>
      </c>
      <c r="AQ708" s="76" t="s">
        <v>748</v>
      </c>
      <c r="AR708" s="77"/>
      <c r="AS708" s="77"/>
      <c r="AT708" s="77"/>
      <c r="AU708" s="77"/>
      <c r="AV708" s="77"/>
      <c r="AW708" s="77"/>
      <c r="AX708" s="77"/>
      <c r="AY708" s="77"/>
      <c r="AZ708" s="77"/>
      <c r="BA708" s="77"/>
      <c r="BB708" s="77"/>
      <c r="BC708" s="77"/>
      <c r="BD708" s="77"/>
      <c r="BE708" s="77"/>
      <c r="BF708" s="77"/>
      <c r="BG708" s="77"/>
      <c r="BH708" s="77"/>
      <c r="BI708" s="77"/>
      <c r="BJ708" s="77"/>
      <c r="BK708" s="77"/>
      <c r="BL708" s="77"/>
      <c r="BM708" s="78"/>
    </row>
    <row r="709">
      <c r="A709" s="41">
        <v>2.7142857142857144</v>
      </c>
      <c r="B709" s="41" t="b">
        <v>0</v>
      </c>
      <c r="C709" s="41" t="b">
        <f t="shared" si="3"/>
        <v>0</v>
      </c>
      <c r="D709" s="42" t="s">
        <v>1565</v>
      </c>
      <c r="E709" s="43" t="s">
        <v>1331</v>
      </c>
      <c r="F709" s="44" t="s">
        <v>1594</v>
      </c>
      <c r="G709" s="29" t="s">
        <v>284</v>
      </c>
      <c r="H709" s="32">
        <v>-12.9477477816164</v>
      </c>
      <c r="I709" s="32">
        <v>-7.909681761433315</v>
      </c>
      <c r="J709" s="45" t="s">
        <v>2379</v>
      </c>
      <c r="K709" s="29">
        <v>33.4</v>
      </c>
      <c r="L709" s="41">
        <v>78.57142857142857</v>
      </c>
      <c r="M709" s="46">
        <v>26.0</v>
      </c>
      <c r="N709" s="46">
        <v>6.0</v>
      </c>
      <c r="O709" s="47">
        <v>-1.571895752653649</v>
      </c>
      <c r="P709" s="47">
        <v>-1.4327303741944812</v>
      </c>
      <c r="Q709" s="47">
        <v>-2.2609003427674135</v>
      </c>
      <c r="R709" s="47">
        <v>-2.108284170609687</v>
      </c>
      <c r="S709" s="47">
        <v>-1.379234597758515</v>
      </c>
      <c r="T709" s="47">
        <v>-0.16952108464970286</v>
      </c>
      <c r="U709" s="47">
        <v>-1.79644603586365</v>
      </c>
      <c r="V709" s="47">
        <v>0.6063000087337782</v>
      </c>
      <c r="W709" s="47">
        <v>-1.8510026077957542</v>
      </c>
      <c r="X709" s="47">
        <v>-0.9840328240573252</v>
      </c>
      <c r="Y709" s="50" t="s">
        <v>69</v>
      </c>
      <c r="Z709" s="50" t="s">
        <v>69</v>
      </c>
      <c r="AA709" s="50" t="s">
        <v>69</v>
      </c>
      <c r="AB709" s="50" t="s">
        <v>69</v>
      </c>
      <c r="AC709" s="34" t="str">
        <f t="shared" ref="AC709:AP709" si="709">LET(
  skater, IFERROR(INDEX(AllProj, MATCH($E709, AllProjNames, 0), MATCH(AC$2, AllProjCats, 0) + 1), ""),
  goalie, IFERROR(INDEX(AllGProj, MATCH($E709, AllGProjNames, 0), MATCH(AC$2, AllGProjCats, 0) + 1), ""),
  val, IF(skater &lt;&gt; "", skater, goalie),
  IF(OR($E709="", AC$2="", val=""), "", val * AC$1)
)</f>
        <v/>
      </c>
      <c r="AD709" s="34" t="str">
        <f t="shared" si="709"/>
        <v/>
      </c>
      <c r="AE709" s="34" t="str">
        <f t="shared" si="709"/>
        <v/>
      </c>
      <c r="AF709" s="34" t="str">
        <f t="shared" si="709"/>
        <v/>
      </c>
      <c r="AG709" s="34" t="str">
        <f t="shared" si="709"/>
        <v/>
      </c>
      <c r="AH709" s="34" t="str">
        <f t="shared" si="709"/>
        <v/>
      </c>
      <c r="AI709" s="34" t="str">
        <f t="shared" si="709"/>
        <v/>
      </c>
      <c r="AJ709" s="34" t="str">
        <f t="shared" si="709"/>
        <v/>
      </c>
      <c r="AK709" s="34" t="str">
        <f t="shared" si="709"/>
        <v/>
      </c>
      <c r="AL709" s="34" t="str">
        <f t="shared" si="709"/>
        <v/>
      </c>
      <c r="AM709" s="34" t="str">
        <f t="shared" si="709"/>
        <v/>
      </c>
      <c r="AN709" s="34" t="str">
        <f t="shared" si="709"/>
        <v/>
      </c>
      <c r="AO709" s="34" t="str">
        <f t="shared" si="709"/>
        <v/>
      </c>
      <c r="AP709" s="34" t="str">
        <f t="shared" si="709"/>
        <v/>
      </c>
      <c r="AQ709" s="76" t="s">
        <v>749</v>
      </c>
      <c r="AR709" s="77"/>
      <c r="AS709" s="77"/>
      <c r="AT709" s="77"/>
      <c r="AU709" s="77"/>
      <c r="AV709" s="77"/>
      <c r="AW709" s="77"/>
      <c r="AX709" s="77"/>
      <c r="AY709" s="77"/>
      <c r="AZ709" s="77"/>
      <c r="BA709" s="77"/>
      <c r="BB709" s="77"/>
      <c r="BC709" s="77"/>
      <c r="BD709" s="77"/>
      <c r="BE709" s="77"/>
      <c r="BF709" s="77"/>
      <c r="BG709" s="77"/>
      <c r="BH709" s="77"/>
      <c r="BI709" s="77"/>
      <c r="BJ709" s="77"/>
      <c r="BK709" s="77"/>
      <c r="BL709" s="77"/>
      <c r="BM709" s="78"/>
    </row>
    <row r="710">
      <c r="A710" s="79">
        <v>2.7142857142857144</v>
      </c>
      <c r="B710" s="79" t="b">
        <v>0</v>
      </c>
      <c r="C710" s="79" t="b">
        <f t="shared" si="3"/>
        <v>0</v>
      </c>
      <c r="D710" s="80" t="s">
        <v>1565</v>
      </c>
      <c r="E710" s="81" t="s">
        <v>1336</v>
      </c>
      <c r="F710" s="82" t="s">
        <v>1451</v>
      </c>
      <c r="G710" s="35" t="s">
        <v>837</v>
      </c>
      <c r="H710" s="37">
        <v>-12.950186784961542</v>
      </c>
      <c r="I710" s="37">
        <v>-7.42032801303264</v>
      </c>
      <c r="J710" s="83" t="s">
        <v>2380</v>
      </c>
      <c r="K710" s="35">
        <v>21.5</v>
      </c>
      <c r="L710" s="79">
        <v>78.0</v>
      </c>
      <c r="M710" s="84">
        <v>29.0</v>
      </c>
      <c r="N710" s="84">
        <v>7.0</v>
      </c>
      <c r="O710" s="85">
        <v>-1.7291926025884614</v>
      </c>
      <c r="P710" s="85">
        <v>-1.1533043829217793</v>
      </c>
      <c r="Q710" s="85">
        <v>-2.215345563349524</v>
      </c>
      <c r="R710" s="85">
        <v>-1.4581533631848185</v>
      </c>
      <c r="S710" s="85">
        <v>-0.8144980105563641</v>
      </c>
      <c r="T710" s="85">
        <v>-0.7871777123417198</v>
      </c>
      <c r="U710" s="85">
        <v>-1.8411360659184062</v>
      </c>
      <c r="V710" s="85">
        <v>0.0</v>
      </c>
      <c r="W710" s="85">
        <v>-2.175422783495361</v>
      </c>
      <c r="X710" s="85">
        <v>-0.7759563006051083</v>
      </c>
      <c r="Y710" s="50" t="s">
        <v>69</v>
      </c>
      <c r="Z710" s="50" t="s">
        <v>69</v>
      </c>
      <c r="AA710" s="50" t="s">
        <v>69</v>
      </c>
      <c r="AB710" s="50" t="s">
        <v>69</v>
      </c>
      <c r="AC710" s="34" t="str">
        <f t="shared" ref="AC710:AP710" si="710">LET(
  skater, IFERROR(INDEX(AllProj, MATCH($E710, AllProjNames, 0), MATCH(AC$2, AllProjCats, 0) + 1), ""),
  goalie, IFERROR(INDEX(AllGProj, MATCH($E710, AllGProjNames, 0), MATCH(AC$2, AllGProjCats, 0) + 1), ""),
  val, IF(skater &lt;&gt; "", skater, goalie),
  IF(OR($E710="", AC$2="", val=""), "", val * AC$1)
)</f>
        <v/>
      </c>
      <c r="AD710" s="34" t="str">
        <f t="shared" si="710"/>
        <v/>
      </c>
      <c r="AE710" s="34" t="str">
        <f t="shared" si="710"/>
        <v/>
      </c>
      <c r="AF710" s="34" t="str">
        <f t="shared" si="710"/>
        <v/>
      </c>
      <c r="AG710" s="34" t="str">
        <f t="shared" si="710"/>
        <v/>
      </c>
      <c r="AH710" s="34" t="str">
        <f t="shared" si="710"/>
        <v/>
      </c>
      <c r="AI710" s="34" t="str">
        <f t="shared" si="710"/>
        <v/>
      </c>
      <c r="AJ710" s="34" t="str">
        <f t="shared" si="710"/>
        <v/>
      </c>
      <c r="AK710" s="34" t="str">
        <f t="shared" si="710"/>
        <v/>
      </c>
      <c r="AL710" s="34" t="str">
        <f t="shared" si="710"/>
        <v/>
      </c>
      <c r="AM710" s="34" t="str">
        <f t="shared" si="710"/>
        <v/>
      </c>
      <c r="AN710" s="34" t="str">
        <f t="shared" si="710"/>
        <v/>
      </c>
      <c r="AO710" s="34" t="str">
        <f t="shared" si="710"/>
        <v/>
      </c>
      <c r="AP710" s="34" t="str">
        <f t="shared" si="710"/>
        <v/>
      </c>
      <c r="AQ710" s="76" t="s">
        <v>750</v>
      </c>
      <c r="AR710" s="77"/>
      <c r="AS710" s="77"/>
      <c r="AT710" s="77"/>
      <c r="AU710" s="77"/>
      <c r="AV710" s="77"/>
      <c r="AW710" s="77"/>
      <c r="AX710" s="77"/>
      <c r="AY710" s="77"/>
      <c r="AZ710" s="77"/>
      <c r="BA710" s="77"/>
      <c r="BB710" s="77"/>
      <c r="BC710" s="77"/>
      <c r="BD710" s="77"/>
      <c r="BE710" s="77"/>
      <c r="BF710" s="77"/>
      <c r="BG710" s="77"/>
      <c r="BH710" s="77"/>
      <c r="BI710" s="77"/>
      <c r="BJ710" s="77"/>
      <c r="BK710" s="77"/>
      <c r="BL710" s="77"/>
      <c r="BM710" s="78"/>
    </row>
    <row r="711">
      <c r="A711" s="41">
        <v>2.642857142857143</v>
      </c>
      <c r="B711" s="41" t="b">
        <v>0</v>
      </c>
      <c r="C711" s="41" t="b">
        <f t="shared" si="3"/>
        <v>0</v>
      </c>
      <c r="D711" s="42" t="s">
        <v>1565</v>
      </c>
      <c r="E711" s="43" t="s">
        <v>1235</v>
      </c>
      <c r="F711" s="44" t="s">
        <v>1489</v>
      </c>
      <c r="G711" s="29" t="s">
        <v>830</v>
      </c>
      <c r="H711" s="32">
        <v>-12.995000915517464</v>
      </c>
      <c r="I711" s="32">
        <v>-7.607120790604725</v>
      </c>
      <c r="J711" s="45" t="s">
        <v>2381</v>
      </c>
      <c r="K711" s="29">
        <v>25.6</v>
      </c>
      <c r="L711" s="41">
        <v>69.0</v>
      </c>
      <c r="M711" s="46">
        <v>28.0</v>
      </c>
      <c r="N711" s="46">
        <v>7.0</v>
      </c>
      <c r="O711" s="47">
        <v>-1.7012464617370988</v>
      </c>
      <c r="P711" s="47">
        <v>-1.4420102041629477</v>
      </c>
      <c r="Q711" s="47">
        <v>-0.5891687664982173</v>
      </c>
      <c r="R711" s="47">
        <v>-1.7441398659045013</v>
      </c>
      <c r="S711" s="47">
        <v>-1.4912484662944787</v>
      </c>
      <c r="T711" s="47">
        <v>-0.7871777123417198</v>
      </c>
      <c r="U711" s="47">
        <v>-2.094160500787245</v>
      </c>
      <c r="V711" s="47">
        <v>0.0</v>
      </c>
      <c r="W711" s="47">
        <v>-1.5957339554105012</v>
      </c>
      <c r="X711" s="47">
        <v>-1.5501149823807536</v>
      </c>
      <c r="Y711" s="50" t="s">
        <v>69</v>
      </c>
      <c r="Z711" s="50" t="s">
        <v>69</v>
      </c>
      <c r="AA711" s="50" t="s">
        <v>69</v>
      </c>
      <c r="AB711" s="50" t="s">
        <v>69</v>
      </c>
      <c r="AC711" s="34" t="str">
        <f t="shared" ref="AC711:AP711" si="711">LET(
  skater, IFERROR(INDEX(AllProj, MATCH($E711, AllProjNames, 0), MATCH(AC$2, AllProjCats, 0) + 1), ""),
  goalie, IFERROR(INDEX(AllGProj, MATCH($E711, AllGProjNames, 0), MATCH(AC$2, AllGProjCats, 0) + 1), ""),
  val, IF(skater &lt;&gt; "", skater, goalie),
  IF(OR($E711="", AC$2="", val=""), "", val * AC$1)
)</f>
        <v/>
      </c>
      <c r="AD711" s="34" t="str">
        <f t="shared" si="711"/>
        <v/>
      </c>
      <c r="AE711" s="34" t="str">
        <f t="shared" si="711"/>
        <v/>
      </c>
      <c r="AF711" s="34" t="str">
        <f t="shared" si="711"/>
        <v/>
      </c>
      <c r="AG711" s="34" t="str">
        <f t="shared" si="711"/>
        <v/>
      </c>
      <c r="AH711" s="34" t="str">
        <f t="shared" si="711"/>
        <v/>
      </c>
      <c r="AI711" s="34" t="str">
        <f t="shared" si="711"/>
        <v/>
      </c>
      <c r="AJ711" s="34" t="str">
        <f t="shared" si="711"/>
        <v/>
      </c>
      <c r="AK711" s="34" t="str">
        <f t="shared" si="711"/>
        <v/>
      </c>
      <c r="AL711" s="34" t="str">
        <f t="shared" si="711"/>
        <v/>
      </c>
      <c r="AM711" s="34" t="str">
        <f t="shared" si="711"/>
        <v/>
      </c>
      <c r="AN711" s="34" t="str">
        <f t="shared" si="711"/>
        <v/>
      </c>
      <c r="AO711" s="34" t="str">
        <f t="shared" si="711"/>
        <v/>
      </c>
      <c r="AP711" s="34" t="str">
        <f t="shared" si="711"/>
        <v/>
      </c>
      <c r="AQ711" s="76" t="s">
        <v>751</v>
      </c>
      <c r="AR711" s="77"/>
      <c r="AS711" s="77"/>
      <c r="AT711" s="77"/>
      <c r="AU711" s="77"/>
      <c r="AV711" s="77"/>
      <c r="AW711" s="77"/>
      <c r="AX711" s="77"/>
      <c r="AY711" s="77"/>
      <c r="AZ711" s="77"/>
      <c r="BA711" s="77"/>
      <c r="BB711" s="77"/>
      <c r="BC711" s="77"/>
      <c r="BD711" s="77"/>
      <c r="BE711" s="77"/>
      <c r="BF711" s="77"/>
      <c r="BG711" s="77"/>
      <c r="BH711" s="77"/>
      <c r="BI711" s="77"/>
      <c r="BJ711" s="77"/>
      <c r="BK711" s="77"/>
      <c r="BL711" s="77"/>
      <c r="BM711" s="78"/>
    </row>
    <row r="712">
      <c r="A712" s="79">
        <v>2.7142857142857144</v>
      </c>
      <c r="B712" s="79" t="b">
        <v>0</v>
      </c>
      <c r="C712" s="79" t="b">
        <f t="shared" si="3"/>
        <v>0</v>
      </c>
      <c r="D712" s="80" t="s">
        <v>1565</v>
      </c>
      <c r="E712" s="81" t="s">
        <v>1321</v>
      </c>
      <c r="F712" s="82" t="s">
        <v>1498</v>
      </c>
      <c r="G712" s="35" t="s">
        <v>837</v>
      </c>
      <c r="H712" s="37">
        <v>-12.999948552629355</v>
      </c>
      <c r="I712" s="37">
        <v>-7.470089780700454</v>
      </c>
      <c r="J712" s="83" t="s">
        <v>2382</v>
      </c>
      <c r="K712" s="35">
        <v>35.1</v>
      </c>
      <c r="L712" s="79">
        <v>75.42857142857143</v>
      </c>
      <c r="M712" s="84">
        <v>28.0</v>
      </c>
      <c r="N712" s="84">
        <v>7.0</v>
      </c>
      <c r="O712" s="85">
        <v>-2.3875238349298473</v>
      </c>
      <c r="P712" s="85">
        <v>-1.562647993753007</v>
      </c>
      <c r="Q712" s="85">
        <v>-0.6863995207057108</v>
      </c>
      <c r="R712" s="85">
        <v>-1.4332849716439766</v>
      </c>
      <c r="S712" s="85">
        <v>-1.7106089588440747</v>
      </c>
      <c r="T712" s="85">
        <v>-0.7871777123417198</v>
      </c>
      <c r="U712" s="85">
        <v>-2.5338315317671234</v>
      </c>
      <c r="V712" s="85">
        <v>0.0</v>
      </c>
      <c r="W712" s="85">
        <v>-2.3843735764264085</v>
      </c>
      <c r="X712" s="85">
        <v>0.4858995477825134</v>
      </c>
      <c r="Y712" s="50" t="s">
        <v>69</v>
      </c>
      <c r="Z712" s="50" t="s">
        <v>69</v>
      </c>
      <c r="AA712" s="50" t="s">
        <v>69</v>
      </c>
      <c r="AB712" s="50" t="s">
        <v>69</v>
      </c>
      <c r="AC712" s="34" t="str">
        <f t="shared" ref="AC712:AP712" si="712">LET(
  skater, IFERROR(INDEX(AllProj, MATCH($E712, AllProjNames, 0), MATCH(AC$2, AllProjCats, 0) + 1), ""),
  goalie, IFERROR(INDEX(AllGProj, MATCH($E712, AllGProjNames, 0), MATCH(AC$2, AllGProjCats, 0) + 1), ""),
  val, IF(skater &lt;&gt; "", skater, goalie),
  IF(OR($E712="", AC$2="", val=""), "", val * AC$1)
)</f>
        <v/>
      </c>
      <c r="AD712" s="34" t="str">
        <f t="shared" si="712"/>
        <v/>
      </c>
      <c r="AE712" s="34" t="str">
        <f t="shared" si="712"/>
        <v/>
      </c>
      <c r="AF712" s="34" t="str">
        <f t="shared" si="712"/>
        <v/>
      </c>
      <c r="AG712" s="34" t="str">
        <f t="shared" si="712"/>
        <v/>
      </c>
      <c r="AH712" s="34" t="str">
        <f t="shared" si="712"/>
        <v/>
      </c>
      <c r="AI712" s="34" t="str">
        <f t="shared" si="712"/>
        <v/>
      </c>
      <c r="AJ712" s="34" t="str">
        <f t="shared" si="712"/>
        <v/>
      </c>
      <c r="AK712" s="34" t="str">
        <f t="shared" si="712"/>
        <v/>
      </c>
      <c r="AL712" s="34" t="str">
        <f t="shared" si="712"/>
        <v/>
      </c>
      <c r="AM712" s="34" t="str">
        <f t="shared" si="712"/>
        <v/>
      </c>
      <c r="AN712" s="34" t="str">
        <f t="shared" si="712"/>
        <v/>
      </c>
      <c r="AO712" s="34" t="str">
        <f t="shared" si="712"/>
        <v/>
      </c>
      <c r="AP712" s="34" t="str">
        <f t="shared" si="712"/>
        <v/>
      </c>
      <c r="AQ712" s="76" t="s">
        <v>752</v>
      </c>
      <c r="AR712" s="77"/>
      <c r="AS712" s="77"/>
      <c r="AT712" s="77"/>
      <c r="AU712" s="77"/>
      <c r="AV712" s="77"/>
      <c r="AW712" s="77"/>
      <c r="AX712" s="77"/>
      <c r="AY712" s="77"/>
      <c r="AZ712" s="77"/>
      <c r="BA712" s="77"/>
      <c r="BB712" s="77"/>
      <c r="BC712" s="77"/>
      <c r="BD712" s="77"/>
      <c r="BE712" s="77"/>
      <c r="BF712" s="77"/>
      <c r="BG712" s="77"/>
      <c r="BH712" s="77"/>
      <c r="BI712" s="77"/>
      <c r="BJ712" s="77"/>
      <c r="BK712" s="77"/>
      <c r="BL712" s="77"/>
      <c r="BM712" s="78"/>
    </row>
    <row r="713">
      <c r="A713" s="41">
        <v>2.642857142857143</v>
      </c>
      <c r="B713" s="41" t="b">
        <v>0</v>
      </c>
      <c r="C713" s="41" t="b">
        <f t="shared" si="3"/>
        <v>0</v>
      </c>
      <c r="D713" s="42" t="s">
        <v>1565</v>
      </c>
      <c r="E713" s="43" t="s">
        <v>1267</v>
      </c>
      <c r="F713" s="44" t="s">
        <v>1710</v>
      </c>
      <c r="G713" s="29" t="s">
        <v>837</v>
      </c>
      <c r="H713" s="32">
        <v>-13.03498432693649</v>
      </c>
      <c r="I713" s="32">
        <v>-7.505125555007589</v>
      </c>
      <c r="J713" s="45" t="s">
        <v>2383</v>
      </c>
      <c r="K713" s="29">
        <v>27.1</v>
      </c>
      <c r="L713" s="41">
        <v>50.0</v>
      </c>
      <c r="M713" s="46">
        <v>23.0</v>
      </c>
      <c r="N713" s="46">
        <v>6.0</v>
      </c>
      <c r="O713" s="47">
        <v>-2.4054892111914374</v>
      </c>
      <c r="P713" s="47">
        <v>-2.1078380044003917</v>
      </c>
      <c r="Q713" s="47">
        <v>-1.2694501778365663</v>
      </c>
      <c r="R713" s="47">
        <v>-0.06552343689766801</v>
      </c>
      <c r="S713" s="47">
        <v>-1.72461069241107</v>
      </c>
      <c r="T713" s="47">
        <v>-0.7871777123417198</v>
      </c>
      <c r="U713" s="47">
        <v>-2.945242690800612</v>
      </c>
      <c r="V713" s="47">
        <v>0.0</v>
      </c>
      <c r="W713" s="47">
        <v>-0.5506547248883076</v>
      </c>
      <c r="X713" s="47">
        <v>-1.1789976761687175</v>
      </c>
      <c r="Y713" s="50" t="s">
        <v>69</v>
      </c>
      <c r="Z713" s="50" t="s">
        <v>69</v>
      </c>
      <c r="AA713" s="50" t="s">
        <v>69</v>
      </c>
      <c r="AB713" s="50" t="s">
        <v>69</v>
      </c>
      <c r="AC713" s="34" t="str">
        <f t="shared" ref="AC713:AP713" si="713">LET(
  skater, IFERROR(INDEX(AllProj, MATCH($E713, AllProjNames, 0), MATCH(AC$2, AllProjCats, 0) + 1), ""),
  goalie, IFERROR(INDEX(AllGProj, MATCH($E713, AllGProjNames, 0), MATCH(AC$2, AllGProjCats, 0) + 1), ""),
  val, IF(skater &lt;&gt; "", skater, goalie),
  IF(OR($E713="", AC$2="", val=""), "", val * AC$1)
)</f>
        <v/>
      </c>
      <c r="AD713" s="34" t="str">
        <f t="shared" si="713"/>
        <v/>
      </c>
      <c r="AE713" s="34" t="str">
        <f t="shared" si="713"/>
        <v/>
      </c>
      <c r="AF713" s="34" t="str">
        <f t="shared" si="713"/>
        <v/>
      </c>
      <c r="AG713" s="34" t="str">
        <f t="shared" si="713"/>
        <v/>
      </c>
      <c r="AH713" s="34" t="str">
        <f t="shared" si="713"/>
        <v/>
      </c>
      <c r="AI713" s="34" t="str">
        <f t="shared" si="713"/>
        <v/>
      </c>
      <c r="AJ713" s="34" t="str">
        <f t="shared" si="713"/>
        <v/>
      </c>
      <c r="AK713" s="34" t="str">
        <f t="shared" si="713"/>
        <v/>
      </c>
      <c r="AL713" s="34" t="str">
        <f t="shared" si="713"/>
        <v/>
      </c>
      <c r="AM713" s="34" t="str">
        <f t="shared" si="713"/>
        <v/>
      </c>
      <c r="AN713" s="34" t="str">
        <f t="shared" si="713"/>
        <v/>
      </c>
      <c r="AO713" s="34" t="str">
        <f t="shared" si="713"/>
        <v/>
      </c>
      <c r="AP713" s="34" t="str">
        <f t="shared" si="713"/>
        <v/>
      </c>
      <c r="AQ713" s="76" t="s">
        <v>753</v>
      </c>
      <c r="AR713" s="77"/>
      <c r="AS713" s="77"/>
      <c r="AT713" s="77"/>
      <c r="AU713" s="77"/>
      <c r="AV713" s="77"/>
      <c r="AW713" s="77"/>
      <c r="AX713" s="77"/>
      <c r="AY713" s="77"/>
      <c r="AZ713" s="77"/>
      <c r="BA713" s="77"/>
      <c r="BB713" s="77"/>
      <c r="BC713" s="77"/>
      <c r="BD713" s="77"/>
      <c r="BE713" s="77"/>
      <c r="BF713" s="77"/>
      <c r="BG713" s="77"/>
      <c r="BH713" s="77"/>
      <c r="BI713" s="77"/>
      <c r="BJ713" s="77"/>
      <c r="BK713" s="77"/>
      <c r="BL713" s="77"/>
      <c r="BM713" s="78"/>
    </row>
    <row r="714">
      <c r="A714" s="79">
        <v>2.642857142857143</v>
      </c>
      <c r="B714" s="79" t="b">
        <v>0</v>
      </c>
      <c r="C714" s="79" t="b">
        <f t="shared" si="3"/>
        <v>0</v>
      </c>
      <c r="D714" s="80" t="s">
        <v>1565</v>
      </c>
      <c r="E714" s="81" t="s">
        <v>1293</v>
      </c>
      <c r="F714" s="82" t="s">
        <v>1461</v>
      </c>
      <c r="G714" s="35" t="s">
        <v>835</v>
      </c>
      <c r="H714" s="37">
        <v>-13.043598262563902</v>
      </c>
      <c r="I714" s="37">
        <v>-7.655718137651164</v>
      </c>
      <c r="J714" s="83" t="s">
        <v>2384</v>
      </c>
      <c r="K714" s="35">
        <v>31.8</v>
      </c>
      <c r="L714" s="79">
        <v>70.2</v>
      </c>
      <c r="M714" s="84">
        <v>23.0</v>
      </c>
      <c r="N714" s="84">
        <v>6.0</v>
      </c>
      <c r="O714" s="85">
        <v>-2.033246615051287</v>
      </c>
      <c r="P714" s="85">
        <v>-2.1955323976023964</v>
      </c>
      <c r="Q714" s="85">
        <v>-1.7454098482494524</v>
      </c>
      <c r="R714" s="85">
        <v>-0.09039182843850989</v>
      </c>
      <c r="S714" s="85">
        <v>-1.7106089588440747</v>
      </c>
      <c r="T714" s="85">
        <v>-0.7871777123417198</v>
      </c>
      <c r="U714" s="85">
        <v>-2.445634443041414</v>
      </c>
      <c r="V714" s="85">
        <v>0.0</v>
      </c>
      <c r="W714" s="85">
        <v>0.03049129428050408</v>
      </c>
      <c r="X714" s="85">
        <v>-2.066087753275552</v>
      </c>
      <c r="Y714" s="50" t="s">
        <v>69</v>
      </c>
      <c r="Z714" s="50" t="s">
        <v>69</v>
      </c>
      <c r="AA714" s="50" t="s">
        <v>69</v>
      </c>
      <c r="AB714" s="50" t="s">
        <v>69</v>
      </c>
      <c r="AC714" s="34" t="str">
        <f t="shared" ref="AC714:AP714" si="714">LET(
  skater, IFERROR(INDEX(AllProj, MATCH($E714, AllProjNames, 0), MATCH(AC$2, AllProjCats, 0) + 1), ""),
  goalie, IFERROR(INDEX(AllGProj, MATCH($E714, AllGProjNames, 0), MATCH(AC$2, AllGProjCats, 0) + 1), ""),
  val, IF(skater &lt;&gt; "", skater, goalie),
  IF(OR($E714="", AC$2="", val=""), "", val * AC$1)
)</f>
        <v/>
      </c>
      <c r="AD714" s="34" t="str">
        <f t="shared" si="714"/>
        <v/>
      </c>
      <c r="AE714" s="34" t="str">
        <f t="shared" si="714"/>
        <v/>
      </c>
      <c r="AF714" s="34" t="str">
        <f t="shared" si="714"/>
        <v/>
      </c>
      <c r="AG714" s="34" t="str">
        <f t="shared" si="714"/>
        <v/>
      </c>
      <c r="AH714" s="34" t="str">
        <f t="shared" si="714"/>
        <v/>
      </c>
      <c r="AI714" s="34" t="str">
        <f t="shared" si="714"/>
        <v/>
      </c>
      <c r="AJ714" s="34" t="str">
        <f t="shared" si="714"/>
        <v/>
      </c>
      <c r="AK714" s="34" t="str">
        <f t="shared" si="714"/>
        <v/>
      </c>
      <c r="AL714" s="34" t="str">
        <f t="shared" si="714"/>
        <v/>
      </c>
      <c r="AM714" s="34" t="str">
        <f t="shared" si="714"/>
        <v/>
      </c>
      <c r="AN714" s="34" t="str">
        <f t="shared" si="714"/>
        <v/>
      </c>
      <c r="AO714" s="34" t="str">
        <f t="shared" si="714"/>
        <v/>
      </c>
      <c r="AP714" s="34" t="str">
        <f t="shared" si="714"/>
        <v/>
      </c>
      <c r="AQ714" s="76" t="s">
        <v>754</v>
      </c>
      <c r="AR714" s="77"/>
      <c r="AS714" s="77"/>
      <c r="AT714" s="77"/>
      <c r="AU714" s="77"/>
      <c r="AV714" s="77"/>
      <c r="AW714" s="77"/>
      <c r="AX714" s="77"/>
      <c r="AY714" s="77"/>
      <c r="AZ714" s="77"/>
      <c r="BA714" s="77"/>
      <c r="BB714" s="77"/>
      <c r="BC714" s="77"/>
      <c r="BD714" s="77"/>
      <c r="BE714" s="77"/>
      <c r="BF714" s="77"/>
      <c r="BG714" s="77"/>
      <c r="BH714" s="77"/>
      <c r="BI714" s="77"/>
      <c r="BJ714" s="77"/>
      <c r="BK714" s="77"/>
      <c r="BL714" s="77"/>
      <c r="BM714" s="78"/>
    </row>
    <row r="715">
      <c r="A715" s="41">
        <v>2.642857142857143</v>
      </c>
      <c r="B715" s="41" t="b">
        <v>0</v>
      </c>
      <c r="C715" s="41" t="b">
        <f t="shared" si="3"/>
        <v>0</v>
      </c>
      <c r="D715" s="42" t="s">
        <v>1565</v>
      </c>
      <c r="E715" s="43" t="s">
        <v>1236</v>
      </c>
      <c r="F715" s="44" t="s">
        <v>279</v>
      </c>
      <c r="G715" s="29" t="s">
        <v>284</v>
      </c>
      <c r="H715" s="32">
        <v>-13.095356462303377</v>
      </c>
      <c r="I715" s="32">
        <v>-8.05729044212029</v>
      </c>
      <c r="J715" s="45" t="s">
        <v>2385</v>
      </c>
      <c r="K715" s="29">
        <v>23.4</v>
      </c>
      <c r="L715" s="41">
        <v>79.77777777777777</v>
      </c>
      <c r="M715" s="46">
        <v>34.0</v>
      </c>
      <c r="N715" s="46">
        <v>7.0</v>
      </c>
      <c r="O715" s="47">
        <v>-1.6425595659492374</v>
      </c>
      <c r="P715" s="47">
        <v>-1.4943381342629092</v>
      </c>
      <c r="Q715" s="47">
        <v>-1.3490064881267283</v>
      </c>
      <c r="R715" s="47">
        <v>-1.5037454143430289</v>
      </c>
      <c r="S715" s="47">
        <v>-1.561257134129456</v>
      </c>
      <c r="T715" s="47">
        <v>-0.7871777123417198</v>
      </c>
      <c r="U715" s="47">
        <v>-1.9213882604121588</v>
      </c>
      <c r="V715" s="47">
        <v>0.06903123954202328</v>
      </c>
      <c r="W715" s="47">
        <v>-1.3953701813670307</v>
      </c>
      <c r="X715" s="47">
        <v>-1.5095448109131298</v>
      </c>
      <c r="Y715" s="50" t="s">
        <v>69</v>
      </c>
      <c r="Z715" s="50" t="s">
        <v>69</v>
      </c>
      <c r="AA715" s="50" t="s">
        <v>69</v>
      </c>
      <c r="AB715" s="50" t="s">
        <v>69</v>
      </c>
      <c r="AC715" s="34" t="str">
        <f t="shared" ref="AC715:AP715" si="715">LET(
  skater, IFERROR(INDEX(AllProj, MATCH($E715, AllProjNames, 0), MATCH(AC$2, AllProjCats, 0) + 1), ""),
  goalie, IFERROR(INDEX(AllGProj, MATCH($E715, AllGProjNames, 0), MATCH(AC$2, AllGProjCats, 0) + 1), ""),
  val, IF(skater &lt;&gt; "", skater, goalie),
  IF(OR($E715="", AC$2="", val=""), "", val * AC$1)
)</f>
        <v/>
      </c>
      <c r="AD715" s="34" t="str">
        <f t="shared" si="715"/>
        <v/>
      </c>
      <c r="AE715" s="34" t="str">
        <f t="shared" si="715"/>
        <v/>
      </c>
      <c r="AF715" s="34" t="str">
        <f t="shared" si="715"/>
        <v/>
      </c>
      <c r="AG715" s="34" t="str">
        <f t="shared" si="715"/>
        <v/>
      </c>
      <c r="AH715" s="34" t="str">
        <f t="shared" si="715"/>
        <v/>
      </c>
      <c r="AI715" s="34" t="str">
        <f t="shared" si="715"/>
        <v/>
      </c>
      <c r="AJ715" s="34" t="str">
        <f t="shared" si="715"/>
        <v/>
      </c>
      <c r="AK715" s="34" t="str">
        <f t="shared" si="715"/>
        <v/>
      </c>
      <c r="AL715" s="34" t="str">
        <f t="shared" si="715"/>
        <v/>
      </c>
      <c r="AM715" s="34" t="str">
        <f t="shared" si="715"/>
        <v/>
      </c>
      <c r="AN715" s="34" t="str">
        <f t="shared" si="715"/>
        <v/>
      </c>
      <c r="AO715" s="34" t="str">
        <f t="shared" si="715"/>
        <v/>
      </c>
      <c r="AP715" s="34" t="str">
        <f t="shared" si="715"/>
        <v/>
      </c>
      <c r="AQ715" s="76" t="s">
        <v>755</v>
      </c>
      <c r="AR715" s="77"/>
      <c r="AS715" s="77"/>
      <c r="AT715" s="77"/>
      <c r="AU715" s="77"/>
      <c r="AV715" s="77"/>
      <c r="AW715" s="77"/>
      <c r="AX715" s="77"/>
      <c r="AY715" s="77"/>
      <c r="AZ715" s="77"/>
      <c r="BA715" s="77"/>
      <c r="BB715" s="77"/>
      <c r="BC715" s="77"/>
      <c r="BD715" s="77"/>
      <c r="BE715" s="77"/>
      <c r="BF715" s="77"/>
      <c r="BG715" s="77"/>
      <c r="BH715" s="77"/>
      <c r="BI715" s="77"/>
      <c r="BJ715" s="77"/>
      <c r="BK715" s="77"/>
      <c r="BL715" s="77"/>
      <c r="BM715" s="78"/>
    </row>
    <row r="716">
      <c r="A716" s="79">
        <v>2.642857142857143</v>
      </c>
      <c r="B716" s="79" t="b">
        <v>0</v>
      </c>
      <c r="C716" s="79" t="b">
        <f t="shared" si="3"/>
        <v>0</v>
      </c>
      <c r="D716" s="80" t="s">
        <v>1565</v>
      </c>
      <c r="E716" s="81" t="s">
        <v>1245</v>
      </c>
      <c r="F716" s="82" t="s">
        <v>1563</v>
      </c>
      <c r="G716" s="35" t="s">
        <v>832</v>
      </c>
      <c r="H716" s="37">
        <v>-13.16711777214358</v>
      </c>
      <c r="I716" s="37">
        <v>-7.724980163415723</v>
      </c>
      <c r="J716" s="83" t="s">
        <v>2386</v>
      </c>
      <c r="K716" s="35">
        <v>23.4</v>
      </c>
      <c r="L716" s="79">
        <v>64.0</v>
      </c>
      <c r="M716" s="84">
        <v>29.0</v>
      </c>
      <c r="N716" s="84">
        <v>6.0</v>
      </c>
      <c r="O716" s="85">
        <v>-1.776701042035778</v>
      </c>
      <c r="P716" s="85">
        <v>-1.5394484188318418</v>
      </c>
      <c r="Q716" s="85">
        <v>-1.6195795059263591</v>
      </c>
      <c r="R716" s="85">
        <v>-0.5628912677145075</v>
      </c>
      <c r="S716" s="85">
        <v>-1.4912484662944787</v>
      </c>
      <c r="T716" s="85">
        <v>-0.7871777123417198</v>
      </c>
      <c r="U716" s="85">
        <v>-2.830231584042049</v>
      </c>
      <c r="V716" s="85">
        <v>0.0</v>
      </c>
      <c r="W716" s="85">
        <v>-0.6326217233606365</v>
      </c>
      <c r="X716" s="85">
        <v>-1.9272180515962098</v>
      </c>
      <c r="Y716" s="50" t="s">
        <v>69</v>
      </c>
      <c r="Z716" s="50" t="s">
        <v>69</v>
      </c>
      <c r="AA716" s="50" t="s">
        <v>69</v>
      </c>
      <c r="AB716" s="50" t="s">
        <v>69</v>
      </c>
      <c r="AC716" s="34" t="str">
        <f t="shared" ref="AC716:AP716" si="716">LET(
  skater, IFERROR(INDEX(AllProj, MATCH($E716, AllProjNames, 0), MATCH(AC$2, AllProjCats, 0) + 1), ""),
  goalie, IFERROR(INDEX(AllGProj, MATCH($E716, AllGProjNames, 0), MATCH(AC$2, AllGProjCats, 0) + 1), ""),
  val, IF(skater &lt;&gt; "", skater, goalie),
  IF(OR($E716="", AC$2="", val=""), "", val * AC$1)
)</f>
        <v/>
      </c>
      <c r="AD716" s="34" t="str">
        <f t="shared" si="716"/>
        <v/>
      </c>
      <c r="AE716" s="34" t="str">
        <f t="shared" si="716"/>
        <v/>
      </c>
      <c r="AF716" s="34" t="str">
        <f t="shared" si="716"/>
        <v/>
      </c>
      <c r="AG716" s="34" t="str">
        <f t="shared" si="716"/>
        <v/>
      </c>
      <c r="AH716" s="34" t="str">
        <f t="shared" si="716"/>
        <v/>
      </c>
      <c r="AI716" s="34" t="str">
        <f t="shared" si="716"/>
        <v/>
      </c>
      <c r="AJ716" s="34" t="str">
        <f t="shared" si="716"/>
        <v/>
      </c>
      <c r="AK716" s="34" t="str">
        <f t="shared" si="716"/>
        <v/>
      </c>
      <c r="AL716" s="34" t="str">
        <f t="shared" si="716"/>
        <v/>
      </c>
      <c r="AM716" s="34" t="str">
        <f t="shared" si="716"/>
        <v/>
      </c>
      <c r="AN716" s="34" t="str">
        <f t="shared" si="716"/>
        <v/>
      </c>
      <c r="AO716" s="34" t="str">
        <f t="shared" si="716"/>
        <v/>
      </c>
      <c r="AP716" s="34" t="str">
        <f t="shared" si="716"/>
        <v/>
      </c>
      <c r="AQ716" s="76" t="s">
        <v>756</v>
      </c>
      <c r="AR716" s="77"/>
      <c r="AS716" s="77"/>
      <c r="AT716" s="77"/>
      <c r="AU716" s="77"/>
      <c r="AV716" s="77"/>
      <c r="AW716" s="77"/>
      <c r="AX716" s="77"/>
      <c r="AY716" s="77"/>
      <c r="AZ716" s="77"/>
      <c r="BA716" s="77"/>
      <c r="BB716" s="77"/>
      <c r="BC716" s="77"/>
      <c r="BD716" s="77"/>
      <c r="BE716" s="77"/>
      <c r="BF716" s="77"/>
      <c r="BG716" s="77"/>
      <c r="BH716" s="77"/>
      <c r="BI716" s="77"/>
      <c r="BJ716" s="77"/>
      <c r="BK716" s="77"/>
      <c r="BL716" s="77"/>
      <c r="BM716" s="78"/>
    </row>
    <row r="717">
      <c r="A717" s="41">
        <v>2.642857142857143</v>
      </c>
      <c r="B717" s="41" t="b">
        <v>0</v>
      </c>
      <c r="C717" s="41" t="b">
        <f t="shared" si="3"/>
        <v>0</v>
      </c>
      <c r="D717" s="42" t="s">
        <v>1565</v>
      </c>
      <c r="E717" s="43" t="s">
        <v>1273</v>
      </c>
      <c r="F717" s="44" t="s">
        <v>1563</v>
      </c>
      <c r="G717" s="29" t="s">
        <v>832</v>
      </c>
      <c r="H717" s="32">
        <v>-13.269365235818409</v>
      </c>
      <c r="I717" s="32">
        <v>-7.827227627090552</v>
      </c>
      <c r="J717" s="45" t="s">
        <v>2387</v>
      </c>
      <c r="K717" s="29">
        <v>28.8</v>
      </c>
      <c r="L717" s="41">
        <v>55.0</v>
      </c>
      <c r="M717" s="46">
        <v>29.0</v>
      </c>
      <c r="N717" s="46">
        <v>6.0</v>
      </c>
      <c r="O717" s="47">
        <v>-1.6509434082046461</v>
      </c>
      <c r="P717" s="47">
        <v>-2.1078380044003917</v>
      </c>
      <c r="Q717" s="47">
        <v>-1.8611790447433314</v>
      </c>
      <c r="R717" s="47">
        <v>-1.8063108447566063</v>
      </c>
      <c r="S717" s="47">
        <v>-1.72461069241107</v>
      </c>
      <c r="T717" s="47">
        <v>-0.7871777123417198</v>
      </c>
      <c r="U717" s="47">
        <v>-2.0481560580838196</v>
      </c>
      <c r="V717" s="47">
        <v>0.0</v>
      </c>
      <c r="W717" s="47">
        <v>0.494424505633886</v>
      </c>
      <c r="X717" s="47">
        <v>-1.7775739765107113</v>
      </c>
      <c r="Y717" s="50" t="s">
        <v>69</v>
      </c>
      <c r="Z717" s="50" t="s">
        <v>69</v>
      </c>
      <c r="AA717" s="50" t="s">
        <v>69</v>
      </c>
      <c r="AB717" s="50" t="s">
        <v>69</v>
      </c>
      <c r="AC717" s="34" t="str">
        <f t="shared" ref="AC717:AP717" si="717">LET(
  skater, IFERROR(INDEX(AllProj, MATCH($E717, AllProjNames, 0), MATCH(AC$2, AllProjCats, 0) + 1), ""),
  goalie, IFERROR(INDEX(AllGProj, MATCH($E717, AllGProjNames, 0), MATCH(AC$2, AllGProjCats, 0) + 1), ""),
  val, IF(skater &lt;&gt; "", skater, goalie),
  IF(OR($E717="", AC$2="", val=""), "", val * AC$1)
)</f>
        <v/>
      </c>
      <c r="AD717" s="34" t="str">
        <f t="shared" si="717"/>
        <v/>
      </c>
      <c r="AE717" s="34" t="str">
        <f t="shared" si="717"/>
        <v/>
      </c>
      <c r="AF717" s="34" t="str">
        <f t="shared" si="717"/>
        <v/>
      </c>
      <c r="AG717" s="34" t="str">
        <f t="shared" si="717"/>
        <v/>
      </c>
      <c r="AH717" s="34" t="str">
        <f t="shared" si="717"/>
        <v/>
      </c>
      <c r="AI717" s="34" t="str">
        <f t="shared" si="717"/>
        <v/>
      </c>
      <c r="AJ717" s="34" t="str">
        <f t="shared" si="717"/>
        <v/>
      </c>
      <c r="AK717" s="34" t="str">
        <f t="shared" si="717"/>
        <v/>
      </c>
      <c r="AL717" s="34" t="str">
        <f t="shared" si="717"/>
        <v/>
      </c>
      <c r="AM717" s="34" t="str">
        <f t="shared" si="717"/>
        <v/>
      </c>
      <c r="AN717" s="34" t="str">
        <f t="shared" si="717"/>
        <v/>
      </c>
      <c r="AO717" s="34" t="str">
        <f t="shared" si="717"/>
        <v/>
      </c>
      <c r="AP717" s="34" t="str">
        <f t="shared" si="717"/>
        <v/>
      </c>
      <c r="AQ717" s="76" t="s">
        <v>757</v>
      </c>
      <c r="AR717" s="77"/>
      <c r="AS717" s="77"/>
      <c r="AT717" s="77"/>
      <c r="AU717" s="77"/>
      <c r="AV717" s="77"/>
      <c r="AW717" s="77"/>
      <c r="AX717" s="77"/>
      <c r="AY717" s="77"/>
      <c r="AZ717" s="77"/>
      <c r="BA717" s="77"/>
      <c r="BB717" s="77"/>
      <c r="BC717" s="77"/>
      <c r="BD717" s="77"/>
      <c r="BE717" s="77"/>
      <c r="BF717" s="77"/>
      <c r="BG717" s="77"/>
      <c r="BH717" s="77"/>
      <c r="BI717" s="77"/>
      <c r="BJ717" s="77"/>
      <c r="BK717" s="77"/>
      <c r="BL717" s="77"/>
      <c r="BM717" s="78"/>
    </row>
    <row r="718">
      <c r="A718" s="79">
        <v>2.642857142857143</v>
      </c>
      <c r="B718" s="79" t="b">
        <v>0</v>
      </c>
      <c r="C718" s="79" t="b">
        <f t="shared" si="3"/>
        <v>0</v>
      </c>
      <c r="D718" s="80" t="s">
        <v>1565</v>
      </c>
      <c r="E718" s="81" t="s">
        <v>1193</v>
      </c>
      <c r="F718" s="82" t="s">
        <v>1436</v>
      </c>
      <c r="G718" s="35" t="s">
        <v>837</v>
      </c>
      <c r="H718" s="37">
        <v>-13.351058915941127</v>
      </c>
      <c r="I718" s="37">
        <v>-7.821200144012226</v>
      </c>
      <c r="J718" s="83" t="s">
        <v>2388</v>
      </c>
      <c r="K718" s="35">
        <v>27.1</v>
      </c>
      <c r="L718" s="79">
        <v>55.0</v>
      </c>
      <c r="M718" s="84">
        <v>26.0</v>
      </c>
      <c r="N718" s="84">
        <v>5.0</v>
      </c>
      <c r="O718" s="85">
        <v>-2.4306407379576638</v>
      </c>
      <c r="P718" s="85">
        <v>-1.7911638067264855</v>
      </c>
      <c r="Q718" s="85">
        <v>-1.8054525719668468</v>
      </c>
      <c r="R718" s="85">
        <v>-1.184601056235557</v>
      </c>
      <c r="S718" s="85">
        <v>-1.6312658019644335</v>
      </c>
      <c r="T718" s="96" t="s">
        <v>69</v>
      </c>
      <c r="U718" s="85">
        <v>-2.79572825201448</v>
      </c>
      <c r="V718" s="85">
        <v>0.0</v>
      </c>
      <c r="W718" s="85">
        <v>-0.8354900445796507</v>
      </c>
      <c r="X718" s="85">
        <v>-0.8767166444960106</v>
      </c>
      <c r="Y718" s="50" t="s">
        <v>69</v>
      </c>
      <c r="Z718" s="50" t="s">
        <v>69</v>
      </c>
      <c r="AA718" s="50" t="s">
        <v>69</v>
      </c>
      <c r="AB718" s="50" t="s">
        <v>69</v>
      </c>
      <c r="AC718" s="34" t="str">
        <f t="shared" ref="AC718:AP718" si="718">LET(
  skater, IFERROR(INDEX(AllProj, MATCH($E718, AllProjNames, 0), MATCH(AC$2, AllProjCats, 0) + 1), ""),
  goalie, IFERROR(INDEX(AllGProj, MATCH($E718, AllGProjNames, 0), MATCH(AC$2, AllGProjCats, 0) + 1), ""),
  val, IF(skater &lt;&gt; "", skater, goalie),
  IF(OR($E718="", AC$2="", val=""), "", val * AC$1)
)</f>
        <v/>
      </c>
      <c r="AD718" s="34" t="str">
        <f t="shared" si="718"/>
        <v/>
      </c>
      <c r="AE718" s="34" t="str">
        <f t="shared" si="718"/>
        <v/>
      </c>
      <c r="AF718" s="34" t="str">
        <f t="shared" si="718"/>
        <v/>
      </c>
      <c r="AG718" s="34" t="str">
        <f t="shared" si="718"/>
        <v/>
      </c>
      <c r="AH718" s="34" t="str">
        <f t="shared" si="718"/>
        <v/>
      </c>
      <c r="AI718" s="34" t="str">
        <f t="shared" si="718"/>
        <v/>
      </c>
      <c r="AJ718" s="34" t="str">
        <f t="shared" si="718"/>
        <v/>
      </c>
      <c r="AK718" s="34" t="str">
        <f t="shared" si="718"/>
        <v/>
      </c>
      <c r="AL718" s="34" t="str">
        <f t="shared" si="718"/>
        <v/>
      </c>
      <c r="AM718" s="34" t="str">
        <f t="shared" si="718"/>
        <v/>
      </c>
      <c r="AN718" s="34" t="str">
        <f t="shared" si="718"/>
        <v/>
      </c>
      <c r="AO718" s="34" t="str">
        <f t="shared" si="718"/>
        <v/>
      </c>
      <c r="AP718" s="34" t="str">
        <f t="shared" si="718"/>
        <v/>
      </c>
      <c r="AQ718" s="76" t="s">
        <v>758</v>
      </c>
      <c r="AR718" s="77"/>
      <c r="AS718" s="77"/>
      <c r="AT718" s="77"/>
      <c r="AU718" s="77"/>
      <c r="AV718" s="77"/>
      <c r="AW718" s="77"/>
      <c r="AX718" s="77"/>
      <c r="AY718" s="77"/>
      <c r="AZ718" s="77"/>
      <c r="BA718" s="77"/>
      <c r="BB718" s="77"/>
      <c r="BC718" s="77"/>
      <c r="BD718" s="77"/>
      <c r="BE718" s="77"/>
      <c r="BF718" s="77"/>
      <c r="BG718" s="77"/>
      <c r="BH718" s="77"/>
      <c r="BI718" s="77"/>
      <c r="BJ718" s="77"/>
      <c r="BK718" s="77"/>
      <c r="BL718" s="77"/>
      <c r="BM718" s="78"/>
    </row>
    <row r="719">
      <c r="A719" s="41">
        <v>2.642857142857143</v>
      </c>
      <c r="B719" s="41" t="b">
        <v>0</v>
      </c>
      <c r="C719" s="41" t="b">
        <f t="shared" si="3"/>
        <v>0</v>
      </c>
      <c r="D719" s="42" t="s">
        <v>1565</v>
      </c>
      <c r="E719" s="43" t="s">
        <v>1233</v>
      </c>
      <c r="F719" s="44" t="s">
        <v>1779</v>
      </c>
      <c r="G719" s="29" t="s">
        <v>835</v>
      </c>
      <c r="H719" s="32">
        <v>-13.361355866263896</v>
      </c>
      <c r="I719" s="32">
        <v>-7.973475741351157</v>
      </c>
      <c r="J719" s="45" t="s">
        <v>2389</v>
      </c>
      <c r="K719" s="29">
        <v>22.6</v>
      </c>
      <c r="L719" s="41">
        <v>78.48875</v>
      </c>
      <c r="M719" s="46">
        <v>27.0</v>
      </c>
      <c r="N719" s="46">
        <v>6.0</v>
      </c>
      <c r="O719" s="47">
        <v>-1.0176964242274533</v>
      </c>
      <c r="P719" s="47">
        <v>-1.3734818692491202</v>
      </c>
      <c r="Q719" s="47">
        <v>-4.0992872636683</v>
      </c>
      <c r="R719" s="47">
        <v>-2.2809010949364006</v>
      </c>
      <c r="S719" s="47">
        <v>-1.4429597280390996</v>
      </c>
      <c r="T719" s="47">
        <v>-0.23298813944449023</v>
      </c>
      <c r="U719" s="47">
        <v>-0.9589405337555142</v>
      </c>
      <c r="V719" s="47">
        <v>0.0</v>
      </c>
      <c r="W719" s="47">
        <v>-0.8186093652803154</v>
      </c>
      <c r="X719" s="47">
        <v>-1.1364914476632024</v>
      </c>
      <c r="Y719" s="50" t="s">
        <v>69</v>
      </c>
      <c r="Z719" s="50" t="s">
        <v>69</v>
      </c>
      <c r="AA719" s="50" t="s">
        <v>69</v>
      </c>
      <c r="AB719" s="50" t="s">
        <v>69</v>
      </c>
      <c r="AC719" s="34" t="str">
        <f t="shared" ref="AC719:AP719" si="719">LET(
  skater, IFERROR(INDEX(AllProj, MATCH($E719, AllProjNames, 0), MATCH(AC$2, AllProjCats, 0) + 1), ""),
  goalie, IFERROR(INDEX(AllGProj, MATCH($E719, AllGProjNames, 0), MATCH(AC$2, AllGProjCats, 0) + 1), ""),
  val, IF(skater &lt;&gt; "", skater, goalie),
  IF(OR($E719="", AC$2="", val=""), "", val * AC$1)
)</f>
        <v/>
      </c>
      <c r="AD719" s="34" t="str">
        <f t="shared" si="719"/>
        <v/>
      </c>
      <c r="AE719" s="34" t="str">
        <f t="shared" si="719"/>
        <v/>
      </c>
      <c r="AF719" s="34" t="str">
        <f t="shared" si="719"/>
        <v/>
      </c>
      <c r="AG719" s="34" t="str">
        <f t="shared" si="719"/>
        <v/>
      </c>
      <c r="AH719" s="34" t="str">
        <f t="shared" si="719"/>
        <v/>
      </c>
      <c r="AI719" s="34" t="str">
        <f t="shared" si="719"/>
        <v/>
      </c>
      <c r="AJ719" s="34" t="str">
        <f t="shared" si="719"/>
        <v/>
      </c>
      <c r="AK719" s="34" t="str">
        <f t="shared" si="719"/>
        <v/>
      </c>
      <c r="AL719" s="34" t="str">
        <f t="shared" si="719"/>
        <v/>
      </c>
      <c r="AM719" s="34" t="str">
        <f t="shared" si="719"/>
        <v/>
      </c>
      <c r="AN719" s="34" t="str">
        <f t="shared" si="719"/>
        <v/>
      </c>
      <c r="AO719" s="34" t="str">
        <f t="shared" si="719"/>
        <v/>
      </c>
      <c r="AP719" s="34" t="str">
        <f t="shared" si="719"/>
        <v/>
      </c>
      <c r="AQ719" s="76" t="s">
        <v>759</v>
      </c>
      <c r="AR719" s="77"/>
      <c r="AS719" s="77"/>
      <c r="AT719" s="77"/>
      <c r="AU719" s="77"/>
      <c r="AV719" s="77"/>
      <c r="AW719" s="77"/>
      <c r="AX719" s="77"/>
      <c r="AY719" s="77"/>
      <c r="AZ719" s="77"/>
      <c r="BA719" s="77"/>
      <c r="BB719" s="77"/>
      <c r="BC719" s="77"/>
      <c r="BD719" s="77"/>
      <c r="BE719" s="77"/>
      <c r="BF719" s="77"/>
      <c r="BG719" s="77"/>
      <c r="BH719" s="77"/>
      <c r="BI719" s="77"/>
      <c r="BJ719" s="77"/>
      <c r="BK719" s="77"/>
      <c r="BL719" s="77"/>
      <c r="BM719" s="78"/>
    </row>
    <row r="720">
      <c r="A720" s="79">
        <v>2.642857142857143</v>
      </c>
      <c r="B720" s="79" t="b">
        <v>0</v>
      </c>
      <c r="C720" s="79" t="b">
        <f t="shared" si="3"/>
        <v>0</v>
      </c>
      <c r="D720" s="80" t="s">
        <v>1565</v>
      </c>
      <c r="E720" s="81" t="s">
        <v>1288</v>
      </c>
      <c r="F720" s="82" t="s">
        <v>1299</v>
      </c>
      <c r="G720" s="35" t="s">
        <v>829</v>
      </c>
      <c r="H720" s="37">
        <v>-13.366362981051125</v>
      </c>
      <c r="I720" s="37">
        <v>-7.924225372323268</v>
      </c>
      <c r="J720" s="83" t="s">
        <v>2390</v>
      </c>
      <c r="K720" s="35">
        <v>30.0</v>
      </c>
      <c r="L720" s="79">
        <v>66.8</v>
      </c>
      <c r="M720" s="84">
        <v>31.0</v>
      </c>
      <c r="N720" s="84">
        <v>7.0</v>
      </c>
      <c r="O720" s="85">
        <v>-0.9215491319840811</v>
      </c>
      <c r="P720" s="85">
        <v>-2.0428791946211287</v>
      </c>
      <c r="Q720" s="85">
        <v>-1.0992733546282556</v>
      </c>
      <c r="R720" s="85">
        <v>-2.042560564394605</v>
      </c>
      <c r="S720" s="85">
        <v>-1.1412051271195918</v>
      </c>
      <c r="T720" s="85">
        <v>-0.7871777123417198</v>
      </c>
      <c r="U720" s="85">
        <v>-1.8963413971625167</v>
      </c>
      <c r="V720" s="85">
        <v>0.0</v>
      </c>
      <c r="W720" s="85">
        <v>-1.6039306552577342</v>
      </c>
      <c r="X720" s="85">
        <v>-1.8314458435414906</v>
      </c>
      <c r="Y720" s="50" t="s">
        <v>69</v>
      </c>
      <c r="Z720" s="50" t="s">
        <v>69</v>
      </c>
      <c r="AA720" s="50" t="s">
        <v>69</v>
      </c>
      <c r="AB720" s="50" t="s">
        <v>69</v>
      </c>
      <c r="AC720" s="34" t="str">
        <f t="shared" ref="AC720:AP720" si="720">LET(
  skater, IFERROR(INDEX(AllProj, MATCH($E720, AllProjNames, 0), MATCH(AC$2, AllProjCats, 0) + 1), ""),
  goalie, IFERROR(INDEX(AllGProj, MATCH($E720, AllGProjNames, 0), MATCH(AC$2, AllGProjCats, 0) + 1), ""),
  val, IF(skater &lt;&gt; "", skater, goalie),
  IF(OR($E720="", AC$2="", val=""), "", val * AC$1)
)</f>
        <v/>
      </c>
      <c r="AD720" s="34" t="str">
        <f t="shared" si="720"/>
        <v/>
      </c>
      <c r="AE720" s="34" t="str">
        <f t="shared" si="720"/>
        <v/>
      </c>
      <c r="AF720" s="34" t="str">
        <f t="shared" si="720"/>
        <v/>
      </c>
      <c r="AG720" s="34" t="str">
        <f t="shared" si="720"/>
        <v/>
      </c>
      <c r="AH720" s="34" t="str">
        <f t="shared" si="720"/>
        <v/>
      </c>
      <c r="AI720" s="34" t="str">
        <f t="shared" si="720"/>
        <v/>
      </c>
      <c r="AJ720" s="34" t="str">
        <f t="shared" si="720"/>
        <v/>
      </c>
      <c r="AK720" s="34" t="str">
        <f t="shared" si="720"/>
        <v/>
      </c>
      <c r="AL720" s="34" t="str">
        <f t="shared" si="720"/>
        <v/>
      </c>
      <c r="AM720" s="34" t="str">
        <f t="shared" si="720"/>
        <v/>
      </c>
      <c r="AN720" s="34" t="str">
        <f t="shared" si="720"/>
        <v/>
      </c>
      <c r="AO720" s="34" t="str">
        <f t="shared" si="720"/>
        <v/>
      </c>
      <c r="AP720" s="34" t="str">
        <f t="shared" si="720"/>
        <v/>
      </c>
      <c r="AQ720" s="76" t="s">
        <v>760</v>
      </c>
      <c r="AR720" s="77"/>
      <c r="AS720" s="77"/>
      <c r="AT720" s="77"/>
      <c r="AU720" s="77"/>
      <c r="AV720" s="77"/>
      <c r="AW720" s="77"/>
      <c r="AX720" s="77"/>
      <c r="AY720" s="77"/>
      <c r="AZ720" s="77"/>
      <c r="BA720" s="77"/>
      <c r="BB720" s="77"/>
      <c r="BC720" s="77"/>
      <c r="BD720" s="77"/>
      <c r="BE720" s="77"/>
      <c r="BF720" s="77"/>
      <c r="BG720" s="77"/>
      <c r="BH720" s="77"/>
      <c r="BI720" s="77"/>
      <c r="BJ720" s="77"/>
      <c r="BK720" s="77"/>
      <c r="BL720" s="77"/>
      <c r="BM720" s="78"/>
    </row>
    <row r="721">
      <c r="A721" s="41">
        <v>2.7142857142857144</v>
      </c>
      <c r="B721" s="41" t="b">
        <v>0</v>
      </c>
      <c r="C721" s="41" t="b">
        <f t="shared" si="3"/>
        <v>0</v>
      </c>
      <c r="D721" s="42" t="s">
        <v>1565</v>
      </c>
      <c r="E721" s="43" t="s">
        <v>1352</v>
      </c>
      <c r="F721" s="44" t="s">
        <v>1779</v>
      </c>
      <c r="G721" s="29" t="s">
        <v>837</v>
      </c>
      <c r="H721" s="32">
        <v>-13.376483064496705</v>
      </c>
      <c r="I721" s="32">
        <v>-7.846624292567804</v>
      </c>
      <c r="J721" s="45" t="s">
        <v>2391</v>
      </c>
      <c r="K721" s="29">
        <v>21.6</v>
      </c>
      <c r="L721" s="41">
        <v>79.67916666666666</v>
      </c>
      <c r="M721" s="46">
        <v>27.0</v>
      </c>
      <c r="N721" s="46">
        <v>6.0</v>
      </c>
      <c r="O721" s="47">
        <v>-1.9100380717778767</v>
      </c>
      <c r="P721" s="47">
        <v>-0.9396187187660019</v>
      </c>
      <c r="Q721" s="47">
        <v>-4.31033299278602</v>
      </c>
      <c r="R721" s="47">
        <v>-1.002520494586101</v>
      </c>
      <c r="S721" s="47">
        <v>-1.1599455175524227</v>
      </c>
      <c r="T721" s="47">
        <v>-0.7365739132293332</v>
      </c>
      <c r="U721" s="47">
        <v>-1.9258141261983721</v>
      </c>
      <c r="V721" s="47">
        <v>0.0</v>
      </c>
      <c r="W721" s="47">
        <v>-1.6684868368237047</v>
      </c>
      <c r="X721" s="47">
        <v>0.27684760722312823</v>
      </c>
      <c r="Y721" s="50" t="s">
        <v>69</v>
      </c>
      <c r="Z721" s="50" t="s">
        <v>69</v>
      </c>
      <c r="AA721" s="50" t="s">
        <v>69</v>
      </c>
      <c r="AB721" s="50" t="s">
        <v>69</v>
      </c>
      <c r="AC721" s="34" t="str">
        <f t="shared" ref="AC721:AP721" si="721">LET(
  skater, IFERROR(INDEX(AllProj, MATCH($E721, AllProjNames, 0), MATCH(AC$2, AllProjCats, 0) + 1), ""),
  goalie, IFERROR(INDEX(AllGProj, MATCH($E721, AllGProjNames, 0), MATCH(AC$2, AllGProjCats, 0) + 1), ""),
  val, IF(skater &lt;&gt; "", skater, goalie),
  IF(OR($E721="", AC$2="", val=""), "", val * AC$1)
)</f>
        <v/>
      </c>
      <c r="AD721" s="34" t="str">
        <f t="shared" si="721"/>
        <v/>
      </c>
      <c r="AE721" s="34" t="str">
        <f t="shared" si="721"/>
        <v/>
      </c>
      <c r="AF721" s="34" t="str">
        <f t="shared" si="721"/>
        <v/>
      </c>
      <c r="AG721" s="34" t="str">
        <f t="shared" si="721"/>
        <v/>
      </c>
      <c r="AH721" s="34" t="str">
        <f t="shared" si="721"/>
        <v/>
      </c>
      <c r="AI721" s="34" t="str">
        <f t="shared" si="721"/>
        <v/>
      </c>
      <c r="AJ721" s="34" t="str">
        <f t="shared" si="721"/>
        <v/>
      </c>
      <c r="AK721" s="34" t="str">
        <f t="shared" si="721"/>
        <v/>
      </c>
      <c r="AL721" s="34" t="str">
        <f t="shared" si="721"/>
        <v/>
      </c>
      <c r="AM721" s="34" t="str">
        <f t="shared" si="721"/>
        <v/>
      </c>
      <c r="AN721" s="34" t="str">
        <f t="shared" si="721"/>
        <v/>
      </c>
      <c r="AO721" s="34" t="str">
        <f t="shared" si="721"/>
        <v/>
      </c>
      <c r="AP721" s="34" t="str">
        <f t="shared" si="721"/>
        <v/>
      </c>
      <c r="AQ721" s="76" t="s">
        <v>761</v>
      </c>
      <c r="AR721" s="77"/>
      <c r="AS721" s="77"/>
      <c r="AT721" s="77"/>
      <c r="AU721" s="77"/>
      <c r="AV721" s="77"/>
      <c r="AW721" s="77"/>
      <c r="AX721" s="77"/>
      <c r="AY721" s="77"/>
      <c r="AZ721" s="77"/>
      <c r="BA721" s="77"/>
      <c r="BB721" s="77"/>
      <c r="BC721" s="77"/>
      <c r="BD721" s="77"/>
      <c r="BE721" s="77"/>
      <c r="BF721" s="77"/>
      <c r="BG721" s="77"/>
      <c r="BH721" s="77"/>
      <c r="BI721" s="77"/>
      <c r="BJ721" s="77"/>
      <c r="BK721" s="77"/>
      <c r="BL721" s="77"/>
      <c r="BM721" s="78"/>
    </row>
    <row r="722">
      <c r="A722" s="79">
        <v>2.7142857142857144</v>
      </c>
      <c r="B722" s="79" t="b">
        <v>0</v>
      </c>
      <c r="C722" s="79" t="b">
        <f t="shared" si="3"/>
        <v>0</v>
      </c>
      <c r="D722" s="80" t="s">
        <v>1565</v>
      </c>
      <c r="E722" s="81" t="s">
        <v>1351</v>
      </c>
      <c r="F722" s="82" t="s">
        <v>1706</v>
      </c>
      <c r="G722" s="35" t="s">
        <v>284</v>
      </c>
      <c r="H722" s="37">
        <v>-13.40964243446964</v>
      </c>
      <c r="I722" s="37">
        <v>-8.371576414286555</v>
      </c>
      <c r="J722" s="83" t="s">
        <v>2392</v>
      </c>
      <c r="K722" s="35">
        <v>21.6</v>
      </c>
      <c r="L722" s="79">
        <v>76.0495</v>
      </c>
      <c r="M722" s="84">
        <v>31.0</v>
      </c>
      <c r="N722" s="84">
        <v>7.0</v>
      </c>
      <c r="O722" s="85">
        <v>-1.5290388455520525</v>
      </c>
      <c r="P722" s="85">
        <v>-1.0300704058734456</v>
      </c>
      <c r="Q722" s="85">
        <v>-2.6243986194092046</v>
      </c>
      <c r="R722" s="85">
        <v>-1.1047194037692105</v>
      </c>
      <c r="S722" s="85">
        <v>-1.1256084241395234</v>
      </c>
      <c r="T722" s="85">
        <v>-0.6887969356788127</v>
      </c>
      <c r="U722" s="85">
        <v>-1.6796325311973113</v>
      </c>
      <c r="V722" s="85">
        <v>0.0</v>
      </c>
      <c r="W722" s="85">
        <v>-1.6505839701456324</v>
      </c>
      <c r="X722" s="85">
        <v>-1.976793298704447</v>
      </c>
      <c r="Y722" s="50" t="s">
        <v>69</v>
      </c>
      <c r="Z722" s="50" t="s">
        <v>69</v>
      </c>
      <c r="AA722" s="50" t="s">
        <v>69</v>
      </c>
      <c r="AB722" s="50" t="s">
        <v>69</v>
      </c>
      <c r="AC722" s="34" t="str">
        <f t="shared" ref="AC722:AP722" si="722">LET(
  skater, IFERROR(INDEX(AllProj, MATCH($E722, AllProjNames, 0), MATCH(AC$2, AllProjCats, 0) + 1), ""),
  goalie, IFERROR(INDEX(AllGProj, MATCH($E722, AllGProjNames, 0), MATCH(AC$2, AllGProjCats, 0) + 1), ""),
  val, IF(skater &lt;&gt; "", skater, goalie),
  IF(OR($E722="", AC$2="", val=""), "", val * AC$1)
)</f>
        <v/>
      </c>
      <c r="AD722" s="34" t="str">
        <f t="shared" si="722"/>
        <v/>
      </c>
      <c r="AE722" s="34" t="str">
        <f t="shared" si="722"/>
        <v/>
      </c>
      <c r="AF722" s="34" t="str">
        <f t="shared" si="722"/>
        <v/>
      </c>
      <c r="AG722" s="34" t="str">
        <f t="shared" si="722"/>
        <v/>
      </c>
      <c r="AH722" s="34" t="str">
        <f t="shared" si="722"/>
        <v/>
      </c>
      <c r="AI722" s="34" t="str">
        <f t="shared" si="722"/>
        <v/>
      </c>
      <c r="AJ722" s="34" t="str">
        <f t="shared" si="722"/>
        <v/>
      </c>
      <c r="AK722" s="34" t="str">
        <f t="shared" si="722"/>
        <v/>
      </c>
      <c r="AL722" s="34" t="str">
        <f t="shared" si="722"/>
        <v/>
      </c>
      <c r="AM722" s="34" t="str">
        <f t="shared" si="722"/>
        <v/>
      </c>
      <c r="AN722" s="34" t="str">
        <f t="shared" si="722"/>
        <v/>
      </c>
      <c r="AO722" s="34" t="str">
        <f t="shared" si="722"/>
        <v/>
      </c>
      <c r="AP722" s="34" t="str">
        <f t="shared" si="722"/>
        <v/>
      </c>
      <c r="AQ722" s="76" t="s">
        <v>762</v>
      </c>
      <c r="AR722" s="77"/>
      <c r="AS722" s="77"/>
      <c r="AT722" s="77"/>
      <c r="AU722" s="77"/>
      <c r="AV722" s="77"/>
      <c r="AW722" s="77"/>
      <c r="AX722" s="77"/>
      <c r="AY722" s="77"/>
      <c r="AZ722" s="77"/>
      <c r="BA722" s="77"/>
      <c r="BB722" s="77"/>
      <c r="BC722" s="77"/>
      <c r="BD722" s="77"/>
      <c r="BE722" s="77"/>
      <c r="BF722" s="77"/>
      <c r="BG722" s="77"/>
      <c r="BH722" s="77"/>
      <c r="BI722" s="77"/>
      <c r="BJ722" s="77"/>
      <c r="BK722" s="77"/>
      <c r="BL722" s="77"/>
      <c r="BM722" s="78"/>
    </row>
    <row r="723">
      <c r="A723" s="41">
        <v>2.642857142857143</v>
      </c>
      <c r="B723" s="41" t="b">
        <v>0</v>
      </c>
      <c r="C723" s="41" t="b">
        <f t="shared" si="3"/>
        <v>0</v>
      </c>
      <c r="D723" s="42" t="s">
        <v>1565</v>
      </c>
      <c r="E723" s="43" t="s">
        <v>1268</v>
      </c>
      <c r="F723" s="44" t="s">
        <v>279</v>
      </c>
      <c r="G723" s="29" t="s">
        <v>837</v>
      </c>
      <c r="H723" s="32">
        <v>-13.41368308909379</v>
      </c>
      <c r="I723" s="32">
        <v>-7.88382431716489</v>
      </c>
      <c r="J723" s="45" t="s">
        <v>2393</v>
      </c>
      <c r="K723" s="29">
        <v>29.5</v>
      </c>
      <c r="L723" s="41">
        <v>63.0</v>
      </c>
      <c r="M723" s="46">
        <v>34.0</v>
      </c>
      <c r="N723" s="46">
        <v>7.0</v>
      </c>
      <c r="O723" s="47">
        <v>-2.4054892111914374</v>
      </c>
      <c r="P723" s="47">
        <v>-2.026639492176313</v>
      </c>
      <c r="Q723" s="47">
        <v>-1.148337392218875</v>
      </c>
      <c r="R723" s="47">
        <v>-1.5576269293481866</v>
      </c>
      <c r="S723" s="47">
        <v>-1.72461069241107</v>
      </c>
      <c r="T723" s="47">
        <v>-0.7871777123417198</v>
      </c>
      <c r="U723" s="47">
        <v>-3.01424935485575</v>
      </c>
      <c r="V723" s="47">
        <v>0.0</v>
      </c>
      <c r="W723" s="47">
        <v>-0.07934448367241637</v>
      </c>
      <c r="X723" s="47">
        <v>-0.6702078208780229</v>
      </c>
      <c r="Y723" s="50" t="s">
        <v>69</v>
      </c>
      <c r="Z723" s="50" t="s">
        <v>69</v>
      </c>
      <c r="AA723" s="50" t="s">
        <v>69</v>
      </c>
      <c r="AB723" s="50" t="s">
        <v>69</v>
      </c>
      <c r="AC723" s="34" t="str">
        <f t="shared" ref="AC723:AP723" si="723">LET(
  skater, IFERROR(INDEX(AllProj, MATCH($E723, AllProjNames, 0), MATCH(AC$2, AllProjCats, 0) + 1), ""),
  goalie, IFERROR(INDEX(AllGProj, MATCH($E723, AllGProjNames, 0), MATCH(AC$2, AllGProjCats, 0) + 1), ""),
  val, IF(skater &lt;&gt; "", skater, goalie),
  IF(OR($E723="", AC$2="", val=""), "", val * AC$1)
)</f>
        <v/>
      </c>
      <c r="AD723" s="34" t="str">
        <f t="shared" si="723"/>
        <v/>
      </c>
      <c r="AE723" s="34" t="str">
        <f t="shared" si="723"/>
        <v/>
      </c>
      <c r="AF723" s="34" t="str">
        <f t="shared" si="723"/>
        <v/>
      </c>
      <c r="AG723" s="34" t="str">
        <f t="shared" si="723"/>
        <v/>
      </c>
      <c r="AH723" s="34" t="str">
        <f t="shared" si="723"/>
        <v/>
      </c>
      <c r="AI723" s="34" t="str">
        <f t="shared" si="723"/>
        <v/>
      </c>
      <c r="AJ723" s="34" t="str">
        <f t="shared" si="723"/>
        <v/>
      </c>
      <c r="AK723" s="34" t="str">
        <f t="shared" si="723"/>
        <v/>
      </c>
      <c r="AL723" s="34" t="str">
        <f t="shared" si="723"/>
        <v/>
      </c>
      <c r="AM723" s="34" t="str">
        <f t="shared" si="723"/>
        <v/>
      </c>
      <c r="AN723" s="34" t="str">
        <f t="shared" si="723"/>
        <v/>
      </c>
      <c r="AO723" s="34" t="str">
        <f t="shared" si="723"/>
        <v/>
      </c>
      <c r="AP723" s="34" t="str">
        <f t="shared" si="723"/>
        <v/>
      </c>
      <c r="AQ723" s="76" t="s">
        <v>763</v>
      </c>
      <c r="AR723" s="77"/>
      <c r="AS723" s="77"/>
      <c r="AT723" s="77"/>
      <c r="AU723" s="77"/>
      <c r="AV723" s="77"/>
      <c r="AW723" s="77"/>
      <c r="AX723" s="77"/>
      <c r="AY723" s="77"/>
      <c r="AZ723" s="77"/>
      <c r="BA723" s="77"/>
      <c r="BB723" s="77"/>
      <c r="BC723" s="77"/>
      <c r="BD723" s="77"/>
      <c r="BE723" s="77"/>
      <c r="BF723" s="77"/>
      <c r="BG723" s="77"/>
      <c r="BH723" s="77"/>
      <c r="BI723" s="77"/>
      <c r="BJ723" s="77"/>
      <c r="BK723" s="77"/>
      <c r="BL723" s="77"/>
      <c r="BM723" s="78"/>
    </row>
    <row r="724">
      <c r="A724" s="79">
        <v>2.7142857142857144</v>
      </c>
      <c r="B724" s="79" t="b">
        <v>0</v>
      </c>
      <c r="C724" s="79" t="b">
        <f t="shared" si="3"/>
        <v>0</v>
      </c>
      <c r="D724" s="80" t="s">
        <v>1565</v>
      </c>
      <c r="E724" s="81" t="s">
        <v>1348</v>
      </c>
      <c r="F724" s="82" t="s">
        <v>1464</v>
      </c>
      <c r="G724" s="35" t="s">
        <v>832</v>
      </c>
      <c r="H724" s="37">
        <v>-13.445161482091226</v>
      </c>
      <c r="I724" s="37">
        <v>-8.003023873363368</v>
      </c>
      <c r="J724" s="83" t="s">
        <v>2394</v>
      </c>
      <c r="K724" s="35">
        <v>21.9</v>
      </c>
      <c r="L724" s="79">
        <v>69.4</v>
      </c>
      <c r="M724" s="84">
        <v>24.0</v>
      </c>
      <c r="N724" s="84">
        <v>7.0</v>
      </c>
      <c r="O724" s="85">
        <v>-1.5000342476072879</v>
      </c>
      <c r="P724" s="85">
        <v>-1.571927823721473</v>
      </c>
      <c r="Q724" s="85">
        <v>-1.4961052358117968</v>
      </c>
      <c r="R724" s="85">
        <v>-1.6695346912819755</v>
      </c>
      <c r="S724" s="85">
        <v>-1.374567353236183</v>
      </c>
      <c r="T724" s="85">
        <v>-0.7871777123417198</v>
      </c>
      <c r="U724" s="85">
        <v>-1.5145045227240868</v>
      </c>
      <c r="V724" s="85">
        <v>0.0</v>
      </c>
      <c r="W724" s="85">
        <v>-1.8375366009038714</v>
      </c>
      <c r="X724" s="85">
        <v>-1.6937732944628323</v>
      </c>
      <c r="Y724" s="50" t="s">
        <v>69</v>
      </c>
      <c r="Z724" s="50" t="s">
        <v>69</v>
      </c>
      <c r="AA724" s="50" t="s">
        <v>69</v>
      </c>
      <c r="AB724" s="50" t="s">
        <v>69</v>
      </c>
      <c r="AC724" s="34" t="str">
        <f t="shared" ref="AC724:AP724" si="724">LET(
  skater, IFERROR(INDEX(AllProj, MATCH($E724, AllProjNames, 0), MATCH(AC$2, AllProjCats, 0) + 1), ""),
  goalie, IFERROR(INDEX(AllGProj, MATCH($E724, AllGProjNames, 0), MATCH(AC$2, AllGProjCats, 0) + 1), ""),
  val, IF(skater &lt;&gt; "", skater, goalie),
  IF(OR($E724="", AC$2="", val=""), "", val * AC$1)
)</f>
        <v/>
      </c>
      <c r="AD724" s="34" t="str">
        <f t="shared" si="724"/>
        <v/>
      </c>
      <c r="AE724" s="34" t="str">
        <f t="shared" si="724"/>
        <v/>
      </c>
      <c r="AF724" s="34" t="str">
        <f t="shared" si="724"/>
        <v/>
      </c>
      <c r="AG724" s="34" t="str">
        <f t="shared" si="724"/>
        <v/>
      </c>
      <c r="AH724" s="34" t="str">
        <f t="shared" si="724"/>
        <v/>
      </c>
      <c r="AI724" s="34" t="str">
        <f t="shared" si="724"/>
        <v/>
      </c>
      <c r="AJ724" s="34" t="str">
        <f t="shared" si="724"/>
        <v/>
      </c>
      <c r="AK724" s="34" t="str">
        <f t="shared" si="724"/>
        <v/>
      </c>
      <c r="AL724" s="34" t="str">
        <f t="shared" si="724"/>
        <v/>
      </c>
      <c r="AM724" s="34" t="str">
        <f t="shared" si="724"/>
        <v/>
      </c>
      <c r="AN724" s="34" t="str">
        <f t="shared" si="724"/>
        <v/>
      </c>
      <c r="AO724" s="34" t="str">
        <f t="shared" si="724"/>
        <v/>
      </c>
      <c r="AP724" s="34" t="str">
        <f t="shared" si="724"/>
        <v/>
      </c>
      <c r="AQ724" s="76" t="s">
        <v>764</v>
      </c>
      <c r="AR724" s="77"/>
      <c r="AS724" s="77"/>
      <c r="AT724" s="77"/>
      <c r="AU724" s="77"/>
      <c r="AV724" s="77"/>
      <c r="AW724" s="77"/>
      <c r="AX724" s="77"/>
      <c r="AY724" s="77"/>
      <c r="AZ724" s="77"/>
      <c r="BA724" s="77"/>
      <c r="BB724" s="77"/>
      <c r="BC724" s="77"/>
      <c r="BD724" s="77"/>
      <c r="BE724" s="77"/>
      <c r="BF724" s="77"/>
      <c r="BG724" s="77"/>
      <c r="BH724" s="77"/>
      <c r="BI724" s="77"/>
      <c r="BJ724" s="77"/>
      <c r="BK724" s="77"/>
      <c r="BL724" s="77"/>
      <c r="BM724" s="78"/>
    </row>
    <row r="725">
      <c r="A725" s="41">
        <v>2.642857142857143</v>
      </c>
      <c r="B725" s="41" t="b">
        <v>0</v>
      </c>
      <c r="C725" s="41" t="b">
        <f t="shared" si="3"/>
        <v>0</v>
      </c>
      <c r="D725" s="42" t="s">
        <v>1565</v>
      </c>
      <c r="E725" s="43" t="s">
        <v>1266</v>
      </c>
      <c r="F725" s="44" t="s">
        <v>1512</v>
      </c>
      <c r="G725" s="29" t="s">
        <v>284</v>
      </c>
      <c r="H725" s="32">
        <v>-13.467933976344005</v>
      </c>
      <c r="I725" s="32">
        <v>-8.429867956160919</v>
      </c>
      <c r="J725" s="45" t="s">
        <v>2395</v>
      </c>
      <c r="K725" s="29">
        <v>24.0</v>
      </c>
      <c r="L725" s="41">
        <v>70.4</v>
      </c>
      <c r="M725" s="46">
        <v>21.0</v>
      </c>
      <c r="N725" s="46">
        <v>7.0</v>
      </c>
      <c r="O725" s="47">
        <v>-1.7968222634487592</v>
      </c>
      <c r="P725" s="47">
        <v>-2.0428791946211287</v>
      </c>
      <c r="Q725" s="47">
        <v>-1.474014570872605</v>
      </c>
      <c r="R725" s="47">
        <v>-0.8364435746637692</v>
      </c>
      <c r="S725" s="47">
        <v>-1.5752588676964516</v>
      </c>
      <c r="T725" s="47">
        <v>-0.7871777123417198</v>
      </c>
      <c r="U725" s="47">
        <v>-2.5358031507401275</v>
      </c>
      <c r="V725" s="47">
        <v>0.21838984630161712</v>
      </c>
      <c r="W725" s="47">
        <v>-0.5670481245827733</v>
      </c>
      <c r="X725" s="47">
        <v>-2.070876363678288</v>
      </c>
      <c r="Y725" s="50" t="s">
        <v>69</v>
      </c>
      <c r="Z725" s="50" t="s">
        <v>69</v>
      </c>
      <c r="AA725" s="50" t="s">
        <v>69</v>
      </c>
      <c r="AB725" s="50" t="s">
        <v>69</v>
      </c>
      <c r="AC725" s="34" t="str">
        <f t="shared" ref="AC725:AP725" si="725">LET(
  skater, IFERROR(INDEX(AllProj, MATCH($E725, AllProjNames, 0), MATCH(AC$2, AllProjCats, 0) + 1), ""),
  goalie, IFERROR(INDEX(AllGProj, MATCH($E725, AllGProjNames, 0), MATCH(AC$2, AllGProjCats, 0) + 1), ""),
  val, IF(skater &lt;&gt; "", skater, goalie),
  IF(OR($E725="", AC$2="", val=""), "", val * AC$1)
)</f>
        <v/>
      </c>
      <c r="AD725" s="34" t="str">
        <f t="shared" si="725"/>
        <v/>
      </c>
      <c r="AE725" s="34" t="str">
        <f t="shared" si="725"/>
        <v/>
      </c>
      <c r="AF725" s="34" t="str">
        <f t="shared" si="725"/>
        <v/>
      </c>
      <c r="AG725" s="34" t="str">
        <f t="shared" si="725"/>
        <v/>
      </c>
      <c r="AH725" s="34" t="str">
        <f t="shared" si="725"/>
        <v/>
      </c>
      <c r="AI725" s="34" t="str">
        <f t="shared" si="725"/>
        <v/>
      </c>
      <c r="AJ725" s="34" t="str">
        <f t="shared" si="725"/>
        <v/>
      </c>
      <c r="AK725" s="34" t="str">
        <f t="shared" si="725"/>
        <v/>
      </c>
      <c r="AL725" s="34" t="str">
        <f t="shared" si="725"/>
        <v/>
      </c>
      <c r="AM725" s="34" t="str">
        <f t="shared" si="725"/>
        <v/>
      </c>
      <c r="AN725" s="34" t="str">
        <f t="shared" si="725"/>
        <v/>
      </c>
      <c r="AO725" s="34" t="str">
        <f t="shared" si="725"/>
        <v/>
      </c>
      <c r="AP725" s="34" t="str">
        <f t="shared" si="725"/>
        <v/>
      </c>
      <c r="AQ725" s="76" t="s">
        <v>765</v>
      </c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 s="77"/>
      <c r="BH725" s="77"/>
      <c r="BI725" s="77"/>
      <c r="BJ725" s="77"/>
      <c r="BK725" s="77"/>
      <c r="BL725" s="77"/>
      <c r="BM725" s="78"/>
    </row>
    <row r="726">
      <c r="A726" s="79">
        <v>2.7142857142857144</v>
      </c>
      <c r="B726" s="79" t="b">
        <v>0</v>
      </c>
      <c r="C726" s="79" t="b">
        <f t="shared" si="3"/>
        <v>0</v>
      </c>
      <c r="D726" s="80" t="s">
        <v>1565</v>
      </c>
      <c r="E726" s="81" t="s">
        <v>1355</v>
      </c>
      <c r="F726" s="82" t="s">
        <v>1517</v>
      </c>
      <c r="G726" s="35" t="s">
        <v>837</v>
      </c>
      <c r="H726" s="37">
        <v>-13.475892554983728</v>
      </c>
      <c r="I726" s="37">
        <v>-7.946033783054827</v>
      </c>
      <c r="J726" s="83" t="s">
        <v>2396</v>
      </c>
      <c r="K726" s="35">
        <v>26.1</v>
      </c>
      <c r="L726" s="79">
        <v>71.14285714285714</v>
      </c>
      <c r="M726" s="84">
        <v>18.0</v>
      </c>
      <c r="N726" s="84">
        <v>6.0</v>
      </c>
      <c r="O726" s="85">
        <v>-2.2725454268556695</v>
      </c>
      <c r="P726" s="85">
        <v>-1.4837694390210452</v>
      </c>
      <c r="Q726" s="85">
        <v>-1.37907362582304</v>
      </c>
      <c r="R726" s="85">
        <v>-1.1135485089760084</v>
      </c>
      <c r="S726" s="85">
        <v>-1.7059417143217428</v>
      </c>
      <c r="T726" s="85">
        <v>-0.7871777123417198</v>
      </c>
      <c r="U726" s="85">
        <v>-2.0152957418670874</v>
      </c>
      <c r="V726" s="85">
        <v>0.0</v>
      </c>
      <c r="W726" s="85">
        <v>-1.8217286797699224</v>
      </c>
      <c r="X726" s="85">
        <v>-0.8968117060074918</v>
      </c>
      <c r="Y726" s="50" t="s">
        <v>69</v>
      </c>
      <c r="Z726" s="50" t="s">
        <v>69</v>
      </c>
      <c r="AA726" s="50" t="s">
        <v>69</v>
      </c>
      <c r="AB726" s="50" t="s">
        <v>69</v>
      </c>
      <c r="AC726" s="34" t="str">
        <f t="shared" ref="AC726:AP726" si="726">LET(
  skater, IFERROR(INDEX(AllProj, MATCH($E726, AllProjNames, 0), MATCH(AC$2, AllProjCats, 0) + 1), ""),
  goalie, IFERROR(INDEX(AllGProj, MATCH($E726, AllGProjNames, 0), MATCH(AC$2, AllGProjCats, 0) + 1), ""),
  val, IF(skater &lt;&gt; "", skater, goalie),
  IF(OR($E726="", AC$2="", val=""), "", val * AC$1)
)</f>
        <v/>
      </c>
      <c r="AD726" s="34" t="str">
        <f t="shared" si="726"/>
        <v/>
      </c>
      <c r="AE726" s="34" t="str">
        <f t="shared" si="726"/>
        <v/>
      </c>
      <c r="AF726" s="34" t="str">
        <f t="shared" si="726"/>
        <v/>
      </c>
      <c r="AG726" s="34" t="str">
        <f t="shared" si="726"/>
        <v/>
      </c>
      <c r="AH726" s="34" t="str">
        <f t="shared" si="726"/>
        <v/>
      </c>
      <c r="AI726" s="34" t="str">
        <f t="shared" si="726"/>
        <v/>
      </c>
      <c r="AJ726" s="34" t="str">
        <f t="shared" si="726"/>
        <v/>
      </c>
      <c r="AK726" s="34" t="str">
        <f t="shared" si="726"/>
        <v/>
      </c>
      <c r="AL726" s="34" t="str">
        <f t="shared" si="726"/>
        <v/>
      </c>
      <c r="AM726" s="34" t="str">
        <f t="shared" si="726"/>
        <v/>
      </c>
      <c r="AN726" s="34" t="str">
        <f t="shared" si="726"/>
        <v/>
      </c>
      <c r="AO726" s="34" t="str">
        <f t="shared" si="726"/>
        <v/>
      </c>
      <c r="AP726" s="34" t="str">
        <f t="shared" si="726"/>
        <v/>
      </c>
      <c r="AQ726" s="76" t="s">
        <v>766</v>
      </c>
      <c r="AR726" s="77"/>
      <c r="AS726" s="77"/>
      <c r="AT726" s="77"/>
      <c r="AU726" s="77"/>
      <c r="AV726" s="77"/>
      <c r="AW726" s="77"/>
      <c r="AX726" s="77"/>
      <c r="AY726" s="77"/>
      <c r="AZ726" s="77"/>
      <c r="BA726" s="77"/>
      <c r="BB726" s="77"/>
      <c r="BC726" s="77"/>
      <c r="BD726" s="77"/>
      <c r="BE726" s="77"/>
      <c r="BF726" s="77"/>
      <c r="BG726" s="77"/>
      <c r="BH726" s="77"/>
      <c r="BI726" s="77"/>
      <c r="BJ726" s="77"/>
      <c r="BK726" s="77"/>
      <c r="BL726" s="77"/>
      <c r="BM726" s="78"/>
    </row>
    <row r="727">
      <c r="A727" s="41">
        <v>2.7142857142857144</v>
      </c>
      <c r="B727" s="41" t="b">
        <v>0</v>
      </c>
      <c r="C727" s="41" t="b">
        <f t="shared" si="3"/>
        <v>0</v>
      </c>
      <c r="D727" s="42" t="s">
        <v>1565</v>
      </c>
      <c r="E727" s="43" t="s">
        <v>1335</v>
      </c>
      <c r="F727" s="44" t="s">
        <v>1454</v>
      </c>
      <c r="G727" s="29" t="s">
        <v>835</v>
      </c>
      <c r="H727" s="32">
        <v>-13.502333258941706</v>
      </c>
      <c r="I727" s="32">
        <v>-8.114453134028967</v>
      </c>
      <c r="J727" s="45" t="s">
        <v>2397</v>
      </c>
      <c r="K727" s="29">
        <v>34.3</v>
      </c>
      <c r="L727" s="41">
        <v>72.0</v>
      </c>
      <c r="M727" s="46">
        <v>25.0</v>
      </c>
      <c r="N727" s="46">
        <v>6.0</v>
      </c>
      <c r="O727" s="47">
        <v>-1.6509434082046461</v>
      </c>
      <c r="P727" s="47">
        <v>-1.6531263359455517</v>
      </c>
      <c r="Q727" s="47">
        <v>-1.581771038414479</v>
      </c>
      <c r="R727" s="47">
        <v>-1.8933502151495532</v>
      </c>
      <c r="S727" s="47">
        <v>-1.2578862401778874</v>
      </c>
      <c r="T727" s="47">
        <v>-0.16952108464970286</v>
      </c>
      <c r="U727" s="47">
        <v>-1.8779396200811462</v>
      </c>
      <c r="V727" s="47">
        <v>0.0</v>
      </c>
      <c r="W727" s="47">
        <v>-2.1490111950987214</v>
      </c>
      <c r="X727" s="47">
        <v>-1.2687841212200166</v>
      </c>
      <c r="Y727" s="50" t="s">
        <v>69</v>
      </c>
      <c r="Z727" s="50" t="s">
        <v>69</v>
      </c>
      <c r="AA727" s="50" t="s">
        <v>69</v>
      </c>
      <c r="AB727" s="50" t="s">
        <v>69</v>
      </c>
      <c r="AC727" s="34" t="str">
        <f t="shared" ref="AC727:AP727" si="727">LET(
  skater, IFERROR(INDEX(AllProj, MATCH($E727, AllProjNames, 0), MATCH(AC$2, AllProjCats, 0) + 1), ""),
  goalie, IFERROR(INDEX(AllGProj, MATCH($E727, AllGProjNames, 0), MATCH(AC$2, AllGProjCats, 0) + 1), ""),
  val, IF(skater &lt;&gt; "", skater, goalie),
  IF(OR($E727="", AC$2="", val=""), "", val * AC$1)
)</f>
        <v/>
      </c>
      <c r="AD727" s="34" t="str">
        <f t="shared" si="727"/>
        <v/>
      </c>
      <c r="AE727" s="34" t="str">
        <f t="shared" si="727"/>
        <v/>
      </c>
      <c r="AF727" s="34" t="str">
        <f t="shared" si="727"/>
        <v/>
      </c>
      <c r="AG727" s="34" t="str">
        <f t="shared" si="727"/>
        <v/>
      </c>
      <c r="AH727" s="34" t="str">
        <f t="shared" si="727"/>
        <v/>
      </c>
      <c r="AI727" s="34" t="str">
        <f t="shared" si="727"/>
        <v/>
      </c>
      <c r="AJ727" s="34" t="str">
        <f t="shared" si="727"/>
        <v/>
      </c>
      <c r="AK727" s="34" t="str">
        <f t="shared" si="727"/>
        <v/>
      </c>
      <c r="AL727" s="34" t="str">
        <f t="shared" si="727"/>
        <v/>
      </c>
      <c r="AM727" s="34" t="str">
        <f t="shared" si="727"/>
        <v/>
      </c>
      <c r="AN727" s="34" t="str">
        <f t="shared" si="727"/>
        <v/>
      </c>
      <c r="AO727" s="34" t="str">
        <f t="shared" si="727"/>
        <v/>
      </c>
      <c r="AP727" s="34" t="str">
        <f t="shared" si="727"/>
        <v/>
      </c>
      <c r="AQ727" s="76" t="s">
        <v>767</v>
      </c>
      <c r="AR727" s="77"/>
      <c r="AS727" s="77"/>
      <c r="AT727" s="77"/>
      <c r="AU727" s="77"/>
      <c r="AV727" s="77"/>
      <c r="AW727" s="77"/>
      <c r="AX727" s="77"/>
      <c r="AY727" s="77"/>
      <c r="AZ727" s="77"/>
      <c r="BA727" s="77"/>
      <c r="BB727" s="77"/>
      <c r="BC727" s="77"/>
      <c r="BD727" s="77"/>
      <c r="BE727" s="77"/>
      <c r="BF727" s="77"/>
      <c r="BG727" s="77"/>
      <c r="BH727" s="77"/>
      <c r="BI727" s="77"/>
      <c r="BJ727" s="77"/>
      <c r="BK727" s="77"/>
      <c r="BL727" s="77"/>
      <c r="BM727" s="78"/>
    </row>
    <row r="728">
      <c r="A728" s="79">
        <v>2.642857142857143</v>
      </c>
      <c r="B728" s="79" t="b">
        <v>0</v>
      </c>
      <c r="C728" s="79" t="b">
        <f t="shared" si="3"/>
        <v>0</v>
      </c>
      <c r="D728" s="80" t="s">
        <v>1565</v>
      </c>
      <c r="E728" s="81" t="s">
        <v>1252</v>
      </c>
      <c r="F728" s="82" t="s">
        <v>1512</v>
      </c>
      <c r="G728" s="35" t="s">
        <v>832</v>
      </c>
      <c r="H728" s="37">
        <v>-13.521585635462156</v>
      </c>
      <c r="I728" s="37">
        <v>-8.079448026734298</v>
      </c>
      <c r="J728" s="83" t="s">
        <v>2398</v>
      </c>
      <c r="K728" s="35">
        <v>26.2</v>
      </c>
      <c r="L728" s="79">
        <v>75.4695</v>
      </c>
      <c r="M728" s="84">
        <v>21.0</v>
      </c>
      <c r="N728" s="84">
        <v>7.0</v>
      </c>
      <c r="O728" s="85">
        <v>-1.2626111000036693</v>
      </c>
      <c r="P728" s="85">
        <v>-1.1939491768542654</v>
      </c>
      <c r="Q728" s="85">
        <v>-1.9557417150796688</v>
      </c>
      <c r="R728" s="85">
        <v>-1.8483889253757209</v>
      </c>
      <c r="S728" s="85">
        <v>-1.236497757831356</v>
      </c>
      <c r="T728" s="85">
        <v>-0.7847977461003892</v>
      </c>
      <c r="U728" s="85">
        <v>-1.7775828941226195</v>
      </c>
      <c r="V728" s="85">
        <v>0.0</v>
      </c>
      <c r="W728" s="85">
        <v>-1.4361539342361054</v>
      </c>
      <c r="X728" s="85">
        <v>-2.025862385858361</v>
      </c>
      <c r="Y728" s="50" t="s">
        <v>69</v>
      </c>
      <c r="Z728" s="50" t="s">
        <v>69</v>
      </c>
      <c r="AA728" s="50" t="s">
        <v>69</v>
      </c>
      <c r="AB728" s="50" t="s">
        <v>69</v>
      </c>
      <c r="AC728" s="34" t="str">
        <f t="shared" ref="AC728:AP728" si="728">LET(
  skater, IFERROR(INDEX(AllProj, MATCH($E728, AllProjNames, 0), MATCH(AC$2, AllProjCats, 0) + 1), ""),
  goalie, IFERROR(INDEX(AllGProj, MATCH($E728, AllGProjNames, 0), MATCH(AC$2, AllGProjCats, 0) + 1), ""),
  val, IF(skater &lt;&gt; "", skater, goalie),
  IF(OR($E728="", AC$2="", val=""), "", val * AC$1)
)</f>
        <v/>
      </c>
      <c r="AD728" s="34" t="str">
        <f t="shared" si="728"/>
        <v/>
      </c>
      <c r="AE728" s="34" t="str">
        <f t="shared" si="728"/>
        <v/>
      </c>
      <c r="AF728" s="34" t="str">
        <f t="shared" si="728"/>
        <v/>
      </c>
      <c r="AG728" s="34" t="str">
        <f t="shared" si="728"/>
        <v/>
      </c>
      <c r="AH728" s="34" t="str">
        <f t="shared" si="728"/>
        <v/>
      </c>
      <c r="AI728" s="34" t="str">
        <f t="shared" si="728"/>
        <v/>
      </c>
      <c r="AJ728" s="34" t="str">
        <f t="shared" si="728"/>
        <v/>
      </c>
      <c r="AK728" s="34" t="str">
        <f t="shared" si="728"/>
        <v/>
      </c>
      <c r="AL728" s="34" t="str">
        <f t="shared" si="728"/>
        <v/>
      </c>
      <c r="AM728" s="34" t="str">
        <f t="shared" si="728"/>
        <v/>
      </c>
      <c r="AN728" s="34" t="str">
        <f t="shared" si="728"/>
        <v/>
      </c>
      <c r="AO728" s="34" t="str">
        <f t="shared" si="728"/>
        <v/>
      </c>
      <c r="AP728" s="34" t="str">
        <f t="shared" si="728"/>
        <v/>
      </c>
      <c r="AQ728" s="76" t="s">
        <v>768</v>
      </c>
      <c r="AR728" s="77"/>
      <c r="AS728" s="77"/>
      <c r="AT728" s="77"/>
      <c r="AU728" s="77"/>
      <c r="AV728" s="77"/>
      <c r="AW728" s="77"/>
      <c r="AX728" s="77"/>
      <c r="AY728" s="77"/>
      <c r="AZ728" s="77"/>
      <c r="BA728" s="77"/>
      <c r="BB728" s="77"/>
      <c r="BC728" s="77"/>
      <c r="BD728" s="77"/>
      <c r="BE728" s="77"/>
      <c r="BF728" s="77"/>
      <c r="BG728" s="77"/>
      <c r="BH728" s="77"/>
      <c r="BI728" s="77"/>
      <c r="BJ728" s="77"/>
      <c r="BK728" s="77"/>
      <c r="BL728" s="77"/>
      <c r="BM728" s="78"/>
    </row>
    <row r="729">
      <c r="A729" s="41">
        <v>2.642857142857143</v>
      </c>
      <c r="B729" s="41" t="b">
        <v>0</v>
      </c>
      <c r="C729" s="41" t="b">
        <f t="shared" si="3"/>
        <v>0</v>
      </c>
      <c r="D729" s="42" t="s">
        <v>1565</v>
      </c>
      <c r="E729" s="43" t="s">
        <v>1261</v>
      </c>
      <c r="F729" s="44" t="s">
        <v>1706</v>
      </c>
      <c r="G729" s="29" t="s">
        <v>836</v>
      </c>
      <c r="H729" s="32">
        <v>-13.551790576647818</v>
      </c>
      <c r="I729" s="32">
        <v>-8.10965296791996</v>
      </c>
      <c r="J729" s="45" t="s">
        <v>2399</v>
      </c>
      <c r="K729" s="29">
        <v>30.4</v>
      </c>
      <c r="L729" s="41">
        <v>68.8</v>
      </c>
      <c r="M729" s="46">
        <v>31.0</v>
      </c>
      <c r="N729" s="46">
        <v>7.0</v>
      </c>
      <c r="O729" s="47">
        <v>-1.3994281405423823</v>
      </c>
      <c r="P729" s="47">
        <v>-1.8317630628385246</v>
      </c>
      <c r="Q729" s="47">
        <v>-1.7590194832685253</v>
      </c>
      <c r="R729" s="47">
        <v>-1.1721668604651359</v>
      </c>
      <c r="S729" s="47">
        <v>-1.4912484662944787</v>
      </c>
      <c r="T729" s="47">
        <v>-0.7871777123417198</v>
      </c>
      <c r="U729" s="47">
        <v>-2.2183724960864932</v>
      </c>
      <c r="V729" s="47">
        <v>0.0</v>
      </c>
      <c r="W729" s="47">
        <v>-1.2227841123614047</v>
      </c>
      <c r="X729" s="47">
        <v>-1.6698302424491525</v>
      </c>
      <c r="Y729" s="50" t="s">
        <v>69</v>
      </c>
      <c r="Z729" s="50" t="s">
        <v>69</v>
      </c>
      <c r="AA729" s="50" t="s">
        <v>69</v>
      </c>
      <c r="AB729" s="50" t="s">
        <v>69</v>
      </c>
      <c r="AC729" s="34" t="str">
        <f t="shared" ref="AC729:AP729" si="729">LET(
  skater, IFERROR(INDEX(AllProj, MATCH($E729, AllProjNames, 0), MATCH(AC$2, AllProjCats, 0) + 1), ""),
  goalie, IFERROR(INDEX(AllGProj, MATCH($E729, AllGProjNames, 0), MATCH(AC$2, AllGProjCats, 0) + 1), ""),
  val, IF(skater &lt;&gt; "", skater, goalie),
  IF(OR($E729="", AC$2="", val=""), "", val * AC$1)
)</f>
        <v/>
      </c>
      <c r="AD729" s="34" t="str">
        <f t="shared" si="729"/>
        <v/>
      </c>
      <c r="AE729" s="34" t="str">
        <f t="shared" si="729"/>
        <v/>
      </c>
      <c r="AF729" s="34" t="str">
        <f t="shared" si="729"/>
        <v/>
      </c>
      <c r="AG729" s="34" t="str">
        <f t="shared" si="729"/>
        <v/>
      </c>
      <c r="AH729" s="34" t="str">
        <f t="shared" si="729"/>
        <v/>
      </c>
      <c r="AI729" s="34" t="str">
        <f t="shared" si="729"/>
        <v/>
      </c>
      <c r="AJ729" s="34" t="str">
        <f t="shared" si="729"/>
        <v/>
      </c>
      <c r="AK729" s="34" t="str">
        <f t="shared" si="729"/>
        <v/>
      </c>
      <c r="AL729" s="34" t="str">
        <f t="shared" si="729"/>
        <v/>
      </c>
      <c r="AM729" s="34" t="str">
        <f t="shared" si="729"/>
        <v/>
      </c>
      <c r="AN729" s="34" t="str">
        <f t="shared" si="729"/>
        <v/>
      </c>
      <c r="AO729" s="34" t="str">
        <f t="shared" si="729"/>
        <v/>
      </c>
      <c r="AP729" s="34" t="str">
        <f t="shared" si="729"/>
        <v/>
      </c>
      <c r="AQ729" s="76" t="s">
        <v>769</v>
      </c>
      <c r="AR729" s="77"/>
      <c r="AS729" s="77"/>
      <c r="AT729" s="77"/>
      <c r="AU729" s="77"/>
      <c r="AV729" s="77"/>
      <c r="AW729" s="77"/>
      <c r="AX729" s="77"/>
      <c r="AY729" s="77"/>
      <c r="AZ729" s="77"/>
      <c r="BA729" s="77"/>
      <c r="BB729" s="77"/>
      <c r="BC729" s="77"/>
      <c r="BD729" s="77"/>
      <c r="BE729" s="77"/>
      <c r="BF729" s="77"/>
      <c r="BG729" s="77"/>
      <c r="BH729" s="77"/>
      <c r="BI729" s="77"/>
      <c r="BJ729" s="77"/>
      <c r="BK729" s="77"/>
      <c r="BL729" s="77"/>
      <c r="BM729" s="78"/>
    </row>
    <row r="730">
      <c r="A730" s="79">
        <v>2.7142857142857144</v>
      </c>
      <c r="B730" s="79" t="b">
        <v>0</v>
      </c>
      <c r="C730" s="79" t="b">
        <f t="shared" si="3"/>
        <v>0</v>
      </c>
      <c r="D730" s="80" t="s">
        <v>1565</v>
      </c>
      <c r="E730" s="81" t="s">
        <v>1337</v>
      </c>
      <c r="F730" s="82" t="s">
        <v>1498</v>
      </c>
      <c r="G730" s="35" t="s">
        <v>832</v>
      </c>
      <c r="H730" s="37">
        <v>-13.557460972333196</v>
      </c>
      <c r="I730" s="37">
        <v>-8.115323363605338</v>
      </c>
      <c r="J730" s="83" t="s">
        <v>2400</v>
      </c>
      <c r="K730" s="35">
        <v>23.3</v>
      </c>
      <c r="L730" s="79">
        <v>75.0</v>
      </c>
      <c r="M730" s="84">
        <v>28.0</v>
      </c>
      <c r="N730" s="84">
        <v>7.0</v>
      </c>
      <c r="O730" s="85">
        <v>-1.3994281405423823</v>
      </c>
      <c r="P730" s="85">
        <v>-1.133455857711449</v>
      </c>
      <c r="Q730" s="85">
        <v>-1.4733439371068846</v>
      </c>
      <c r="R730" s="85">
        <v>-1.8063108447566063</v>
      </c>
      <c r="S730" s="85">
        <v>-0.9078429010030005</v>
      </c>
      <c r="T730" s="85">
        <v>-0.7871777123417198</v>
      </c>
      <c r="U730" s="85">
        <v>-1.9561471726769692</v>
      </c>
      <c r="V730" s="85">
        <v>0.0</v>
      </c>
      <c r="W730" s="85">
        <v>-2.4358956897518724</v>
      </c>
      <c r="X730" s="85">
        <v>-1.6578587164423126</v>
      </c>
      <c r="Y730" s="50" t="s">
        <v>69</v>
      </c>
      <c r="Z730" s="50" t="s">
        <v>69</v>
      </c>
      <c r="AA730" s="50" t="s">
        <v>69</v>
      </c>
      <c r="AB730" s="50" t="s">
        <v>69</v>
      </c>
      <c r="AC730" s="34" t="str">
        <f t="shared" ref="AC730:AP730" si="730">LET(
  skater, IFERROR(INDEX(AllProj, MATCH($E730, AllProjNames, 0), MATCH(AC$2, AllProjCats, 0) + 1), ""),
  goalie, IFERROR(INDEX(AllGProj, MATCH($E730, AllGProjNames, 0), MATCH(AC$2, AllGProjCats, 0) + 1), ""),
  val, IF(skater &lt;&gt; "", skater, goalie),
  IF(OR($E730="", AC$2="", val=""), "", val * AC$1)
)</f>
        <v/>
      </c>
      <c r="AD730" s="34" t="str">
        <f t="shared" si="730"/>
        <v/>
      </c>
      <c r="AE730" s="34" t="str">
        <f t="shared" si="730"/>
        <v/>
      </c>
      <c r="AF730" s="34" t="str">
        <f t="shared" si="730"/>
        <v/>
      </c>
      <c r="AG730" s="34" t="str">
        <f t="shared" si="730"/>
        <v/>
      </c>
      <c r="AH730" s="34" t="str">
        <f t="shared" si="730"/>
        <v/>
      </c>
      <c r="AI730" s="34" t="str">
        <f t="shared" si="730"/>
        <v/>
      </c>
      <c r="AJ730" s="34" t="str">
        <f t="shared" si="730"/>
        <v/>
      </c>
      <c r="AK730" s="34" t="str">
        <f t="shared" si="730"/>
        <v/>
      </c>
      <c r="AL730" s="34" t="str">
        <f t="shared" si="730"/>
        <v/>
      </c>
      <c r="AM730" s="34" t="str">
        <f t="shared" si="730"/>
        <v/>
      </c>
      <c r="AN730" s="34" t="str">
        <f t="shared" si="730"/>
        <v/>
      </c>
      <c r="AO730" s="34" t="str">
        <f t="shared" si="730"/>
        <v/>
      </c>
      <c r="AP730" s="34" t="str">
        <f t="shared" si="730"/>
        <v/>
      </c>
      <c r="AQ730" s="76" t="s">
        <v>770</v>
      </c>
      <c r="AR730" s="77"/>
      <c r="AS730" s="77"/>
      <c r="AT730" s="77"/>
      <c r="AU730" s="77"/>
      <c r="AV730" s="77"/>
      <c r="AW730" s="77"/>
      <c r="AX730" s="77"/>
      <c r="AY730" s="77"/>
      <c r="AZ730" s="77"/>
      <c r="BA730" s="77"/>
      <c r="BB730" s="77"/>
      <c r="BC730" s="77"/>
      <c r="BD730" s="77"/>
      <c r="BE730" s="77"/>
      <c r="BF730" s="77"/>
      <c r="BG730" s="77"/>
      <c r="BH730" s="77"/>
      <c r="BI730" s="77"/>
      <c r="BJ730" s="77"/>
      <c r="BK730" s="77"/>
      <c r="BL730" s="77"/>
      <c r="BM730" s="78"/>
    </row>
    <row r="731">
      <c r="A731" s="41">
        <v>2.7857142857142856</v>
      </c>
      <c r="B731" s="41" t="b">
        <v>0</v>
      </c>
      <c r="C731" s="41" t="b">
        <f t="shared" si="3"/>
        <v>0</v>
      </c>
      <c r="D731" s="42" t="s">
        <v>1565</v>
      </c>
      <c r="E731" s="43" t="s">
        <v>1369</v>
      </c>
      <c r="F731" s="44" t="s">
        <v>1517</v>
      </c>
      <c r="G731" s="29" t="s">
        <v>837</v>
      </c>
      <c r="H731" s="32">
        <v>-13.584800696021526</v>
      </c>
      <c r="I731" s="32">
        <v>-8.054941924092624</v>
      </c>
      <c r="J731" s="45" t="s">
        <v>2401</v>
      </c>
      <c r="K731" s="29">
        <v>28.3</v>
      </c>
      <c r="L731" s="41">
        <v>77.42857142857143</v>
      </c>
      <c r="M731" s="46">
        <v>18.0</v>
      </c>
      <c r="N731" s="46">
        <v>6.0</v>
      </c>
      <c r="O731" s="47">
        <v>-2.0857055137351304</v>
      </c>
      <c r="P731" s="47">
        <v>-1.5371284613397251</v>
      </c>
      <c r="Q731" s="47">
        <v>-2.554946406429019</v>
      </c>
      <c r="R731" s="47">
        <v>-1.584271634570517</v>
      </c>
      <c r="S731" s="47">
        <v>-1.72461069241107</v>
      </c>
      <c r="T731" s="47">
        <v>-0.16952108464970286</v>
      </c>
      <c r="U731" s="47">
        <v>-2.1572523079233714</v>
      </c>
      <c r="V731" s="47">
        <v>0.0</v>
      </c>
      <c r="W731" s="47">
        <v>-1.8433913865090379</v>
      </c>
      <c r="X731" s="47">
        <v>0.07202679154604932</v>
      </c>
      <c r="Y731" s="50" t="s">
        <v>69</v>
      </c>
      <c r="Z731" s="50" t="s">
        <v>69</v>
      </c>
      <c r="AA731" s="50" t="s">
        <v>69</v>
      </c>
      <c r="AB731" s="50" t="s">
        <v>69</v>
      </c>
      <c r="AC731" s="34" t="str">
        <f t="shared" ref="AC731:AP731" si="731">LET(
  skater, IFERROR(INDEX(AllProj, MATCH($E731, AllProjNames, 0), MATCH(AC$2, AllProjCats, 0) + 1), ""),
  goalie, IFERROR(INDEX(AllGProj, MATCH($E731, AllGProjNames, 0), MATCH(AC$2, AllGProjCats, 0) + 1), ""),
  val, IF(skater &lt;&gt; "", skater, goalie),
  IF(OR($E731="", AC$2="", val=""), "", val * AC$1)
)</f>
        <v/>
      </c>
      <c r="AD731" s="34" t="str">
        <f t="shared" si="731"/>
        <v/>
      </c>
      <c r="AE731" s="34" t="str">
        <f t="shared" si="731"/>
        <v/>
      </c>
      <c r="AF731" s="34" t="str">
        <f t="shared" si="731"/>
        <v/>
      </c>
      <c r="AG731" s="34" t="str">
        <f t="shared" si="731"/>
        <v/>
      </c>
      <c r="AH731" s="34" t="str">
        <f t="shared" si="731"/>
        <v/>
      </c>
      <c r="AI731" s="34" t="str">
        <f t="shared" si="731"/>
        <v/>
      </c>
      <c r="AJ731" s="34" t="str">
        <f t="shared" si="731"/>
        <v/>
      </c>
      <c r="AK731" s="34" t="str">
        <f t="shared" si="731"/>
        <v/>
      </c>
      <c r="AL731" s="34" t="str">
        <f t="shared" si="731"/>
        <v/>
      </c>
      <c r="AM731" s="34" t="str">
        <f t="shared" si="731"/>
        <v/>
      </c>
      <c r="AN731" s="34" t="str">
        <f t="shared" si="731"/>
        <v/>
      </c>
      <c r="AO731" s="34" t="str">
        <f t="shared" si="731"/>
        <v/>
      </c>
      <c r="AP731" s="34" t="str">
        <f t="shared" si="731"/>
        <v/>
      </c>
      <c r="AQ731" s="76" t="s">
        <v>771</v>
      </c>
      <c r="AR731" s="77"/>
      <c r="AS731" s="77"/>
      <c r="AT731" s="77"/>
      <c r="AU731" s="77"/>
      <c r="AV731" s="77"/>
      <c r="AW731" s="77"/>
      <c r="AX731" s="77"/>
      <c r="AY731" s="77"/>
      <c r="AZ731" s="77"/>
      <c r="BA731" s="77"/>
      <c r="BB731" s="77"/>
      <c r="BC731" s="77"/>
      <c r="BD731" s="77"/>
      <c r="BE731" s="77"/>
      <c r="BF731" s="77"/>
      <c r="BG731" s="77"/>
      <c r="BH731" s="77"/>
      <c r="BI731" s="77"/>
      <c r="BJ731" s="77"/>
      <c r="BK731" s="77"/>
      <c r="BL731" s="77"/>
      <c r="BM731" s="78"/>
    </row>
    <row r="732">
      <c r="A732" s="79">
        <v>2.642857142857143</v>
      </c>
      <c r="B732" s="79" t="b">
        <v>0</v>
      </c>
      <c r="C732" s="79" t="b">
        <f t="shared" si="3"/>
        <v>0</v>
      </c>
      <c r="D732" s="80" t="s">
        <v>1565</v>
      </c>
      <c r="E732" s="81" t="s">
        <v>1215</v>
      </c>
      <c r="F732" s="82" t="s">
        <v>1454</v>
      </c>
      <c r="G732" s="35" t="s">
        <v>284</v>
      </c>
      <c r="H732" s="37">
        <v>-13.63678832389073</v>
      </c>
      <c r="I732" s="37">
        <v>-8.598722303707646</v>
      </c>
      <c r="J732" s="83" t="s">
        <v>2402</v>
      </c>
      <c r="K732" s="35">
        <v>23.7</v>
      </c>
      <c r="L732" s="79">
        <v>67.6</v>
      </c>
      <c r="M732" s="84">
        <v>25.0</v>
      </c>
      <c r="N732" s="84">
        <v>6.0</v>
      </c>
      <c r="O732" s="85">
        <v>-1.8018525688020044</v>
      </c>
      <c r="P732" s="85">
        <v>-2.0103997897314976</v>
      </c>
      <c r="Q732" s="85">
        <v>-2.2505999518055226</v>
      </c>
      <c r="R732" s="85">
        <v>-2.3907180459663926</v>
      </c>
      <c r="S732" s="85">
        <v>-1.72461069241107</v>
      </c>
      <c r="T732" s="85">
        <v>-0.16952108464970286</v>
      </c>
      <c r="U732" s="85">
        <v>-2.747423587175884</v>
      </c>
      <c r="V732" s="85">
        <v>0.10122514417925021</v>
      </c>
      <c r="W732" s="85">
        <v>0.18294991143903638</v>
      </c>
      <c r="X732" s="85">
        <v>-0.8258376589669413</v>
      </c>
      <c r="Y732" s="50" t="s">
        <v>69</v>
      </c>
      <c r="Z732" s="50" t="s">
        <v>69</v>
      </c>
      <c r="AA732" s="50" t="s">
        <v>69</v>
      </c>
      <c r="AB732" s="50" t="s">
        <v>69</v>
      </c>
      <c r="AC732" s="34" t="str">
        <f t="shared" ref="AC732:AP732" si="732">LET(
  skater, IFERROR(INDEX(AllProj, MATCH($E732, AllProjNames, 0), MATCH(AC$2, AllProjCats, 0) + 1), ""),
  goalie, IFERROR(INDEX(AllGProj, MATCH($E732, AllGProjNames, 0), MATCH(AC$2, AllGProjCats, 0) + 1), ""),
  val, IF(skater &lt;&gt; "", skater, goalie),
  IF(OR($E732="", AC$2="", val=""), "", val * AC$1)
)</f>
        <v/>
      </c>
      <c r="AD732" s="34" t="str">
        <f t="shared" si="732"/>
        <v/>
      </c>
      <c r="AE732" s="34" t="str">
        <f t="shared" si="732"/>
        <v/>
      </c>
      <c r="AF732" s="34" t="str">
        <f t="shared" si="732"/>
        <v/>
      </c>
      <c r="AG732" s="34" t="str">
        <f t="shared" si="732"/>
        <v/>
      </c>
      <c r="AH732" s="34" t="str">
        <f t="shared" si="732"/>
        <v/>
      </c>
      <c r="AI732" s="34" t="str">
        <f t="shared" si="732"/>
        <v/>
      </c>
      <c r="AJ732" s="34" t="str">
        <f t="shared" si="732"/>
        <v/>
      </c>
      <c r="AK732" s="34" t="str">
        <f t="shared" si="732"/>
        <v/>
      </c>
      <c r="AL732" s="34" t="str">
        <f t="shared" si="732"/>
        <v/>
      </c>
      <c r="AM732" s="34" t="str">
        <f t="shared" si="732"/>
        <v/>
      </c>
      <c r="AN732" s="34" t="str">
        <f t="shared" si="732"/>
        <v/>
      </c>
      <c r="AO732" s="34" t="str">
        <f t="shared" si="732"/>
        <v/>
      </c>
      <c r="AP732" s="34" t="str">
        <f t="shared" si="732"/>
        <v/>
      </c>
      <c r="AQ732" s="76" t="s">
        <v>772</v>
      </c>
      <c r="AR732" s="77"/>
      <c r="AS732" s="77"/>
      <c r="AT732" s="77"/>
      <c r="AU732" s="77"/>
      <c r="AV732" s="77"/>
      <c r="AW732" s="77"/>
      <c r="AX732" s="77"/>
      <c r="AY732" s="77"/>
      <c r="AZ732" s="77"/>
      <c r="BA732" s="77"/>
      <c r="BB732" s="77"/>
      <c r="BC732" s="77"/>
      <c r="BD732" s="77"/>
      <c r="BE732" s="77"/>
      <c r="BF732" s="77"/>
      <c r="BG732" s="77"/>
      <c r="BH732" s="77"/>
      <c r="BI732" s="77"/>
      <c r="BJ732" s="77"/>
      <c r="BK732" s="77"/>
      <c r="BL732" s="77"/>
      <c r="BM732" s="78"/>
    </row>
    <row r="733">
      <c r="A733" s="41">
        <v>2.7142857142857144</v>
      </c>
      <c r="B733" s="41" t="b">
        <v>0</v>
      </c>
      <c r="C733" s="41" t="b">
        <f t="shared" si="3"/>
        <v>0</v>
      </c>
      <c r="D733" s="42" t="s">
        <v>1565</v>
      </c>
      <c r="E733" s="43" t="s">
        <v>1350</v>
      </c>
      <c r="F733" s="44" t="s">
        <v>1461</v>
      </c>
      <c r="G733" s="29" t="s">
        <v>284</v>
      </c>
      <c r="H733" s="32">
        <v>-13.656074964761663</v>
      </c>
      <c r="I733" s="32">
        <v>-8.618008944578577</v>
      </c>
      <c r="J733" s="45" t="s">
        <v>2403</v>
      </c>
      <c r="K733" s="29">
        <v>22.8</v>
      </c>
      <c r="L733" s="41">
        <v>69.6</v>
      </c>
      <c r="M733" s="46">
        <v>23.0</v>
      </c>
      <c r="N733" s="46">
        <v>6.0</v>
      </c>
      <c r="O733" s="47">
        <v>-1.3239735602437033</v>
      </c>
      <c r="P733" s="47">
        <v>-1.425770501718132</v>
      </c>
      <c r="Q733" s="47">
        <v>-1.283734380878426</v>
      </c>
      <c r="R733" s="47">
        <v>-2.22907350095092</v>
      </c>
      <c r="S733" s="47">
        <v>-1.1412051271195918</v>
      </c>
      <c r="T733" s="47">
        <v>-0.7871777123417198</v>
      </c>
      <c r="U733" s="47">
        <v>-1.7859307346742959</v>
      </c>
      <c r="V733" s="47">
        <v>0.07923477215928644</v>
      </c>
      <c r="W733" s="47">
        <v>-2.2801583926544478</v>
      </c>
      <c r="X733" s="47">
        <v>-1.4782858263397145</v>
      </c>
      <c r="Y733" s="50" t="s">
        <v>69</v>
      </c>
      <c r="Z733" s="50" t="s">
        <v>69</v>
      </c>
      <c r="AA733" s="50" t="s">
        <v>69</v>
      </c>
      <c r="AB733" s="50" t="s">
        <v>69</v>
      </c>
      <c r="AC733" s="34" t="str">
        <f t="shared" ref="AC733:AP733" si="733">LET(
  skater, IFERROR(INDEX(AllProj, MATCH($E733, AllProjNames, 0), MATCH(AC$2, AllProjCats, 0) + 1), ""),
  goalie, IFERROR(INDEX(AllGProj, MATCH($E733, AllGProjNames, 0), MATCH(AC$2, AllGProjCats, 0) + 1), ""),
  val, IF(skater &lt;&gt; "", skater, goalie),
  IF(OR($E733="", AC$2="", val=""), "", val * AC$1)
)</f>
        <v/>
      </c>
      <c r="AD733" s="34" t="str">
        <f t="shared" si="733"/>
        <v/>
      </c>
      <c r="AE733" s="34" t="str">
        <f t="shared" si="733"/>
        <v/>
      </c>
      <c r="AF733" s="34" t="str">
        <f t="shared" si="733"/>
        <v/>
      </c>
      <c r="AG733" s="34" t="str">
        <f t="shared" si="733"/>
        <v/>
      </c>
      <c r="AH733" s="34" t="str">
        <f t="shared" si="733"/>
        <v/>
      </c>
      <c r="AI733" s="34" t="str">
        <f t="shared" si="733"/>
        <v/>
      </c>
      <c r="AJ733" s="34" t="str">
        <f t="shared" si="733"/>
        <v/>
      </c>
      <c r="AK733" s="34" t="str">
        <f t="shared" si="733"/>
        <v/>
      </c>
      <c r="AL733" s="34" t="str">
        <f t="shared" si="733"/>
        <v/>
      </c>
      <c r="AM733" s="34" t="str">
        <f t="shared" si="733"/>
        <v/>
      </c>
      <c r="AN733" s="34" t="str">
        <f t="shared" si="733"/>
        <v/>
      </c>
      <c r="AO733" s="34" t="str">
        <f t="shared" si="733"/>
        <v/>
      </c>
      <c r="AP733" s="34" t="str">
        <f t="shared" si="733"/>
        <v/>
      </c>
      <c r="AQ733" s="76" t="s">
        <v>774</v>
      </c>
      <c r="AR733" s="77"/>
      <c r="AS733" s="77"/>
      <c r="AT733" s="77"/>
      <c r="AU733" s="77"/>
      <c r="AV733" s="77"/>
      <c r="AW733" s="77"/>
      <c r="AX733" s="77"/>
      <c r="AY733" s="77"/>
      <c r="AZ733" s="77"/>
      <c r="BA733" s="77"/>
      <c r="BB733" s="77"/>
      <c r="BC733" s="77"/>
      <c r="BD733" s="77"/>
      <c r="BE733" s="77"/>
      <c r="BF733" s="77"/>
      <c r="BG733" s="77"/>
      <c r="BH733" s="77"/>
      <c r="BI733" s="77"/>
      <c r="BJ733" s="77"/>
      <c r="BK733" s="77"/>
      <c r="BL733" s="77"/>
      <c r="BM733" s="78"/>
    </row>
    <row r="734">
      <c r="A734" s="79">
        <v>2.642857142857143</v>
      </c>
      <c r="B734" s="79" t="b">
        <v>0</v>
      </c>
      <c r="C734" s="79" t="b">
        <f t="shared" si="3"/>
        <v>0</v>
      </c>
      <c r="D734" s="80" t="s">
        <v>1565</v>
      </c>
      <c r="E734" s="81" t="s">
        <v>1213</v>
      </c>
      <c r="F734" s="82" t="s">
        <v>1439</v>
      </c>
      <c r="G734" s="35" t="s">
        <v>284</v>
      </c>
      <c r="H734" s="37">
        <v>-13.691124702646892</v>
      </c>
      <c r="I734" s="37">
        <v>-8.653058682463808</v>
      </c>
      <c r="J734" s="83" t="s">
        <v>2404</v>
      </c>
      <c r="K734" s="35">
        <v>33.5</v>
      </c>
      <c r="L734" s="79">
        <v>63.2</v>
      </c>
      <c r="M734" s="84">
        <v>25.0</v>
      </c>
      <c r="N734" s="84">
        <v>6.0</v>
      </c>
      <c r="O734" s="85">
        <v>-2.0030647829318156</v>
      </c>
      <c r="P734" s="85">
        <v>-2.026639492176313</v>
      </c>
      <c r="Q734" s="85">
        <v>-1.202027066496281</v>
      </c>
      <c r="R734" s="85">
        <v>-1.5078901462665024</v>
      </c>
      <c r="S734" s="85">
        <v>-1.72461069241107</v>
      </c>
      <c r="T734" s="85">
        <v>-0.16952108464970286</v>
      </c>
      <c r="U734" s="85">
        <v>-2.4069907111705366</v>
      </c>
      <c r="V734" s="85">
        <v>0.0</v>
      </c>
      <c r="W734" s="85">
        <v>-0.81294911999976</v>
      </c>
      <c r="X734" s="85">
        <v>-1.8374316065449108</v>
      </c>
      <c r="Y734" s="50" t="s">
        <v>69</v>
      </c>
      <c r="Z734" s="50" t="s">
        <v>69</v>
      </c>
      <c r="AA734" s="50" t="s">
        <v>69</v>
      </c>
      <c r="AB734" s="50" t="s">
        <v>69</v>
      </c>
      <c r="AC734" s="34" t="str">
        <f t="shared" ref="AC734:AP734" si="734">LET(
  skater, IFERROR(INDEX(AllProj, MATCH($E734, AllProjNames, 0), MATCH(AC$2, AllProjCats, 0) + 1), ""),
  goalie, IFERROR(INDEX(AllGProj, MATCH($E734, AllGProjNames, 0), MATCH(AC$2, AllGProjCats, 0) + 1), ""),
  val, IF(skater &lt;&gt; "", skater, goalie),
  IF(OR($E734="", AC$2="", val=""), "", val * AC$1)
)</f>
        <v/>
      </c>
      <c r="AD734" s="34" t="str">
        <f t="shared" si="734"/>
        <v/>
      </c>
      <c r="AE734" s="34" t="str">
        <f t="shared" si="734"/>
        <v/>
      </c>
      <c r="AF734" s="34" t="str">
        <f t="shared" si="734"/>
        <v/>
      </c>
      <c r="AG734" s="34" t="str">
        <f t="shared" si="734"/>
        <v/>
      </c>
      <c r="AH734" s="34" t="str">
        <f t="shared" si="734"/>
        <v/>
      </c>
      <c r="AI734" s="34" t="str">
        <f t="shared" si="734"/>
        <v/>
      </c>
      <c r="AJ734" s="34" t="str">
        <f t="shared" si="734"/>
        <v/>
      </c>
      <c r="AK734" s="34" t="str">
        <f t="shared" si="734"/>
        <v/>
      </c>
      <c r="AL734" s="34" t="str">
        <f t="shared" si="734"/>
        <v/>
      </c>
      <c r="AM734" s="34" t="str">
        <f t="shared" si="734"/>
        <v/>
      </c>
      <c r="AN734" s="34" t="str">
        <f t="shared" si="734"/>
        <v/>
      </c>
      <c r="AO734" s="34" t="str">
        <f t="shared" si="734"/>
        <v/>
      </c>
      <c r="AP734" s="34" t="str">
        <f t="shared" si="734"/>
        <v/>
      </c>
      <c r="AQ734" s="76" t="s">
        <v>775</v>
      </c>
      <c r="AR734" s="77"/>
      <c r="AS734" s="77"/>
      <c r="AT734" s="77"/>
      <c r="AU734" s="77"/>
      <c r="AV734" s="77"/>
      <c r="AW734" s="77"/>
      <c r="AX734" s="77"/>
      <c r="AY734" s="77"/>
      <c r="AZ734" s="77"/>
      <c r="BA734" s="77"/>
      <c r="BB734" s="77"/>
      <c r="BC734" s="77"/>
      <c r="BD734" s="77"/>
      <c r="BE734" s="77"/>
      <c r="BF734" s="77"/>
      <c r="BG734" s="77"/>
      <c r="BH734" s="77"/>
      <c r="BI734" s="77"/>
      <c r="BJ734" s="77"/>
      <c r="BK734" s="77"/>
      <c r="BL734" s="77"/>
      <c r="BM734" s="78"/>
    </row>
    <row r="735">
      <c r="A735" s="41">
        <v>2.642857142857143</v>
      </c>
      <c r="B735" s="41" t="b">
        <v>0</v>
      </c>
      <c r="C735" s="41" t="b">
        <f t="shared" si="3"/>
        <v>0</v>
      </c>
      <c r="D735" s="42" t="s">
        <v>1565</v>
      </c>
      <c r="E735" s="43" t="s">
        <v>1286</v>
      </c>
      <c r="F735" s="44" t="s">
        <v>1426</v>
      </c>
      <c r="G735" s="29" t="s">
        <v>837</v>
      </c>
      <c r="H735" s="32">
        <v>-13.69420745358803</v>
      </c>
      <c r="I735" s="32">
        <v>-8.164348681659128</v>
      </c>
      <c r="J735" s="45" t="s">
        <v>2405</v>
      </c>
      <c r="K735" s="29">
        <v>27.2</v>
      </c>
      <c r="L735" s="41">
        <v>62.285714285714285</v>
      </c>
      <c r="M735" s="46">
        <v>23.0</v>
      </c>
      <c r="N735" s="46">
        <v>6.0</v>
      </c>
      <c r="O735" s="47">
        <v>-2.2725454268556695</v>
      </c>
      <c r="P735" s="47">
        <v>-1.5765677387057062</v>
      </c>
      <c r="Q735" s="47">
        <v>-0.8883533309052623</v>
      </c>
      <c r="R735" s="47">
        <v>-1.646442613422622</v>
      </c>
      <c r="S735" s="47">
        <v>-1.5285864224731334</v>
      </c>
      <c r="T735" s="47">
        <v>-0.7871777123417198</v>
      </c>
      <c r="U735" s="47">
        <v>-2.4017330605758596</v>
      </c>
      <c r="V735" s="47">
        <v>0.0</v>
      </c>
      <c r="W735" s="47">
        <v>-1.7011200963034956</v>
      </c>
      <c r="X735" s="47">
        <v>-0.8916810520045605</v>
      </c>
      <c r="Y735" s="50" t="s">
        <v>69</v>
      </c>
      <c r="Z735" s="50" t="s">
        <v>69</v>
      </c>
      <c r="AA735" s="50" t="s">
        <v>69</v>
      </c>
      <c r="AB735" s="50" t="s">
        <v>69</v>
      </c>
      <c r="AC735" s="34" t="str">
        <f t="shared" ref="AC735:AP735" si="735">LET(
  skater, IFERROR(INDEX(AllProj, MATCH($E735, AllProjNames, 0), MATCH(AC$2, AllProjCats, 0) + 1), ""),
  goalie, IFERROR(INDEX(AllGProj, MATCH($E735, AllGProjNames, 0), MATCH(AC$2, AllGProjCats, 0) + 1), ""),
  val, IF(skater &lt;&gt; "", skater, goalie),
  IF(OR($E735="", AC$2="", val=""), "", val * AC$1)
)</f>
        <v/>
      </c>
      <c r="AD735" s="34" t="str">
        <f t="shared" si="735"/>
        <v/>
      </c>
      <c r="AE735" s="34" t="str">
        <f t="shared" si="735"/>
        <v/>
      </c>
      <c r="AF735" s="34" t="str">
        <f t="shared" si="735"/>
        <v/>
      </c>
      <c r="AG735" s="34" t="str">
        <f t="shared" si="735"/>
        <v/>
      </c>
      <c r="AH735" s="34" t="str">
        <f t="shared" si="735"/>
        <v/>
      </c>
      <c r="AI735" s="34" t="str">
        <f t="shared" si="735"/>
        <v/>
      </c>
      <c r="AJ735" s="34" t="str">
        <f t="shared" si="735"/>
        <v/>
      </c>
      <c r="AK735" s="34" t="str">
        <f t="shared" si="735"/>
        <v/>
      </c>
      <c r="AL735" s="34" t="str">
        <f t="shared" si="735"/>
        <v/>
      </c>
      <c r="AM735" s="34" t="str">
        <f t="shared" si="735"/>
        <v/>
      </c>
      <c r="AN735" s="34" t="str">
        <f t="shared" si="735"/>
        <v/>
      </c>
      <c r="AO735" s="34" t="str">
        <f t="shared" si="735"/>
        <v/>
      </c>
      <c r="AP735" s="34" t="str">
        <f t="shared" si="735"/>
        <v/>
      </c>
      <c r="AQ735" s="76" t="s">
        <v>776</v>
      </c>
      <c r="AR735" s="77"/>
      <c r="AS735" s="77"/>
      <c r="AT735" s="77"/>
      <c r="AU735" s="77"/>
      <c r="AV735" s="77"/>
      <c r="AW735" s="77"/>
      <c r="AX735" s="77"/>
      <c r="AY735" s="77"/>
      <c r="AZ735" s="77"/>
      <c r="BA735" s="77"/>
      <c r="BB735" s="77"/>
      <c r="BC735" s="77"/>
      <c r="BD735" s="77"/>
      <c r="BE735" s="77"/>
      <c r="BF735" s="77"/>
      <c r="BG735" s="77"/>
      <c r="BH735" s="77"/>
      <c r="BI735" s="77"/>
      <c r="BJ735" s="77"/>
      <c r="BK735" s="77"/>
      <c r="BL735" s="77"/>
      <c r="BM735" s="78"/>
    </row>
    <row r="736">
      <c r="A736" s="79">
        <v>2.7142857142857144</v>
      </c>
      <c r="B736" s="79" t="b">
        <v>0</v>
      </c>
      <c r="C736" s="79" t="b">
        <f t="shared" si="3"/>
        <v>0</v>
      </c>
      <c r="D736" s="80" t="s">
        <v>1565</v>
      </c>
      <c r="E736" s="81" t="s">
        <v>1356</v>
      </c>
      <c r="F736" s="82" t="s">
        <v>1563</v>
      </c>
      <c r="G736" s="35" t="s">
        <v>837</v>
      </c>
      <c r="H736" s="37">
        <v>-13.75887026052968</v>
      </c>
      <c r="I736" s="37">
        <v>-8.22901148860078</v>
      </c>
      <c r="J736" s="83" t="s">
        <v>2406</v>
      </c>
      <c r="K736" s="35">
        <v>22.8</v>
      </c>
      <c r="L736" s="79">
        <v>73.6</v>
      </c>
      <c r="M736" s="84">
        <v>29.0</v>
      </c>
      <c r="N736" s="84">
        <v>6.0</v>
      </c>
      <c r="O736" s="85">
        <v>-2.2696709666538153</v>
      </c>
      <c r="P736" s="85">
        <v>-1.7797960150151144</v>
      </c>
      <c r="Q736" s="85">
        <v>-1.8740964457180336</v>
      </c>
      <c r="R736" s="85">
        <v>-0.40124672269903455</v>
      </c>
      <c r="S736" s="85">
        <v>-1.72461069241107</v>
      </c>
      <c r="T736" s="85">
        <v>-0.7871777123417198</v>
      </c>
      <c r="U736" s="85">
        <v>-2.347184935656084</v>
      </c>
      <c r="V736" s="85">
        <v>0.0</v>
      </c>
      <c r="W736" s="85">
        <v>-1.909667559559521</v>
      </c>
      <c r="X736" s="85">
        <v>-0.665419210475287</v>
      </c>
      <c r="Y736" s="50" t="s">
        <v>69</v>
      </c>
      <c r="Z736" s="50" t="s">
        <v>69</v>
      </c>
      <c r="AA736" s="50" t="s">
        <v>69</v>
      </c>
      <c r="AB736" s="50" t="s">
        <v>69</v>
      </c>
      <c r="AC736" s="34" t="str">
        <f t="shared" ref="AC736:AP736" si="736">LET(
  skater, IFERROR(INDEX(AllProj, MATCH($E736, AllProjNames, 0), MATCH(AC$2, AllProjCats, 0) + 1), ""),
  goalie, IFERROR(INDEX(AllGProj, MATCH($E736, AllGProjNames, 0), MATCH(AC$2, AllGProjCats, 0) + 1), ""),
  val, IF(skater &lt;&gt; "", skater, goalie),
  IF(OR($E736="", AC$2="", val=""), "", val * AC$1)
)</f>
        <v/>
      </c>
      <c r="AD736" s="34" t="str">
        <f t="shared" si="736"/>
        <v/>
      </c>
      <c r="AE736" s="34" t="str">
        <f t="shared" si="736"/>
        <v/>
      </c>
      <c r="AF736" s="34" t="str">
        <f t="shared" si="736"/>
        <v/>
      </c>
      <c r="AG736" s="34" t="str">
        <f t="shared" si="736"/>
        <v/>
      </c>
      <c r="AH736" s="34" t="str">
        <f t="shared" si="736"/>
        <v/>
      </c>
      <c r="AI736" s="34" t="str">
        <f t="shared" si="736"/>
        <v/>
      </c>
      <c r="AJ736" s="34" t="str">
        <f t="shared" si="736"/>
        <v/>
      </c>
      <c r="AK736" s="34" t="str">
        <f t="shared" si="736"/>
        <v/>
      </c>
      <c r="AL736" s="34" t="str">
        <f t="shared" si="736"/>
        <v/>
      </c>
      <c r="AM736" s="34" t="str">
        <f t="shared" si="736"/>
        <v/>
      </c>
      <c r="AN736" s="34" t="str">
        <f t="shared" si="736"/>
        <v/>
      </c>
      <c r="AO736" s="34" t="str">
        <f t="shared" si="736"/>
        <v/>
      </c>
      <c r="AP736" s="34" t="str">
        <f t="shared" si="736"/>
        <v/>
      </c>
      <c r="AQ736" s="76" t="s">
        <v>777</v>
      </c>
      <c r="AR736" s="77"/>
      <c r="AS736" s="77"/>
      <c r="AT736" s="77"/>
      <c r="AU736" s="77"/>
      <c r="AV736" s="77"/>
      <c r="AW736" s="77"/>
      <c r="AX736" s="77"/>
      <c r="AY736" s="77"/>
      <c r="AZ736" s="77"/>
      <c r="BA736" s="77"/>
      <c r="BB736" s="77"/>
      <c r="BC736" s="77"/>
      <c r="BD736" s="77"/>
      <c r="BE736" s="77"/>
      <c r="BF736" s="77"/>
      <c r="BG736" s="77"/>
      <c r="BH736" s="77"/>
      <c r="BI736" s="77"/>
      <c r="BJ736" s="77"/>
      <c r="BK736" s="77"/>
      <c r="BL736" s="77"/>
      <c r="BM736" s="78"/>
    </row>
    <row r="737">
      <c r="A737" s="41">
        <v>2.642857142857143</v>
      </c>
      <c r="B737" s="41" t="b">
        <v>0</v>
      </c>
      <c r="C737" s="41" t="b">
        <f t="shared" si="3"/>
        <v>0</v>
      </c>
      <c r="D737" s="42" t="s">
        <v>1565</v>
      </c>
      <c r="E737" s="43" t="s">
        <v>1192</v>
      </c>
      <c r="F737" s="44" t="s">
        <v>930</v>
      </c>
      <c r="G737" s="29" t="s">
        <v>832</v>
      </c>
      <c r="H737" s="32">
        <v>-13.810481838915777</v>
      </c>
      <c r="I737" s="32">
        <v>-8.368344230187919</v>
      </c>
      <c r="J737" s="45" t="s">
        <v>2407</v>
      </c>
      <c r="K737" s="29">
        <v>25.4</v>
      </c>
      <c r="L737" s="41">
        <v>70.6</v>
      </c>
      <c r="M737" s="46">
        <v>29.0</v>
      </c>
      <c r="N737" s="46">
        <v>7.0</v>
      </c>
      <c r="O737" s="47">
        <v>-1.7263979885033252</v>
      </c>
      <c r="P737" s="47">
        <v>-1.8480027652833402</v>
      </c>
      <c r="Q737" s="47">
        <v>-0.7499950082928318</v>
      </c>
      <c r="R737" s="47">
        <v>-2.539928395211444</v>
      </c>
      <c r="S737" s="47">
        <v>-1.4912484662944787</v>
      </c>
      <c r="T737" s="47">
        <v>-0.16952108464970286</v>
      </c>
      <c r="U737" s="47">
        <v>-2.4713969309553323</v>
      </c>
      <c r="V737" s="47">
        <v>0.0</v>
      </c>
      <c r="W737" s="47">
        <v>-0.9645880671735687</v>
      </c>
      <c r="X737" s="47">
        <v>-1.8494031325517506</v>
      </c>
      <c r="Y737" s="50" t="s">
        <v>69</v>
      </c>
      <c r="Z737" s="50" t="s">
        <v>69</v>
      </c>
      <c r="AA737" s="50" t="s">
        <v>69</v>
      </c>
      <c r="AB737" s="50" t="s">
        <v>69</v>
      </c>
      <c r="AC737" s="34" t="str">
        <f t="shared" ref="AC737:AP737" si="737">LET(
  skater, IFERROR(INDEX(AllProj, MATCH($E737, AllProjNames, 0), MATCH(AC$2, AllProjCats, 0) + 1), ""),
  goalie, IFERROR(INDEX(AllGProj, MATCH($E737, AllGProjNames, 0), MATCH(AC$2, AllGProjCats, 0) + 1), ""),
  val, IF(skater &lt;&gt; "", skater, goalie),
  IF(OR($E737="", AC$2="", val=""), "", val * AC$1)
)</f>
        <v/>
      </c>
      <c r="AD737" s="34" t="str">
        <f t="shared" si="737"/>
        <v/>
      </c>
      <c r="AE737" s="34" t="str">
        <f t="shared" si="737"/>
        <v/>
      </c>
      <c r="AF737" s="34" t="str">
        <f t="shared" si="737"/>
        <v/>
      </c>
      <c r="AG737" s="34" t="str">
        <f t="shared" si="737"/>
        <v/>
      </c>
      <c r="AH737" s="34" t="str">
        <f t="shared" si="737"/>
        <v/>
      </c>
      <c r="AI737" s="34" t="str">
        <f t="shared" si="737"/>
        <v/>
      </c>
      <c r="AJ737" s="34" t="str">
        <f t="shared" si="737"/>
        <v/>
      </c>
      <c r="AK737" s="34" t="str">
        <f t="shared" si="737"/>
        <v/>
      </c>
      <c r="AL737" s="34" t="str">
        <f t="shared" si="737"/>
        <v/>
      </c>
      <c r="AM737" s="34" t="str">
        <f t="shared" si="737"/>
        <v/>
      </c>
      <c r="AN737" s="34" t="str">
        <f t="shared" si="737"/>
        <v/>
      </c>
      <c r="AO737" s="34" t="str">
        <f t="shared" si="737"/>
        <v/>
      </c>
      <c r="AP737" s="34" t="str">
        <f t="shared" si="737"/>
        <v/>
      </c>
      <c r="AQ737" s="76" t="s">
        <v>778</v>
      </c>
      <c r="AR737" s="77"/>
      <c r="AS737" s="77"/>
      <c r="AT737" s="77"/>
      <c r="AU737" s="77"/>
      <c r="AV737" s="77"/>
      <c r="AW737" s="77"/>
      <c r="AX737" s="77"/>
      <c r="AY737" s="77"/>
      <c r="AZ737" s="77"/>
      <c r="BA737" s="77"/>
      <c r="BB737" s="77"/>
      <c r="BC737" s="77"/>
      <c r="BD737" s="77"/>
      <c r="BE737" s="77"/>
      <c r="BF737" s="77"/>
      <c r="BG737" s="77"/>
      <c r="BH737" s="77"/>
      <c r="BI737" s="77"/>
      <c r="BJ737" s="77"/>
      <c r="BK737" s="77"/>
      <c r="BL737" s="77"/>
      <c r="BM737" s="78"/>
    </row>
    <row r="738">
      <c r="A738" s="79">
        <v>2.642857142857143</v>
      </c>
      <c r="B738" s="79" t="b">
        <v>0</v>
      </c>
      <c r="C738" s="79" t="b">
        <f t="shared" si="3"/>
        <v>0</v>
      </c>
      <c r="D738" s="80" t="s">
        <v>1565</v>
      </c>
      <c r="E738" s="81" t="s">
        <v>1283</v>
      </c>
      <c r="F738" s="82" t="s">
        <v>1498</v>
      </c>
      <c r="G738" s="35" t="s">
        <v>284</v>
      </c>
      <c r="H738" s="37">
        <v>-13.82435352635817</v>
      </c>
      <c r="I738" s="37">
        <v>-8.786287506175086</v>
      </c>
      <c r="J738" s="83" t="s">
        <v>2408</v>
      </c>
      <c r="K738" s="35">
        <v>24.6</v>
      </c>
      <c r="L738" s="79">
        <v>74.2</v>
      </c>
      <c r="M738" s="84">
        <v>28.0</v>
      </c>
      <c r="N738" s="84">
        <v>7.0</v>
      </c>
      <c r="O738" s="85">
        <v>-1.8773071491006836</v>
      </c>
      <c r="P738" s="85">
        <v>-1.360811691938869</v>
      </c>
      <c r="Q738" s="85">
        <v>-0.8359860268965907</v>
      </c>
      <c r="R738" s="85">
        <v>-1.5203243420369235</v>
      </c>
      <c r="S738" s="85">
        <v>-1.4912484662944787</v>
      </c>
      <c r="T738" s="85">
        <v>-0.7871777123417198</v>
      </c>
      <c r="U738" s="85">
        <v>-2.462196042414647</v>
      </c>
      <c r="V738" s="85">
        <v>0.0</v>
      </c>
      <c r="W738" s="85">
        <v>-1.6817993038064467</v>
      </c>
      <c r="X738" s="85">
        <v>-1.807502791527811</v>
      </c>
      <c r="Y738" s="50" t="s">
        <v>69</v>
      </c>
      <c r="Z738" s="50" t="s">
        <v>69</v>
      </c>
      <c r="AA738" s="50" t="s">
        <v>69</v>
      </c>
      <c r="AB738" s="50" t="s">
        <v>69</v>
      </c>
      <c r="AC738" s="34" t="str">
        <f t="shared" ref="AC738:AP738" si="738">LET(
  skater, IFERROR(INDEX(AllProj, MATCH($E738, AllProjNames, 0), MATCH(AC$2, AllProjCats, 0) + 1), ""),
  goalie, IFERROR(INDEX(AllGProj, MATCH($E738, AllGProjNames, 0), MATCH(AC$2, AllGProjCats, 0) + 1), ""),
  val, IF(skater &lt;&gt; "", skater, goalie),
  IF(OR($E738="", AC$2="", val=""), "", val * AC$1)
)</f>
        <v/>
      </c>
      <c r="AD738" s="34" t="str">
        <f t="shared" si="738"/>
        <v/>
      </c>
      <c r="AE738" s="34" t="str">
        <f t="shared" si="738"/>
        <v/>
      </c>
      <c r="AF738" s="34" t="str">
        <f t="shared" si="738"/>
        <v/>
      </c>
      <c r="AG738" s="34" t="str">
        <f t="shared" si="738"/>
        <v/>
      </c>
      <c r="AH738" s="34" t="str">
        <f t="shared" si="738"/>
        <v/>
      </c>
      <c r="AI738" s="34" t="str">
        <f t="shared" si="738"/>
        <v/>
      </c>
      <c r="AJ738" s="34" t="str">
        <f t="shared" si="738"/>
        <v/>
      </c>
      <c r="AK738" s="34" t="str">
        <f t="shared" si="738"/>
        <v/>
      </c>
      <c r="AL738" s="34" t="str">
        <f t="shared" si="738"/>
        <v/>
      </c>
      <c r="AM738" s="34" t="str">
        <f t="shared" si="738"/>
        <v/>
      </c>
      <c r="AN738" s="34" t="str">
        <f t="shared" si="738"/>
        <v/>
      </c>
      <c r="AO738" s="34" t="str">
        <f t="shared" si="738"/>
        <v/>
      </c>
      <c r="AP738" s="34" t="str">
        <f t="shared" si="738"/>
        <v/>
      </c>
      <c r="AQ738" s="76" t="s">
        <v>779</v>
      </c>
      <c r="AR738" s="77"/>
      <c r="AS738" s="77"/>
      <c r="AT738" s="77"/>
      <c r="AU738" s="77"/>
      <c r="AV738" s="77"/>
      <c r="AW738" s="77"/>
      <c r="AX738" s="77"/>
      <c r="AY738" s="77"/>
      <c r="AZ738" s="77"/>
      <c r="BA738" s="77"/>
      <c r="BB738" s="77"/>
      <c r="BC738" s="77"/>
      <c r="BD738" s="77"/>
      <c r="BE738" s="77"/>
      <c r="BF738" s="77"/>
      <c r="BG738" s="77"/>
      <c r="BH738" s="77"/>
      <c r="BI738" s="77"/>
      <c r="BJ738" s="77"/>
      <c r="BK738" s="77"/>
      <c r="BL738" s="77"/>
      <c r="BM738" s="78"/>
    </row>
    <row r="739">
      <c r="A739" s="41">
        <v>2.7142857142857144</v>
      </c>
      <c r="B739" s="41" t="b">
        <v>0</v>
      </c>
      <c r="C739" s="41" t="b">
        <f t="shared" si="3"/>
        <v>0</v>
      </c>
      <c r="D739" s="42" t="s">
        <v>1565</v>
      </c>
      <c r="E739" s="43" t="s">
        <v>1344</v>
      </c>
      <c r="F739" s="44" t="s">
        <v>1429</v>
      </c>
      <c r="G739" s="29" t="s">
        <v>837</v>
      </c>
      <c r="H739" s="32">
        <v>-13.840290457453424</v>
      </c>
      <c r="I739" s="32">
        <v>-8.310431685524524</v>
      </c>
      <c r="J739" s="45" t="s">
        <v>2409</v>
      </c>
      <c r="K739" s="29">
        <v>32.1</v>
      </c>
      <c r="L739" s="41">
        <v>73.57142857142857</v>
      </c>
      <c r="M739" s="46">
        <v>24.0</v>
      </c>
      <c r="N739" s="46">
        <v>7.0</v>
      </c>
      <c r="O739" s="47">
        <v>-2.2689523516033514</v>
      </c>
      <c r="P739" s="47">
        <v>-1.3236923720650047</v>
      </c>
      <c r="Q739" s="47">
        <v>-1.3931136705464766</v>
      </c>
      <c r="R739" s="47">
        <v>-2.0283500549426954</v>
      </c>
      <c r="S739" s="47">
        <v>-1.72461069241107</v>
      </c>
      <c r="T739" s="47">
        <v>-0.7871777123417198</v>
      </c>
      <c r="U739" s="47">
        <v>-2.48519826376636</v>
      </c>
      <c r="V739" s="47">
        <v>0.0</v>
      </c>
      <c r="W739" s="47">
        <v>-2.167161030474737</v>
      </c>
      <c r="X739" s="47">
        <v>0.33796569069799226</v>
      </c>
      <c r="Y739" s="50" t="s">
        <v>69</v>
      </c>
      <c r="Z739" s="50" t="s">
        <v>69</v>
      </c>
      <c r="AA739" s="50" t="s">
        <v>69</v>
      </c>
      <c r="AB739" s="50" t="s">
        <v>69</v>
      </c>
      <c r="AC739" s="34" t="str">
        <f t="shared" ref="AC739:AP739" si="739">LET(
  skater, IFERROR(INDEX(AllProj, MATCH($E739, AllProjNames, 0), MATCH(AC$2, AllProjCats, 0) + 1), ""),
  goalie, IFERROR(INDEX(AllGProj, MATCH($E739, AllGProjNames, 0), MATCH(AC$2, AllGProjCats, 0) + 1), ""),
  val, IF(skater &lt;&gt; "", skater, goalie),
  IF(OR($E739="", AC$2="", val=""), "", val * AC$1)
)</f>
        <v/>
      </c>
      <c r="AD739" s="34" t="str">
        <f t="shared" si="739"/>
        <v/>
      </c>
      <c r="AE739" s="34" t="str">
        <f t="shared" si="739"/>
        <v/>
      </c>
      <c r="AF739" s="34" t="str">
        <f t="shared" si="739"/>
        <v/>
      </c>
      <c r="AG739" s="34" t="str">
        <f t="shared" si="739"/>
        <v/>
      </c>
      <c r="AH739" s="34" t="str">
        <f t="shared" si="739"/>
        <v/>
      </c>
      <c r="AI739" s="34" t="str">
        <f t="shared" si="739"/>
        <v/>
      </c>
      <c r="AJ739" s="34" t="str">
        <f t="shared" si="739"/>
        <v/>
      </c>
      <c r="AK739" s="34" t="str">
        <f t="shared" si="739"/>
        <v/>
      </c>
      <c r="AL739" s="34" t="str">
        <f t="shared" si="739"/>
        <v/>
      </c>
      <c r="AM739" s="34" t="str">
        <f t="shared" si="739"/>
        <v/>
      </c>
      <c r="AN739" s="34" t="str">
        <f t="shared" si="739"/>
        <v/>
      </c>
      <c r="AO739" s="34" t="str">
        <f t="shared" si="739"/>
        <v/>
      </c>
      <c r="AP739" s="34" t="str">
        <f t="shared" si="739"/>
        <v/>
      </c>
      <c r="AQ739" s="76" t="s">
        <v>780</v>
      </c>
      <c r="AR739" s="77"/>
      <c r="AS739" s="77"/>
      <c r="AT739" s="77"/>
      <c r="AU739" s="77"/>
      <c r="AV739" s="77"/>
      <c r="AW739" s="77"/>
      <c r="AX739" s="77"/>
      <c r="AY739" s="77"/>
      <c r="AZ739" s="77"/>
      <c r="BA739" s="77"/>
      <c r="BB739" s="77"/>
      <c r="BC739" s="77"/>
      <c r="BD739" s="77"/>
      <c r="BE739" s="77"/>
      <c r="BF739" s="77"/>
      <c r="BG739" s="77"/>
      <c r="BH739" s="77"/>
      <c r="BI739" s="77"/>
      <c r="BJ739" s="77"/>
      <c r="BK739" s="77"/>
      <c r="BL739" s="77"/>
      <c r="BM739" s="78"/>
    </row>
    <row r="740">
      <c r="A740" s="79">
        <v>2.7142857142857144</v>
      </c>
      <c r="B740" s="79" t="b">
        <v>0</v>
      </c>
      <c r="C740" s="79" t="b">
        <f t="shared" si="3"/>
        <v>0</v>
      </c>
      <c r="D740" s="80" t="s">
        <v>1565</v>
      </c>
      <c r="E740" s="81" t="s">
        <v>1332</v>
      </c>
      <c r="F740" s="82" t="s">
        <v>1482</v>
      </c>
      <c r="G740" s="35" t="s">
        <v>835</v>
      </c>
      <c r="H740" s="37">
        <v>-13.854201762007209</v>
      </c>
      <c r="I740" s="37">
        <v>-8.46632163709447</v>
      </c>
      <c r="J740" s="83" t="s">
        <v>2410</v>
      </c>
      <c r="K740" s="35">
        <v>31.6</v>
      </c>
      <c r="L740" s="79">
        <v>77.42857142857143</v>
      </c>
      <c r="M740" s="84">
        <v>27.0</v>
      </c>
      <c r="N740" s="84">
        <v>6.0</v>
      </c>
      <c r="O740" s="85">
        <v>-1.2592982057019784</v>
      </c>
      <c r="P740" s="85">
        <v>-0.8550609586574656</v>
      </c>
      <c r="Q740" s="85">
        <v>-2.8720818551895566</v>
      </c>
      <c r="R740" s="85">
        <v>-1.8240739815714933</v>
      </c>
      <c r="S740" s="85">
        <v>-0.6184737406184271</v>
      </c>
      <c r="T740" s="85">
        <v>-0.7871777123417198</v>
      </c>
      <c r="U740" s="85">
        <v>-1.5973125195902522</v>
      </c>
      <c r="V740" s="85">
        <v>0.0</v>
      </c>
      <c r="W740" s="85">
        <v>-2.218683143800201</v>
      </c>
      <c r="X740" s="85">
        <v>-1.8220396445361167</v>
      </c>
      <c r="Y740" s="50" t="s">
        <v>69</v>
      </c>
      <c r="Z740" s="50" t="s">
        <v>69</v>
      </c>
      <c r="AA740" s="50" t="s">
        <v>69</v>
      </c>
      <c r="AB740" s="50" t="s">
        <v>69</v>
      </c>
      <c r="AC740" s="34" t="str">
        <f t="shared" ref="AC740:AP740" si="740">LET(
  skater, IFERROR(INDEX(AllProj, MATCH($E740, AllProjNames, 0), MATCH(AC$2, AllProjCats, 0) + 1), ""),
  goalie, IFERROR(INDEX(AllGProj, MATCH($E740, AllGProjNames, 0), MATCH(AC$2, AllGProjCats, 0) + 1), ""),
  val, IF(skater &lt;&gt; "", skater, goalie),
  IF(OR($E740="", AC$2="", val=""), "", val * AC$1)
)</f>
        <v/>
      </c>
      <c r="AD740" s="34" t="str">
        <f t="shared" si="740"/>
        <v/>
      </c>
      <c r="AE740" s="34" t="str">
        <f t="shared" si="740"/>
        <v/>
      </c>
      <c r="AF740" s="34" t="str">
        <f t="shared" si="740"/>
        <v/>
      </c>
      <c r="AG740" s="34" t="str">
        <f t="shared" si="740"/>
        <v/>
      </c>
      <c r="AH740" s="34" t="str">
        <f t="shared" si="740"/>
        <v/>
      </c>
      <c r="AI740" s="34" t="str">
        <f t="shared" si="740"/>
        <v/>
      </c>
      <c r="AJ740" s="34" t="str">
        <f t="shared" si="740"/>
        <v/>
      </c>
      <c r="AK740" s="34" t="str">
        <f t="shared" si="740"/>
        <v/>
      </c>
      <c r="AL740" s="34" t="str">
        <f t="shared" si="740"/>
        <v/>
      </c>
      <c r="AM740" s="34" t="str">
        <f t="shared" si="740"/>
        <v/>
      </c>
      <c r="AN740" s="34" t="str">
        <f t="shared" si="740"/>
        <v/>
      </c>
      <c r="AO740" s="34" t="str">
        <f t="shared" si="740"/>
        <v/>
      </c>
      <c r="AP740" s="34" t="str">
        <f t="shared" si="740"/>
        <v/>
      </c>
      <c r="AQ740" s="76" t="s">
        <v>781</v>
      </c>
      <c r="AR740" s="77"/>
      <c r="AS740" s="77"/>
      <c r="AT740" s="77"/>
      <c r="AU740" s="77"/>
      <c r="AV740" s="77"/>
      <c r="AW740" s="77"/>
      <c r="AX740" s="77"/>
      <c r="AY740" s="77"/>
      <c r="AZ740" s="77"/>
      <c r="BA740" s="77"/>
      <c r="BB740" s="77"/>
      <c r="BC740" s="77"/>
      <c r="BD740" s="77"/>
      <c r="BE740" s="77"/>
      <c r="BF740" s="77"/>
      <c r="BG740" s="77"/>
      <c r="BH740" s="77"/>
      <c r="BI740" s="77"/>
      <c r="BJ740" s="77"/>
      <c r="BK740" s="77"/>
      <c r="BL740" s="77"/>
      <c r="BM740" s="78"/>
    </row>
    <row r="741">
      <c r="A741" s="41">
        <v>2.642857142857143</v>
      </c>
      <c r="B741" s="41" t="b">
        <v>0</v>
      </c>
      <c r="C741" s="41" t="b">
        <f t="shared" si="3"/>
        <v>0</v>
      </c>
      <c r="D741" s="42" t="s">
        <v>1565</v>
      </c>
      <c r="E741" s="43" t="s">
        <v>1290</v>
      </c>
      <c r="F741" s="44" t="s">
        <v>1444</v>
      </c>
      <c r="G741" s="29" t="s">
        <v>832</v>
      </c>
      <c r="H741" s="32">
        <v>-13.947503589140473</v>
      </c>
      <c r="I741" s="32">
        <v>-8.505365980412616</v>
      </c>
      <c r="J741" s="45" t="s">
        <v>2411</v>
      </c>
      <c r="K741" s="29">
        <v>24.2</v>
      </c>
      <c r="L741" s="41">
        <v>50.8</v>
      </c>
      <c r="M741" s="46">
        <v>33.0</v>
      </c>
      <c r="N741" s="46">
        <v>6.0</v>
      </c>
      <c r="O741" s="47">
        <v>-2.013125393638306</v>
      </c>
      <c r="P741" s="47">
        <v>-2.2182679810251384</v>
      </c>
      <c r="Q741" s="47">
        <v>-1.3181972719499149</v>
      </c>
      <c r="R741" s="47">
        <v>-0.898614553515874</v>
      </c>
      <c r="S741" s="47">
        <v>-1.5799261122187835</v>
      </c>
      <c r="T741" s="47">
        <v>-0.7871777123417198</v>
      </c>
      <c r="U741" s="47">
        <v>-2.917640025178557</v>
      </c>
      <c r="V741" s="47">
        <v>0.0</v>
      </c>
      <c r="W741" s="47">
        <v>0.008360204692975598</v>
      </c>
      <c r="X741" s="47">
        <v>-2.222914743965155</v>
      </c>
      <c r="Y741" s="50" t="s">
        <v>69</v>
      </c>
      <c r="Z741" s="50" t="s">
        <v>69</v>
      </c>
      <c r="AA741" s="50" t="s">
        <v>69</v>
      </c>
      <c r="AB741" s="50" t="s">
        <v>69</v>
      </c>
      <c r="AC741" s="34" t="str">
        <f t="shared" ref="AC741:AP741" si="741">LET(
  skater, IFERROR(INDEX(AllProj, MATCH($E741, AllProjNames, 0), MATCH(AC$2, AllProjCats, 0) + 1), ""),
  goalie, IFERROR(INDEX(AllGProj, MATCH($E741, AllGProjNames, 0), MATCH(AC$2, AllGProjCats, 0) + 1), ""),
  val, IF(skater &lt;&gt; "", skater, goalie),
  IF(OR($E741="", AC$2="", val=""), "", val * AC$1)
)</f>
        <v/>
      </c>
      <c r="AD741" s="34" t="str">
        <f t="shared" si="741"/>
        <v/>
      </c>
      <c r="AE741" s="34" t="str">
        <f t="shared" si="741"/>
        <v/>
      </c>
      <c r="AF741" s="34" t="str">
        <f t="shared" si="741"/>
        <v/>
      </c>
      <c r="AG741" s="34" t="str">
        <f t="shared" si="741"/>
        <v/>
      </c>
      <c r="AH741" s="34" t="str">
        <f t="shared" si="741"/>
        <v/>
      </c>
      <c r="AI741" s="34" t="str">
        <f t="shared" si="741"/>
        <v/>
      </c>
      <c r="AJ741" s="34" t="str">
        <f t="shared" si="741"/>
        <v/>
      </c>
      <c r="AK741" s="34" t="str">
        <f t="shared" si="741"/>
        <v/>
      </c>
      <c r="AL741" s="34" t="str">
        <f t="shared" si="741"/>
        <v/>
      </c>
      <c r="AM741" s="34" t="str">
        <f t="shared" si="741"/>
        <v/>
      </c>
      <c r="AN741" s="34" t="str">
        <f t="shared" si="741"/>
        <v/>
      </c>
      <c r="AO741" s="34" t="str">
        <f t="shared" si="741"/>
        <v/>
      </c>
      <c r="AP741" s="34" t="str">
        <f t="shared" si="741"/>
        <v/>
      </c>
      <c r="AQ741" s="76" t="s">
        <v>782</v>
      </c>
      <c r="AR741" s="77"/>
      <c r="AS741" s="77"/>
      <c r="AT741" s="77"/>
      <c r="AU741" s="77"/>
      <c r="AV741" s="77"/>
      <c r="AW741" s="77"/>
      <c r="AX741" s="77"/>
      <c r="AY741" s="77"/>
      <c r="AZ741" s="77"/>
      <c r="BA741" s="77"/>
      <c r="BB741" s="77"/>
      <c r="BC741" s="77"/>
      <c r="BD741" s="77"/>
      <c r="BE741" s="77"/>
      <c r="BF741" s="77"/>
      <c r="BG741" s="77"/>
      <c r="BH741" s="77"/>
      <c r="BI741" s="77"/>
      <c r="BJ741" s="77"/>
      <c r="BK741" s="77"/>
      <c r="BL741" s="77"/>
      <c r="BM741" s="78"/>
    </row>
    <row r="742">
      <c r="A742" s="79">
        <v>2.7142857142857144</v>
      </c>
      <c r="B742" s="79" t="b">
        <v>0</v>
      </c>
      <c r="C742" s="79" t="b">
        <f t="shared" si="3"/>
        <v>0</v>
      </c>
      <c r="D742" s="80" t="s">
        <v>1565</v>
      </c>
      <c r="E742" s="81" t="s">
        <v>1325</v>
      </c>
      <c r="F742" s="82" t="s">
        <v>1451</v>
      </c>
      <c r="G742" s="35" t="s">
        <v>837</v>
      </c>
      <c r="H742" s="37">
        <v>-13.984890255173775</v>
      </c>
      <c r="I742" s="37">
        <v>-8.455031483244873</v>
      </c>
      <c r="J742" s="83" t="s">
        <v>2412</v>
      </c>
      <c r="K742" s="35">
        <v>25.7</v>
      </c>
      <c r="L742" s="79">
        <v>74.4</v>
      </c>
      <c r="M742" s="84">
        <v>29.0</v>
      </c>
      <c r="N742" s="84">
        <v>7.0</v>
      </c>
      <c r="O742" s="85">
        <v>-2.249549745240834</v>
      </c>
      <c r="P742" s="85">
        <v>-1.9454409799522345</v>
      </c>
      <c r="Q742" s="85">
        <v>-2.351746280292923</v>
      </c>
      <c r="R742" s="85">
        <v>-1.3213772097101877</v>
      </c>
      <c r="S742" s="85">
        <v>-1.640600291009097</v>
      </c>
      <c r="T742" s="85">
        <v>-0.16952108464970286</v>
      </c>
      <c r="U742" s="85">
        <v>-2.5542049278214978</v>
      </c>
      <c r="V742" s="85">
        <v>0.0</v>
      </c>
      <c r="W742" s="85">
        <v>-1.538357056479871</v>
      </c>
      <c r="X742" s="85">
        <v>-0.21409268001742376</v>
      </c>
      <c r="Y742" s="50" t="s">
        <v>69</v>
      </c>
      <c r="Z742" s="50" t="s">
        <v>69</v>
      </c>
      <c r="AA742" s="50" t="s">
        <v>69</v>
      </c>
      <c r="AB742" s="50" t="s">
        <v>69</v>
      </c>
      <c r="AC742" s="34" t="str">
        <f t="shared" ref="AC742:AP742" si="742">LET(
  skater, IFERROR(INDEX(AllProj, MATCH($E742, AllProjNames, 0), MATCH(AC$2, AllProjCats, 0) + 1), ""),
  goalie, IFERROR(INDEX(AllGProj, MATCH($E742, AllGProjNames, 0), MATCH(AC$2, AllGProjCats, 0) + 1), ""),
  val, IF(skater &lt;&gt; "", skater, goalie),
  IF(OR($E742="", AC$2="", val=""), "", val * AC$1)
)</f>
        <v/>
      </c>
      <c r="AD742" s="34" t="str">
        <f t="shared" si="742"/>
        <v/>
      </c>
      <c r="AE742" s="34" t="str">
        <f t="shared" si="742"/>
        <v/>
      </c>
      <c r="AF742" s="34" t="str">
        <f t="shared" si="742"/>
        <v/>
      </c>
      <c r="AG742" s="34" t="str">
        <f t="shared" si="742"/>
        <v/>
      </c>
      <c r="AH742" s="34" t="str">
        <f t="shared" si="742"/>
        <v/>
      </c>
      <c r="AI742" s="34" t="str">
        <f t="shared" si="742"/>
        <v/>
      </c>
      <c r="AJ742" s="34" t="str">
        <f t="shared" si="742"/>
        <v/>
      </c>
      <c r="AK742" s="34" t="str">
        <f t="shared" si="742"/>
        <v/>
      </c>
      <c r="AL742" s="34" t="str">
        <f t="shared" si="742"/>
        <v/>
      </c>
      <c r="AM742" s="34" t="str">
        <f t="shared" si="742"/>
        <v/>
      </c>
      <c r="AN742" s="34" t="str">
        <f t="shared" si="742"/>
        <v/>
      </c>
      <c r="AO742" s="34" t="str">
        <f t="shared" si="742"/>
        <v/>
      </c>
      <c r="AP742" s="34" t="str">
        <f t="shared" si="742"/>
        <v/>
      </c>
      <c r="AQ742" s="76" t="s">
        <v>783</v>
      </c>
      <c r="AR742" s="77"/>
      <c r="AS742" s="77"/>
      <c r="AT742" s="77"/>
      <c r="AU742" s="77"/>
      <c r="AV742" s="77"/>
      <c r="AW742" s="77"/>
      <c r="AX742" s="77"/>
      <c r="AY742" s="77"/>
      <c r="AZ742" s="77"/>
      <c r="BA742" s="77"/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8"/>
    </row>
    <row r="743">
      <c r="A743" s="41">
        <v>2.7142857142857144</v>
      </c>
      <c r="B743" s="41" t="b">
        <v>0</v>
      </c>
      <c r="C743" s="41" t="b">
        <f t="shared" si="3"/>
        <v>0</v>
      </c>
      <c r="D743" s="42" t="s">
        <v>1565</v>
      </c>
      <c r="E743" s="43" t="s">
        <v>1345</v>
      </c>
      <c r="F743" s="44" t="s">
        <v>1451</v>
      </c>
      <c r="G743" s="29" t="s">
        <v>835</v>
      </c>
      <c r="H743" s="32">
        <v>-14.006493011413001</v>
      </c>
      <c r="I743" s="32">
        <v>-8.618612886500262</v>
      </c>
      <c r="J743" s="45" t="s">
        <v>2413</v>
      </c>
      <c r="K743" s="29">
        <v>24.5</v>
      </c>
      <c r="L743" s="41">
        <v>62.0</v>
      </c>
      <c r="M743" s="46">
        <v>29.0</v>
      </c>
      <c r="N743" s="46">
        <v>7.0</v>
      </c>
      <c r="O743" s="47">
        <v>-1.5251857743735142</v>
      </c>
      <c r="P743" s="47">
        <v>-2.026639492176313</v>
      </c>
      <c r="Q743" s="47">
        <v>-1.7330026629978208</v>
      </c>
      <c r="R743" s="47">
        <v>-1.2467720350876619</v>
      </c>
      <c r="S743" s="47">
        <v>-1.72461069241107</v>
      </c>
      <c r="T743" s="94" t="s">
        <v>69</v>
      </c>
      <c r="U743" s="47">
        <v>-2.531202706469785</v>
      </c>
      <c r="V743" s="47">
        <v>0.0</v>
      </c>
      <c r="W743" s="47">
        <v>-1.8006514515913234</v>
      </c>
      <c r="X743" s="47">
        <v>-1.418428196305515</v>
      </c>
      <c r="Y743" s="50" t="s">
        <v>69</v>
      </c>
      <c r="Z743" s="50" t="s">
        <v>69</v>
      </c>
      <c r="AA743" s="50" t="s">
        <v>69</v>
      </c>
      <c r="AB743" s="50" t="s">
        <v>69</v>
      </c>
      <c r="AC743" s="34" t="str">
        <f t="shared" ref="AC743:AP743" si="743">LET(
  skater, IFERROR(INDEX(AllProj, MATCH($E743, AllProjNames, 0), MATCH(AC$2, AllProjCats, 0) + 1), ""),
  goalie, IFERROR(INDEX(AllGProj, MATCH($E743, AllGProjNames, 0), MATCH(AC$2, AllGProjCats, 0) + 1), ""),
  val, IF(skater &lt;&gt; "", skater, goalie),
  IF(OR($E743="", AC$2="", val=""), "", val * AC$1)
)</f>
        <v/>
      </c>
      <c r="AD743" s="34" t="str">
        <f t="shared" si="743"/>
        <v/>
      </c>
      <c r="AE743" s="34" t="str">
        <f t="shared" si="743"/>
        <v/>
      </c>
      <c r="AF743" s="34" t="str">
        <f t="shared" si="743"/>
        <v/>
      </c>
      <c r="AG743" s="34" t="str">
        <f t="shared" si="743"/>
        <v/>
      </c>
      <c r="AH743" s="34" t="str">
        <f t="shared" si="743"/>
        <v/>
      </c>
      <c r="AI743" s="34" t="str">
        <f t="shared" si="743"/>
        <v/>
      </c>
      <c r="AJ743" s="34" t="str">
        <f t="shared" si="743"/>
        <v/>
      </c>
      <c r="AK743" s="34" t="str">
        <f t="shared" si="743"/>
        <v/>
      </c>
      <c r="AL743" s="34" t="str">
        <f t="shared" si="743"/>
        <v/>
      </c>
      <c r="AM743" s="34" t="str">
        <f t="shared" si="743"/>
        <v/>
      </c>
      <c r="AN743" s="34" t="str">
        <f t="shared" si="743"/>
        <v/>
      </c>
      <c r="AO743" s="34" t="str">
        <f t="shared" si="743"/>
        <v/>
      </c>
      <c r="AP743" s="34" t="str">
        <f t="shared" si="743"/>
        <v/>
      </c>
      <c r="AQ743" s="76" t="s">
        <v>784</v>
      </c>
      <c r="AR743" s="77"/>
      <c r="AS743" s="77"/>
      <c r="AT743" s="77"/>
      <c r="AU743" s="77"/>
      <c r="AV743" s="77"/>
      <c r="AW743" s="77"/>
      <c r="AX743" s="77"/>
      <c r="AY743" s="77"/>
      <c r="AZ743" s="77"/>
      <c r="BA743" s="77"/>
      <c r="BB743" s="77"/>
      <c r="BC743" s="77"/>
      <c r="BD743" s="77"/>
      <c r="BE743" s="77"/>
      <c r="BF743" s="77"/>
      <c r="BG743" s="77"/>
      <c r="BH743" s="77"/>
      <c r="BI743" s="77"/>
      <c r="BJ743" s="77"/>
      <c r="BK743" s="77"/>
      <c r="BL743" s="77"/>
      <c r="BM743" s="78"/>
    </row>
    <row r="744">
      <c r="A744" s="79">
        <v>2.7142857142857144</v>
      </c>
      <c r="B744" s="79" t="b">
        <v>0</v>
      </c>
      <c r="C744" s="79" t="b">
        <f t="shared" si="3"/>
        <v>0</v>
      </c>
      <c r="D744" s="80" t="s">
        <v>1565</v>
      </c>
      <c r="E744" s="81" t="s">
        <v>1341</v>
      </c>
      <c r="F744" s="82" t="s">
        <v>1706</v>
      </c>
      <c r="G744" s="35" t="s">
        <v>837</v>
      </c>
      <c r="H744" s="37">
        <v>-14.008171717322144</v>
      </c>
      <c r="I744" s="37">
        <v>-8.478312945393242</v>
      </c>
      <c r="J744" s="83" t="s">
        <v>2414</v>
      </c>
      <c r="K744" s="35">
        <v>25.3</v>
      </c>
      <c r="L744" s="79">
        <v>81.77777777777777</v>
      </c>
      <c r="M744" s="84">
        <v>31.0</v>
      </c>
      <c r="N744" s="84">
        <v>7.0</v>
      </c>
      <c r="O744" s="85">
        <v>-2.2322231379129893</v>
      </c>
      <c r="P744" s="85">
        <v>-1.3229190529009656</v>
      </c>
      <c r="Q744" s="85">
        <v>-4.597096220164647</v>
      </c>
      <c r="R744" s="85">
        <v>-1.5534821974247128</v>
      </c>
      <c r="S744" s="85">
        <v>-1.6646032628382323</v>
      </c>
      <c r="T744" s="85">
        <v>-0.16952108464970286</v>
      </c>
      <c r="U744" s="85">
        <v>-1.8166003631432461</v>
      </c>
      <c r="V744" s="85">
        <v>0.0</v>
      </c>
      <c r="W744" s="85">
        <v>-1.8716895169340086</v>
      </c>
      <c r="X744" s="85">
        <v>1.2199631186463622</v>
      </c>
      <c r="Y744" s="50" t="s">
        <v>69</v>
      </c>
      <c r="Z744" s="50" t="s">
        <v>69</v>
      </c>
      <c r="AA744" s="50" t="s">
        <v>69</v>
      </c>
      <c r="AB744" s="50" t="s">
        <v>69</v>
      </c>
      <c r="AC744" s="34" t="str">
        <f t="shared" ref="AC744:AP744" si="744">LET(
  skater, IFERROR(INDEX(AllProj, MATCH($E744, AllProjNames, 0), MATCH(AC$2, AllProjCats, 0) + 1), ""),
  goalie, IFERROR(INDEX(AllGProj, MATCH($E744, AllGProjNames, 0), MATCH(AC$2, AllGProjCats, 0) + 1), ""),
  val, IF(skater &lt;&gt; "", skater, goalie),
  IF(OR($E744="", AC$2="", val=""), "", val * AC$1)
)</f>
        <v/>
      </c>
      <c r="AD744" s="34" t="str">
        <f t="shared" si="744"/>
        <v/>
      </c>
      <c r="AE744" s="34" t="str">
        <f t="shared" si="744"/>
        <v/>
      </c>
      <c r="AF744" s="34" t="str">
        <f t="shared" si="744"/>
        <v/>
      </c>
      <c r="AG744" s="34" t="str">
        <f t="shared" si="744"/>
        <v/>
      </c>
      <c r="AH744" s="34" t="str">
        <f t="shared" si="744"/>
        <v/>
      </c>
      <c r="AI744" s="34" t="str">
        <f t="shared" si="744"/>
        <v/>
      </c>
      <c r="AJ744" s="34" t="str">
        <f t="shared" si="744"/>
        <v/>
      </c>
      <c r="AK744" s="34" t="str">
        <f t="shared" si="744"/>
        <v/>
      </c>
      <c r="AL744" s="34" t="str">
        <f t="shared" si="744"/>
        <v/>
      </c>
      <c r="AM744" s="34" t="str">
        <f t="shared" si="744"/>
        <v/>
      </c>
      <c r="AN744" s="34" t="str">
        <f t="shared" si="744"/>
        <v/>
      </c>
      <c r="AO744" s="34" t="str">
        <f t="shared" si="744"/>
        <v/>
      </c>
      <c r="AP744" s="34" t="str">
        <f t="shared" si="744"/>
        <v/>
      </c>
      <c r="AQ744" s="76" t="s">
        <v>785</v>
      </c>
      <c r="AR744" s="77"/>
      <c r="AS744" s="77"/>
      <c r="AT744" s="77"/>
      <c r="AU744" s="77"/>
      <c r="AV744" s="77"/>
      <c r="AW744" s="77"/>
      <c r="AX744" s="77"/>
      <c r="AY744" s="77"/>
      <c r="AZ744" s="77"/>
      <c r="BA744" s="77"/>
      <c r="BB744" s="77"/>
      <c r="BC744" s="77"/>
      <c r="BD744" s="77"/>
      <c r="BE744" s="77"/>
      <c r="BF744" s="77"/>
      <c r="BG744" s="77"/>
      <c r="BH744" s="77"/>
      <c r="BI744" s="77"/>
      <c r="BJ744" s="77"/>
      <c r="BK744" s="77"/>
      <c r="BL744" s="77"/>
      <c r="BM744" s="78"/>
    </row>
    <row r="745">
      <c r="A745" s="41">
        <v>2.642857142857143</v>
      </c>
      <c r="B745" s="41" t="b">
        <v>0</v>
      </c>
      <c r="C745" s="41" t="b">
        <f t="shared" si="3"/>
        <v>0</v>
      </c>
      <c r="D745" s="42" t="s">
        <v>1565</v>
      </c>
      <c r="E745" s="43" t="s">
        <v>1249</v>
      </c>
      <c r="F745" s="44" t="s">
        <v>1444</v>
      </c>
      <c r="G745" s="29" t="s">
        <v>832</v>
      </c>
      <c r="H745" s="32">
        <v>-14.017383033376246</v>
      </c>
      <c r="I745" s="32">
        <v>-8.57524542464839</v>
      </c>
      <c r="J745" s="45" t="s">
        <v>2415</v>
      </c>
      <c r="K745" s="29">
        <v>28.6</v>
      </c>
      <c r="L745" s="41">
        <v>74.85714285714286</v>
      </c>
      <c r="M745" s="46">
        <v>33.0</v>
      </c>
      <c r="N745" s="46">
        <v>6.0</v>
      </c>
      <c r="O745" s="47">
        <v>-1.6545364834569642</v>
      </c>
      <c r="P745" s="47">
        <v>-1.6183269735638037</v>
      </c>
      <c r="Q745" s="47">
        <v>-1.8852132901600773</v>
      </c>
      <c r="R745" s="47">
        <v>-1.7974292763491626</v>
      </c>
      <c r="S745" s="47">
        <v>-1.5005829553391423</v>
      </c>
      <c r="T745" s="47">
        <v>-0.16952108464970286</v>
      </c>
      <c r="U745" s="47">
        <v>-2.1874837988427647</v>
      </c>
      <c r="V745" s="47">
        <v>0.0</v>
      </c>
      <c r="W745" s="47">
        <v>-1.5635326345820864</v>
      </c>
      <c r="X745" s="47">
        <v>-1.6407565364325414</v>
      </c>
      <c r="Y745" s="50" t="s">
        <v>69</v>
      </c>
      <c r="Z745" s="50" t="s">
        <v>69</v>
      </c>
      <c r="AA745" s="50" t="s">
        <v>69</v>
      </c>
      <c r="AB745" s="50" t="s">
        <v>69</v>
      </c>
      <c r="AC745" s="34" t="str">
        <f t="shared" ref="AC745:AP745" si="745">LET(
  skater, IFERROR(INDEX(AllProj, MATCH($E745, AllProjNames, 0), MATCH(AC$2, AllProjCats, 0) + 1), ""),
  goalie, IFERROR(INDEX(AllGProj, MATCH($E745, AllGProjNames, 0), MATCH(AC$2, AllGProjCats, 0) + 1), ""),
  val, IF(skater &lt;&gt; "", skater, goalie),
  IF(OR($E745="", AC$2="", val=""), "", val * AC$1)
)</f>
        <v/>
      </c>
      <c r="AD745" s="34" t="str">
        <f t="shared" si="745"/>
        <v/>
      </c>
      <c r="AE745" s="34" t="str">
        <f t="shared" si="745"/>
        <v/>
      </c>
      <c r="AF745" s="34" t="str">
        <f t="shared" si="745"/>
        <v/>
      </c>
      <c r="AG745" s="34" t="str">
        <f t="shared" si="745"/>
        <v/>
      </c>
      <c r="AH745" s="34" t="str">
        <f t="shared" si="745"/>
        <v/>
      </c>
      <c r="AI745" s="34" t="str">
        <f t="shared" si="745"/>
        <v/>
      </c>
      <c r="AJ745" s="34" t="str">
        <f t="shared" si="745"/>
        <v/>
      </c>
      <c r="AK745" s="34" t="str">
        <f t="shared" si="745"/>
        <v/>
      </c>
      <c r="AL745" s="34" t="str">
        <f t="shared" si="745"/>
        <v/>
      </c>
      <c r="AM745" s="34" t="str">
        <f t="shared" si="745"/>
        <v/>
      </c>
      <c r="AN745" s="34" t="str">
        <f t="shared" si="745"/>
        <v/>
      </c>
      <c r="AO745" s="34" t="str">
        <f t="shared" si="745"/>
        <v/>
      </c>
      <c r="AP745" s="34" t="str">
        <f t="shared" si="745"/>
        <v/>
      </c>
      <c r="AQ745" s="76" t="s">
        <v>786</v>
      </c>
      <c r="AR745" s="77"/>
      <c r="AS745" s="77"/>
      <c r="AT745" s="77"/>
      <c r="AU745" s="77"/>
      <c r="AV745" s="77"/>
      <c r="AW745" s="77"/>
      <c r="AX745" s="77"/>
      <c r="AY745" s="77"/>
      <c r="AZ745" s="77"/>
      <c r="BA745" s="77"/>
      <c r="BB745" s="77"/>
      <c r="BC745" s="77"/>
      <c r="BD745" s="77"/>
      <c r="BE745" s="77"/>
      <c r="BF745" s="77"/>
      <c r="BG745" s="77"/>
      <c r="BH745" s="77"/>
      <c r="BI745" s="77"/>
      <c r="BJ745" s="77"/>
      <c r="BK745" s="77"/>
      <c r="BL745" s="77"/>
      <c r="BM745" s="78"/>
    </row>
    <row r="746">
      <c r="A746" s="79">
        <v>2.642857142857143</v>
      </c>
      <c r="B746" s="79" t="b">
        <v>0</v>
      </c>
      <c r="C746" s="79" t="b">
        <f t="shared" si="3"/>
        <v>0</v>
      </c>
      <c r="D746" s="80" t="s">
        <v>1565</v>
      </c>
      <c r="E746" s="81" t="s">
        <v>1205</v>
      </c>
      <c r="F746" s="82" t="s">
        <v>930</v>
      </c>
      <c r="G746" s="35" t="s">
        <v>835</v>
      </c>
      <c r="H746" s="37">
        <v>-14.083992984482592</v>
      </c>
      <c r="I746" s="37">
        <v>-8.696112859569853</v>
      </c>
      <c r="J746" s="83" t="s">
        <v>2416</v>
      </c>
      <c r="K746" s="35">
        <v>22.6</v>
      </c>
      <c r="L746" s="79">
        <v>57.0</v>
      </c>
      <c r="M746" s="84">
        <v>29.0</v>
      </c>
      <c r="N746" s="84">
        <v>7.0</v>
      </c>
      <c r="O746" s="85">
        <v>-1.5503373011397406</v>
      </c>
      <c r="P746" s="85">
        <v>-1.8480027652833402</v>
      </c>
      <c r="Q746" s="85">
        <v>-0.5238862061126488</v>
      </c>
      <c r="R746" s="85">
        <v>-2.117165739017131</v>
      </c>
      <c r="S746" s="85">
        <v>-1.537920911517797</v>
      </c>
      <c r="T746" s="85">
        <v>-0.7871777123417198</v>
      </c>
      <c r="U746" s="85">
        <v>-2.5634058163621827</v>
      </c>
      <c r="V746" s="85">
        <v>0.0</v>
      </c>
      <c r="W746" s="85">
        <v>-0.9236045679374042</v>
      </c>
      <c r="X746" s="85">
        <v>-2.2324919647706265</v>
      </c>
      <c r="Y746" s="50" t="s">
        <v>69</v>
      </c>
      <c r="Z746" s="50" t="s">
        <v>69</v>
      </c>
      <c r="AA746" s="50" t="s">
        <v>69</v>
      </c>
      <c r="AB746" s="50" t="s">
        <v>69</v>
      </c>
      <c r="AC746" s="34" t="str">
        <f t="shared" ref="AC746:AP746" si="746">LET(
  skater, IFERROR(INDEX(AllProj, MATCH($E746, AllProjNames, 0), MATCH(AC$2, AllProjCats, 0) + 1), ""),
  goalie, IFERROR(INDEX(AllGProj, MATCH($E746, AllGProjNames, 0), MATCH(AC$2, AllGProjCats, 0) + 1), ""),
  val, IF(skater &lt;&gt; "", skater, goalie),
  IF(OR($E746="", AC$2="", val=""), "", val * AC$1)
)</f>
        <v/>
      </c>
      <c r="AD746" s="34" t="str">
        <f t="shared" si="746"/>
        <v/>
      </c>
      <c r="AE746" s="34" t="str">
        <f t="shared" si="746"/>
        <v/>
      </c>
      <c r="AF746" s="34" t="str">
        <f t="shared" si="746"/>
        <v/>
      </c>
      <c r="AG746" s="34" t="str">
        <f t="shared" si="746"/>
        <v/>
      </c>
      <c r="AH746" s="34" t="str">
        <f t="shared" si="746"/>
        <v/>
      </c>
      <c r="AI746" s="34" t="str">
        <f t="shared" si="746"/>
        <v/>
      </c>
      <c r="AJ746" s="34" t="str">
        <f t="shared" si="746"/>
        <v/>
      </c>
      <c r="AK746" s="34" t="str">
        <f t="shared" si="746"/>
        <v/>
      </c>
      <c r="AL746" s="34" t="str">
        <f t="shared" si="746"/>
        <v/>
      </c>
      <c r="AM746" s="34" t="str">
        <f t="shared" si="746"/>
        <v/>
      </c>
      <c r="AN746" s="34" t="str">
        <f t="shared" si="746"/>
        <v/>
      </c>
      <c r="AO746" s="34" t="str">
        <f t="shared" si="746"/>
        <v/>
      </c>
      <c r="AP746" s="34" t="str">
        <f t="shared" si="746"/>
        <v/>
      </c>
      <c r="AQ746" s="76" t="s">
        <v>787</v>
      </c>
      <c r="AR746" s="77"/>
      <c r="AS746" s="77"/>
      <c r="AT746" s="77"/>
      <c r="AU746" s="77"/>
      <c r="AV746" s="77"/>
      <c r="AW746" s="77"/>
      <c r="AX746" s="77"/>
      <c r="AY746" s="77"/>
      <c r="AZ746" s="77"/>
      <c r="BA746" s="77"/>
      <c r="BB746" s="77"/>
      <c r="BC746" s="77"/>
      <c r="BD746" s="77"/>
      <c r="BE746" s="77"/>
      <c r="BF746" s="77"/>
      <c r="BG746" s="77"/>
      <c r="BH746" s="77"/>
      <c r="BI746" s="77"/>
      <c r="BJ746" s="77"/>
      <c r="BK746" s="77"/>
      <c r="BL746" s="77"/>
      <c r="BM746" s="78"/>
    </row>
    <row r="747">
      <c r="A747" s="41">
        <v>2.642857142857143</v>
      </c>
      <c r="B747" s="41" t="b">
        <v>0</v>
      </c>
      <c r="C747" s="41" t="b">
        <f t="shared" si="3"/>
        <v>0</v>
      </c>
      <c r="D747" s="42" t="s">
        <v>1565</v>
      </c>
      <c r="E747" s="43" t="s">
        <v>1210</v>
      </c>
      <c r="F747" s="44" t="s">
        <v>1706</v>
      </c>
      <c r="G747" s="29" t="s">
        <v>835</v>
      </c>
      <c r="H747" s="32">
        <v>-14.124216542496553</v>
      </c>
      <c r="I747" s="32">
        <v>-8.736336417583814</v>
      </c>
      <c r="J747" s="45" t="s">
        <v>2417</v>
      </c>
      <c r="K747" s="29">
        <v>24.2</v>
      </c>
      <c r="L747" s="41">
        <v>64.0</v>
      </c>
      <c r="M747" s="46">
        <v>31.0</v>
      </c>
      <c r="N747" s="46">
        <v>7.0</v>
      </c>
      <c r="O747" s="47">
        <v>-1.6509434082046461</v>
      </c>
      <c r="P747" s="47">
        <v>-1.9454409799522345</v>
      </c>
      <c r="Q747" s="47">
        <v>-2.005719975617314</v>
      </c>
      <c r="R747" s="47">
        <v>-1.8063108447566063</v>
      </c>
      <c r="S747" s="47">
        <v>-1.4912484662944787</v>
      </c>
      <c r="T747" s="47">
        <v>-0.16952108464970286</v>
      </c>
      <c r="U747" s="47">
        <v>-2.416191599711222</v>
      </c>
      <c r="V747" s="47">
        <v>0.0</v>
      </c>
      <c r="W747" s="47">
        <v>-0.9809814668680344</v>
      </c>
      <c r="X747" s="47">
        <v>-1.6578587164423126</v>
      </c>
      <c r="Y747" s="50" t="s">
        <v>69</v>
      </c>
      <c r="Z747" s="50" t="s">
        <v>69</v>
      </c>
      <c r="AA747" s="50" t="s">
        <v>69</v>
      </c>
      <c r="AB747" s="50" t="s">
        <v>69</v>
      </c>
      <c r="AC747" s="34" t="str">
        <f t="shared" ref="AC747:AP747" si="747">LET(
  skater, IFERROR(INDEX(AllProj, MATCH($E747, AllProjNames, 0), MATCH(AC$2, AllProjCats, 0) + 1), ""),
  goalie, IFERROR(INDEX(AllGProj, MATCH($E747, AllGProjNames, 0), MATCH(AC$2, AllGProjCats, 0) + 1), ""),
  val, IF(skater &lt;&gt; "", skater, goalie),
  IF(OR($E747="", AC$2="", val=""), "", val * AC$1)
)</f>
        <v/>
      </c>
      <c r="AD747" s="34" t="str">
        <f t="shared" si="747"/>
        <v/>
      </c>
      <c r="AE747" s="34" t="str">
        <f t="shared" si="747"/>
        <v/>
      </c>
      <c r="AF747" s="34" t="str">
        <f t="shared" si="747"/>
        <v/>
      </c>
      <c r="AG747" s="34" t="str">
        <f t="shared" si="747"/>
        <v/>
      </c>
      <c r="AH747" s="34" t="str">
        <f t="shared" si="747"/>
        <v/>
      </c>
      <c r="AI747" s="34" t="str">
        <f t="shared" si="747"/>
        <v/>
      </c>
      <c r="AJ747" s="34" t="str">
        <f t="shared" si="747"/>
        <v/>
      </c>
      <c r="AK747" s="34" t="str">
        <f t="shared" si="747"/>
        <v/>
      </c>
      <c r="AL747" s="34" t="str">
        <f t="shared" si="747"/>
        <v/>
      </c>
      <c r="AM747" s="34" t="str">
        <f t="shared" si="747"/>
        <v/>
      </c>
      <c r="AN747" s="34" t="str">
        <f t="shared" si="747"/>
        <v/>
      </c>
      <c r="AO747" s="34" t="str">
        <f t="shared" si="747"/>
        <v/>
      </c>
      <c r="AP747" s="34" t="str">
        <f t="shared" si="747"/>
        <v/>
      </c>
      <c r="AQ747" s="76" t="s">
        <v>788</v>
      </c>
      <c r="AR747" s="77"/>
      <c r="AS747" s="77"/>
      <c r="AT747" s="77"/>
      <c r="AU747" s="77"/>
      <c r="AV747" s="77"/>
      <c r="AW747" s="77"/>
      <c r="AX747" s="77"/>
      <c r="AY747" s="77"/>
      <c r="AZ747" s="77"/>
      <c r="BA747" s="77"/>
      <c r="BB747" s="77"/>
      <c r="BC747" s="77"/>
      <c r="BD747" s="77"/>
      <c r="BE747" s="77"/>
      <c r="BF747" s="77"/>
      <c r="BG747" s="77"/>
      <c r="BH747" s="77"/>
      <c r="BI747" s="77"/>
      <c r="BJ747" s="77"/>
      <c r="BK747" s="77"/>
      <c r="BL747" s="77"/>
      <c r="BM747" s="78"/>
    </row>
    <row r="748">
      <c r="A748" s="79">
        <v>2.642857142857143</v>
      </c>
      <c r="B748" s="79" t="b">
        <v>0</v>
      </c>
      <c r="C748" s="79" t="b">
        <f t="shared" si="3"/>
        <v>0</v>
      </c>
      <c r="D748" s="80" t="s">
        <v>1565</v>
      </c>
      <c r="E748" s="81" t="s">
        <v>1250</v>
      </c>
      <c r="F748" s="82" t="s">
        <v>1710</v>
      </c>
      <c r="G748" s="35" t="s">
        <v>836</v>
      </c>
      <c r="H748" s="37">
        <v>-14.145928224021276</v>
      </c>
      <c r="I748" s="37">
        <v>-8.703790615293418</v>
      </c>
      <c r="J748" s="83" t="s">
        <v>2418</v>
      </c>
      <c r="K748" s="35">
        <v>28.0</v>
      </c>
      <c r="L748" s="79">
        <v>74.4</v>
      </c>
      <c r="M748" s="84">
        <v>23.0</v>
      </c>
      <c r="N748" s="84">
        <v>6.0</v>
      </c>
      <c r="O748" s="85">
        <v>-1.8018525688020044</v>
      </c>
      <c r="P748" s="85">
        <v>-1.7862918959930405</v>
      </c>
      <c r="Q748" s="85">
        <v>-2.0098994250526507</v>
      </c>
      <c r="R748" s="85">
        <v>-1.6197979082002913</v>
      </c>
      <c r="S748" s="85">
        <v>-1.5519226450847925</v>
      </c>
      <c r="T748" s="85">
        <v>-0.7871777123417198</v>
      </c>
      <c r="U748" s="85">
        <v>-2.1558064540098347</v>
      </c>
      <c r="V748" s="85">
        <v>0.0</v>
      </c>
      <c r="W748" s="85">
        <v>-0.33836019884497603</v>
      </c>
      <c r="X748" s="85">
        <v>-2.094819415691968</v>
      </c>
      <c r="Y748" s="50" t="s">
        <v>69</v>
      </c>
      <c r="Z748" s="50" t="s">
        <v>69</v>
      </c>
      <c r="AA748" s="50" t="s">
        <v>69</v>
      </c>
      <c r="AB748" s="50" t="s">
        <v>69</v>
      </c>
      <c r="AC748" s="34" t="str">
        <f t="shared" ref="AC748:AP748" si="748">LET(
  skater, IFERROR(INDEX(AllProj, MATCH($E748, AllProjNames, 0), MATCH(AC$2, AllProjCats, 0) + 1), ""),
  goalie, IFERROR(INDEX(AllGProj, MATCH($E748, AllGProjNames, 0), MATCH(AC$2, AllGProjCats, 0) + 1), ""),
  val, IF(skater &lt;&gt; "", skater, goalie),
  IF(OR($E748="", AC$2="", val=""), "", val * AC$1)
)</f>
        <v/>
      </c>
      <c r="AD748" s="34" t="str">
        <f t="shared" si="748"/>
        <v/>
      </c>
      <c r="AE748" s="34" t="str">
        <f t="shared" si="748"/>
        <v/>
      </c>
      <c r="AF748" s="34" t="str">
        <f t="shared" si="748"/>
        <v/>
      </c>
      <c r="AG748" s="34" t="str">
        <f t="shared" si="748"/>
        <v/>
      </c>
      <c r="AH748" s="34" t="str">
        <f t="shared" si="748"/>
        <v/>
      </c>
      <c r="AI748" s="34" t="str">
        <f t="shared" si="748"/>
        <v/>
      </c>
      <c r="AJ748" s="34" t="str">
        <f t="shared" si="748"/>
        <v/>
      </c>
      <c r="AK748" s="34" t="str">
        <f t="shared" si="748"/>
        <v/>
      </c>
      <c r="AL748" s="34" t="str">
        <f t="shared" si="748"/>
        <v/>
      </c>
      <c r="AM748" s="34" t="str">
        <f t="shared" si="748"/>
        <v/>
      </c>
      <c r="AN748" s="34" t="str">
        <f t="shared" si="748"/>
        <v/>
      </c>
      <c r="AO748" s="34" t="str">
        <f t="shared" si="748"/>
        <v/>
      </c>
      <c r="AP748" s="34" t="str">
        <f t="shared" si="748"/>
        <v/>
      </c>
      <c r="AQ748" s="76" t="s">
        <v>789</v>
      </c>
      <c r="AR748" s="77"/>
      <c r="AS748" s="77"/>
      <c r="AT748" s="77"/>
      <c r="AU748" s="77"/>
      <c r="AV748" s="77"/>
      <c r="AW748" s="77"/>
      <c r="AX748" s="77"/>
      <c r="AY748" s="77"/>
      <c r="AZ748" s="77"/>
      <c r="BA748" s="77"/>
      <c r="BB748" s="77"/>
      <c r="BC748" s="77"/>
      <c r="BD748" s="77"/>
      <c r="BE748" s="77"/>
      <c r="BF748" s="77"/>
      <c r="BG748" s="77"/>
      <c r="BH748" s="77"/>
      <c r="BI748" s="77"/>
      <c r="BJ748" s="77"/>
      <c r="BK748" s="77"/>
      <c r="BL748" s="77"/>
      <c r="BM748" s="78"/>
    </row>
    <row r="749">
      <c r="A749" s="41">
        <v>2.642857142857143</v>
      </c>
      <c r="B749" s="41" t="b">
        <v>0</v>
      </c>
      <c r="C749" s="41" t="b">
        <f t="shared" si="3"/>
        <v>0</v>
      </c>
      <c r="D749" s="42" t="s">
        <v>1565</v>
      </c>
      <c r="E749" s="43" t="s">
        <v>1274</v>
      </c>
      <c r="F749" s="44" t="s">
        <v>930</v>
      </c>
      <c r="G749" s="29" t="s">
        <v>835</v>
      </c>
      <c r="H749" s="32">
        <v>-14.1730829686309</v>
      </c>
      <c r="I749" s="32">
        <v>-8.785202843718162</v>
      </c>
      <c r="J749" s="45" t="s">
        <v>2419</v>
      </c>
      <c r="K749" s="29">
        <v>26.6</v>
      </c>
      <c r="L749" s="41">
        <v>63.0</v>
      </c>
      <c r="M749" s="46">
        <v>29.0</v>
      </c>
      <c r="N749" s="46">
        <v>7.0</v>
      </c>
      <c r="O749" s="47">
        <v>-1.3994281405423823</v>
      </c>
      <c r="P749" s="47">
        <v>-2.026639492176313</v>
      </c>
      <c r="Q749" s="47">
        <v>-1.7995786937859355</v>
      </c>
      <c r="R749" s="47">
        <v>-1.8063108447566063</v>
      </c>
      <c r="S749" s="47">
        <v>-1.72461069241107</v>
      </c>
      <c r="T749" s="47">
        <v>-0.7871777123417198</v>
      </c>
      <c r="U749" s="47">
        <v>-2.5772071491732103</v>
      </c>
      <c r="V749" s="47">
        <v>0.0</v>
      </c>
      <c r="W749" s="47">
        <v>0.08458951327224147</v>
      </c>
      <c r="X749" s="47">
        <v>-2.1367197567159075</v>
      </c>
      <c r="Y749" s="50" t="s">
        <v>69</v>
      </c>
      <c r="Z749" s="50" t="s">
        <v>69</v>
      </c>
      <c r="AA749" s="50" t="s">
        <v>69</v>
      </c>
      <c r="AB749" s="50" t="s">
        <v>69</v>
      </c>
      <c r="AC749" s="34" t="str">
        <f t="shared" ref="AC749:AP749" si="749">LET(
  skater, IFERROR(INDEX(AllProj, MATCH($E749, AllProjNames, 0), MATCH(AC$2, AllProjCats, 0) + 1), ""),
  goalie, IFERROR(INDEX(AllGProj, MATCH($E749, AllGProjNames, 0), MATCH(AC$2, AllGProjCats, 0) + 1), ""),
  val, IF(skater &lt;&gt; "", skater, goalie),
  IF(OR($E749="", AC$2="", val=""), "", val * AC$1)
)</f>
        <v/>
      </c>
      <c r="AD749" s="34" t="str">
        <f t="shared" si="749"/>
        <v/>
      </c>
      <c r="AE749" s="34" t="str">
        <f t="shared" si="749"/>
        <v/>
      </c>
      <c r="AF749" s="34" t="str">
        <f t="shared" si="749"/>
        <v/>
      </c>
      <c r="AG749" s="34" t="str">
        <f t="shared" si="749"/>
        <v/>
      </c>
      <c r="AH749" s="34" t="str">
        <f t="shared" si="749"/>
        <v/>
      </c>
      <c r="AI749" s="34" t="str">
        <f t="shared" si="749"/>
        <v/>
      </c>
      <c r="AJ749" s="34" t="str">
        <f t="shared" si="749"/>
        <v/>
      </c>
      <c r="AK749" s="34" t="str">
        <f t="shared" si="749"/>
        <v/>
      </c>
      <c r="AL749" s="34" t="str">
        <f t="shared" si="749"/>
        <v/>
      </c>
      <c r="AM749" s="34" t="str">
        <f t="shared" si="749"/>
        <v/>
      </c>
      <c r="AN749" s="34" t="str">
        <f t="shared" si="749"/>
        <v/>
      </c>
      <c r="AO749" s="34" t="str">
        <f t="shared" si="749"/>
        <v/>
      </c>
      <c r="AP749" s="34" t="str">
        <f t="shared" si="749"/>
        <v/>
      </c>
      <c r="AQ749" s="76" t="s">
        <v>790</v>
      </c>
      <c r="AR749" s="77"/>
      <c r="AS749" s="77"/>
      <c r="AT749" s="77"/>
      <c r="AU749" s="77"/>
      <c r="AV749" s="77"/>
      <c r="AW749" s="77"/>
      <c r="AX749" s="77"/>
      <c r="AY749" s="77"/>
      <c r="AZ749" s="77"/>
      <c r="BA749" s="77"/>
      <c r="BB749" s="77"/>
      <c r="BC749" s="77"/>
      <c r="BD749" s="77"/>
      <c r="BE749" s="77"/>
      <c r="BF749" s="77"/>
      <c r="BG749" s="77"/>
      <c r="BH749" s="77"/>
      <c r="BI749" s="77"/>
      <c r="BJ749" s="77"/>
      <c r="BK749" s="77"/>
      <c r="BL749" s="77"/>
      <c r="BM749" s="78"/>
    </row>
    <row r="750">
      <c r="A750" s="79">
        <v>2.7142857142857144</v>
      </c>
      <c r="B750" s="79" t="b">
        <v>0</v>
      </c>
      <c r="C750" s="79" t="b">
        <f t="shared" si="3"/>
        <v>0</v>
      </c>
      <c r="D750" s="80" t="s">
        <v>1565</v>
      </c>
      <c r="E750" s="81" t="s">
        <v>1339</v>
      </c>
      <c r="F750" s="82" t="s">
        <v>1706</v>
      </c>
      <c r="G750" s="35" t="s">
        <v>837</v>
      </c>
      <c r="H750" s="37">
        <v>-14.222804099635546</v>
      </c>
      <c r="I750" s="37">
        <v>-8.692945327706646</v>
      </c>
      <c r="J750" s="83" t="s">
        <v>2420</v>
      </c>
      <c r="K750" s="35">
        <v>24.1</v>
      </c>
      <c r="L750" s="79">
        <v>75.14285714285714</v>
      </c>
      <c r="M750" s="84">
        <v>31.0</v>
      </c>
      <c r="N750" s="84">
        <v>7.0</v>
      </c>
      <c r="O750" s="85">
        <v>-2.1144501157536753</v>
      </c>
      <c r="P750" s="85">
        <v>-1.6832857833430668</v>
      </c>
      <c r="Q750" s="85">
        <v>-3.510407261411773</v>
      </c>
      <c r="R750" s="85">
        <v>-0.8559830251601451</v>
      </c>
      <c r="S750" s="85">
        <v>-1.72461069241107</v>
      </c>
      <c r="T750" s="85">
        <v>-0.7871777123417198</v>
      </c>
      <c r="U750" s="85">
        <v>-2.061300184570513</v>
      </c>
      <c r="V750" s="85">
        <v>0.0</v>
      </c>
      <c r="W750" s="85">
        <v>-1.5986613482130843</v>
      </c>
      <c r="X750" s="85">
        <v>0.11307202356950061</v>
      </c>
      <c r="Y750" s="50" t="s">
        <v>69</v>
      </c>
      <c r="Z750" s="50" t="s">
        <v>69</v>
      </c>
      <c r="AA750" s="50" t="s">
        <v>69</v>
      </c>
      <c r="AB750" s="50" t="s">
        <v>69</v>
      </c>
      <c r="AC750" s="34" t="str">
        <f t="shared" ref="AC750:AP750" si="750">LET(
  skater, IFERROR(INDEX(AllProj, MATCH($E750, AllProjNames, 0), MATCH(AC$2, AllProjCats, 0) + 1), ""),
  goalie, IFERROR(INDEX(AllGProj, MATCH($E750, AllGProjNames, 0), MATCH(AC$2, AllGProjCats, 0) + 1), ""),
  val, IF(skater &lt;&gt; "", skater, goalie),
  IF(OR($E750="", AC$2="", val=""), "", val * AC$1)
)</f>
        <v/>
      </c>
      <c r="AD750" s="34" t="str">
        <f t="shared" si="750"/>
        <v/>
      </c>
      <c r="AE750" s="34" t="str">
        <f t="shared" si="750"/>
        <v/>
      </c>
      <c r="AF750" s="34" t="str">
        <f t="shared" si="750"/>
        <v/>
      </c>
      <c r="AG750" s="34" t="str">
        <f t="shared" si="750"/>
        <v/>
      </c>
      <c r="AH750" s="34" t="str">
        <f t="shared" si="750"/>
        <v/>
      </c>
      <c r="AI750" s="34" t="str">
        <f t="shared" si="750"/>
        <v/>
      </c>
      <c r="AJ750" s="34" t="str">
        <f t="shared" si="750"/>
        <v/>
      </c>
      <c r="AK750" s="34" t="str">
        <f t="shared" si="750"/>
        <v/>
      </c>
      <c r="AL750" s="34" t="str">
        <f t="shared" si="750"/>
        <v/>
      </c>
      <c r="AM750" s="34" t="str">
        <f t="shared" si="750"/>
        <v/>
      </c>
      <c r="AN750" s="34" t="str">
        <f t="shared" si="750"/>
        <v/>
      </c>
      <c r="AO750" s="34" t="str">
        <f t="shared" si="750"/>
        <v/>
      </c>
      <c r="AP750" s="34" t="str">
        <f t="shared" si="750"/>
        <v/>
      </c>
      <c r="AQ750" s="76" t="s">
        <v>791</v>
      </c>
      <c r="AR750" s="77"/>
      <c r="AS750" s="77"/>
      <c r="AT750" s="77"/>
      <c r="AU750" s="77"/>
      <c r="AV750" s="77"/>
      <c r="AW750" s="77"/>
      <c r="AX750" s="77"/>
      <c r="AY750" s="77"/>
      <c r="AZ750" s="77"/>
      <c r="BA750" s="77"/>
      <c r="BB750" s="77"/>
      <c r="BC750" s="77"/>
      <c r="BD750" s="77"/>
      <c r="BE750" s="77"/>
      <c r="BF750" s="77"/>
      <c r="BG750" s="77"/>
      <c r="BH750" s="77"/>
      <c r="BI750" s="77"/>
      <c r="BJ750" s="77"/>
      <c r="BK750" s="77"/>
      <c r="BL750" s="77"/>
      <c r="BM750" s="78"/>
    </row>
    <row r="751">
      <c r="A751" s="41">
        <v>2.7142857142857144</v>
      </c>
      <c r="B751" s="41" t="b">
        <v>0</v>
      </c>
      <c r="C751" s="41" t="b">
        <f t="shared" si="3"/>
        <v>0</v>
      </c>
      <c r="D751" s="42" t="s">
        <v>1565</v>
      </c>
      <c r="E751" s="43" t="s">
        <v>1354</v>
      </c>
      <c r="F751" s="44" t="s">
        <v>1710</v>
      </c>
      <c r="G751" s="29" t="s">
        <v>837</v>
      </c>
      <c r="H751" s="32">
        <v>-14.322590971918705</v>
      </c>
      <c r="I751" s="32">
        <v>-8.792732199989803</v>
      </c>
      <c r="J751" s="45" t="s">
        <v>2421</v>
      </c>
      <c r="K751" s="29">
        <v>24.7</v>
      </c>
      <c r="L751" s="41">
        <v>65.0</v>
      </c>
      <c r="M751" s="46">
        <v>23.0</v>
      </c>
      <c r="N751" s="46">
        <v>6.0</v>
      </c>
      <c r="O751" s="47">
        <v>-1.776701042035778</v>
      </c>
      <c r="P751" s="47">
        <v>-1.3770513943836846</v>
      </c>
      <c r="Q751" s="47">
        <v>-1.5823563597800419</v>
      </c>
      <c r="R751" s="47">
        <v>-2.117165739017131</v>
      </c>
      <c r="S751" s="47">
        <v>-1.2578862401778874</v>
      </c>
      <c r="T751" s="47">
        <v>-0.7871777123417198</v>
      </c>
      <c r="U751" s="47">
        <v>-2.3701871570077966</v>
      </c>
      <c r="V751" s="47">
        <v>0.0</v>
      </c>
      <c r="W751" s="47">
        <v>-2.3539286912795436</v>
      </c>
      <c r="X751" s="47">
        <v>-0.7001366358951225</v>
      </c>
      <c r="Y751" s="50" t="s">
        <v>69</v>
      </c>
      <c r="Z751" s="50" t="s">
        <v>69</v>
      </c>
      <c r="AA751" s="50" t="s">
        <v>69</v>
      </c>
      <c r="AB751" s="50" t="s">
        <v>69</v>
      </c>
      <c r="AC751" s="34" t="str">
        <f t="shared" ref="AC751:AP751" si="751">LET(
  skater, IFERROR(INDEX(AllProj, MATCH($E751, AllProjNames, 0), MATCH(AC$2, AllProjCats, 0) + 1), ""),
  goalie, IFERROR(INDEX(AllGProj, MATCH($E751, AllGProjNames, 0), MATCH(AC$2, AllGProjCats, 0) + 1), ""),
  val, IF(skater &lt;&gt; "", skater, goalie),
  IF(OR($E751="", AC$2="", val=""), "", val * AC$1)
)</f>
        <v/>
      </c>
      <c r="AD751" s="34" t="str">
        <f t="shared" si="751"/>
        <v/>
      </c>
      <c r="AE751" s="34" t="str">
        <f t="shared" si="751"/>
        <v/>
      </c>
      <c r="AF751" s="34" t="str">
        <f t="shared" si="751"/>
        <v/>
      </c>
      <c r="AG751" s="34" t="str">
        <f t="shared" si="751"/>
        <v/>
      </c>
      <c r="AH751" s="34" t="str">
        <f t="shared" si="751"/>
        <v/>
      </c>
      <c r="AI751" s="34" t="str">
        <f t="shared" si="751"/>
        <v/>
      </c>
      <c r="AJ751" s="34" t="str">
        <f t="shared" si="751"/>
        <v/>
      </c>
      <c r="AK751" s="34" t="str">
        <f t="shared" si="751"/>
        <v/>
      </c>
      <c r="AL751" s="34" t="str">
        <f t="shared" si="751"/>
        <v/>
      </c>
      <c r="AM751" s="34" t="str">
        <f t="shared" si="751"/>
        <v/>
      </c>
      <c r="AN751" s="34" t="str">
        <f t="shared" si="751"/>
        <v/>
      </c>
      <c r="AO751" s="34" t="str">
        <f t="shared" si="751"/>
        <v/>
      </c>
      <c r="AP751" s="34" t="str">
        <f t="shared" si="751"/>
        <v/>
      </c>
      <c r="AQ751" s="76" t="s">
        <v>792</v>
      </c>
      <c r="AR751" s="77"/>
      <c r="AS751" s="77"/>
      <c r="AT751" s="77"/>
      <c r="AU751" s="77"/>
      <c r="AV751" s="77"/>
      <c r="AW751" s="77"/>
      <c r="AX751" s="77"/>
      <c r="AY751" s="77"/>
      <c r="AZ751" s="77"/>
      <c r="BA751" s="77"/>
      <c r="BB751" s="77"/>
      <c r="BC751" s="77"/>
      <c r="BD751" s="77"/>
      <c r="BE751" s="77"/>
      <c r="BF751" s="77"/>
      <c r="BG751" s="77"/>
      <c r="BH751" s="77"/>
      <c r="BI751" s="77"/>
      <c r="BJ751" s="77"/>
      <c r="BK751" s="77"/>
      <c r="BL751" s="77"/>
      <c r="BM751" s="78"/>
    </row>
    <row r="752">
      <c r="A752" s="79">
        <v>2.7142857142857144</v>
      </c>
      <c r="B752" s="79" t="b">
        <v>0</v>
      </c>
      <c r="C752" s="79" t="b">
        <f t="shared" si="3"/>
        <v>0</v>
      </c>
      <c r="D752" s="80" t="s">
        <v>1565</v>
      </c>
      <c r="E752" s="81" t="s">
        <v>1320</v>
      </c>
      <c r="F752" s="82" t="s">
        <v>930</v>
      </c>
      <c r="G752" s="35" t="s">
        <v>284</v>
      </c>
      <c r="H752" s="37">
        <v>-14.417831322426121</v>
      </c>
      <c r="I752" s="37">
        <v>-9.379765302243037</v>
      </c>
      <c r="J752" s="83" t="s">
        <v>2422</v>
      </c>
      <c r="K752" s="35">
        <v>25.4</v>
      </c>
      <c r="L752" s="79">
        <v>65.0</v>
      </c>
      <c r="M752" s="84">
        <v>29.0</v>
      </c>
      <c r="N752" s="84">
        <v>7.0</v>
      </c>
      <c r="O752" s="85">
        <v>-1.776701042035778</v>
      </c>
      <c r="P752" s="85">
        <v>-1.9454409799522345</v>
      </c>
      <c r="Q752" s="85">
        <v>-2.720265889286671</v>
      </c>
      <c r="R752" s="85">
        <v>-1.184601056235557</v>
      </c>
      <c r="S752" s="85">
        <v>-1.4912484662944787</v>
      </c>
      <c r="T752" s="85">
        <v>-0.16952108464970286</v>
      </c>
      <c r="U752" s="85">
        <v>-2.5082004851180724</v>
      </c>
      <c r="V752" s="85">
        <v>0.0</v>
      </c>
      <c r="W752" s="85">
        <v>-1.4727834577020078</v>
      </c>
      <c r="X752" s="85">
        <v>-1.1490688611516178</v>
      </c>
      <c r="Y752" s="50" t="s">
        <v>69</v>
      </c>
      <c r="Z752" s="50" t="s">
        <v>69</v>
      </c>
      <c r="AA752" s="50" t="s">
        <v>69</v>
      </c>
      <c r="AB752" s="50" t="s">
        <v>69</v>
      </c>
      <c r="AC752" s="34" t="str">
        <f t="shared" ref="AC752:AP752" si="752">LET(
  skater, IFERROR(INDEX(AllProj, MATCH($E752, AllProjNames, 0), MATCH(AC$2, AllProjCats, 0) + 1), ""),
  goalie, IFERROR(INDEX(AllGProj, MATCH($E752, AllGProjNames, 0), MATCH(AC$2, AllGProjCats, 0) + 1), ""),
  val, IF(skater &lt;&gt; "", skater, goalie),
  IF(OR($E752="", AC$2="", val=""), "", val * AC$1)
)</f>
        <v/>
      </c>
      <c r="AD752" s="34" t="str">
        <f t="shared" si="752"/>
        <v/>
      </c>
      <c r="AE752" s="34" t="str">
        <f t="shared" si="752"/>
        <v/>
      </c>
      <c r="AF752" s="34" t="str">
        <f t="shared" si="752"/>
        <v/>
      </c>
      <c r="AG752" s="34" t="str">
        <f t="shared" si="752"/>
        <v/>
      </c>
      <c r="AH752" s="34" t="str">
        <f t="shared" si="752"/>
        <v/>
      </c>
      <c r="AI752" s="34" t="str">
        <f t="shared" si="752"/>
        <v/>
      </c>
      <c r="AJ752" s="34" t="str">
        <f t="shared" si="752"/>
        <v/>
      </c>
      <c r="AK752" s="34" t="str">
        <f t="shared" si="752"/>
        <v/>
      </c>
      <c r="AL752" s="34" t="str">
        <f t="shared" si="752"/>
        <v/>
      </c>
      <c r="AM752" s="34" t="str">
        <f t="shared" si="752"/>
        <v/>
      </c>
      <c r="AN752" s="34" t="str">
        <f t="shared" si="752"/>
        <v/>
      </c>
      <c r="AO752" s="34" t="str">
        <f t="shared" si="752"/>
        <v/>
      </c>
      <c r="AP752" s="34" t="str">
        <f t="shared" si="752"/>
        <v/>
      </c>
      <c r="AQ752" s="76" t="s">
        <v>793</v>
      </c>
      <c r="AR752" s="77"/>
      <c r="AS752" s="77"/>
      <c r="AT752" s="77"/>
      <c r="AU752" s="77"/>
      <c r="AV752" s="77"/>
      <c r="AW752" s="77"/>
      <c r="AX752" s="77"/>
      <c r="AY752" s="77"/>
      <c r="AZ752" s="77"/>
      <c r="BA752" s="77"/>
      <c r="BB752" s="77"/>
      <c r="BC752" s="77"/>
      <c r="BD752" s="77"/>
      <c r="BE752" s="77"/>
      <c r="BF752" s="77"/>
      <c r="BG752" s="77"/>
      <c r="BH752" s="77"/>
      <c r="BI752" s="77"/>
      <c r="BJ752" s="77"/>
      <c r="BK752" s="77"/>
      <c r="BL752" s="77"/>
      <c r="BM752" s="78"/>
    </row>
    <row r="753">
      <c r="A753" s="41">
        <v>2.642857142857143</v>
      </c>
      <c r="B753" s="41" t="b">
        <v>0</v>
      </c>
      <c r="C753" s="41" t="b">
        <f t="shared" si="3"/>
        <v>0</v>
      </c>
      <c r="D753" s="42" t="s">
        <v>1565</v>
      </c>
      <c r="E753" s="43" t="s">
        <v>1277</v>
      </c>
      <c r="F753" s="44" t="s">
        <v>1451</v>
      </c>
      <c r="G753" s="29" t="s">
        <v>837</v>
      </c>
      <c r="H753" s="32">
        <v>-14.472982684651326</v>
      </c>
      <c r="I753" s="32">
        <v>-8.943123912722424</v>
      </c>
      <c r="J753" s="45" t="s">
        <v>2423</v>
      </c>
      <c r="K753" s="29">
        <v>26.2</v>
      </c>
      <c r="L753" s="41">
        <v>65.0</v>
      </c>
      <c r="M753" s="46">
        <v>29.0</v>
      </c>
      <c r="N753" s="46">
        <v>7.0</v>
      </c>
      <c r="O753" s="47">
        <v>-2.4054892111914374</v>
      </c>
      <c r="P753" s="47">
        <v>-2.026639492176313</v>
      </c>
      <c r="Q753" s="47">
        <v>-1.6520364700892307</v>
      </c>
      <c r="R753" s="47">
        <v>-1.4954559504960816</v>
      </c>
      <c r="S753" s="47">
        <v>-1.72461069241107</v>
      </c>
      <c r="T753" s="47">
        <v>-0.7871777123417198</v>
      </c>
      <c r="U753" s="47">
        <v>-2.8072293626903364</v>
      </c>
      <c r="V753" s="47">
        <v>0.0</v>
      </c>
      <c r="W753" s="47">
        <v>-1.4727834577020078</v>
      </c>
      <c r="X753" s="47">
        <v>-0.10156033555312878</v>
      </c>
      <c r="Y753" s="50" t="s">
        <v>69</v>
      </c>
      <c r="Z753" s="50" t="s">
        <v>69</v>
      </c>
      <c r="AA753" s="50" t="s">
        <v>69</v>
      </c>
      <c r="AB753" s="50" t="s">
        <v>69</v>
      </c>
      <c r="AC753" s="34" t="str">
        <f t="shared" ref="AC753:AP753" si="753">LET(
  skater, IFERROR(INDEX(AllProj, MATCH($E753, AllProjNames, 0), MATCH(AC$2, AllProjCats, 0) + 1), ""),
  goalie, IFERROR(INDEX(AllGProj, MATCH($E753, AllGProjNames, 0), MATCH(AC$2, AllGProjCats, 0) + 1), ""),
  val, IF(skater &lt;&gt; "", skater, goalie),
  IF(OR($E753="", AC$2="", val=""), "", val * AC$1)
)</f>
        <v/>
      </c>
      <c r="AD753" s="34" t="str">
        <f t="shared" si="753"/>
        <v/>
      </c>
      <c r="AE753" s="34" t="str">
        <f t="shared" si="753"/>
        <v/>
      </c>
      <c r="AF753" s="34" t="str">
        <f t="shared" si="753"/>
        <v/>
      </c>
      <c r="AG753" s="34" t="str">
        <f t="shared" si="753"/>
        <v/>
      </c>
      <c r="AH753" s="34" t="str">
        <f t="shared" si="753"/>
        <v/>
      </c>
      <c r="AI753" s="34" t="str">
        <f t="shared" si="753"/>
        <v/>
      </c>
      <c r="AJ753" s="34" t="str">
        <f t="shared" si="753"/>
        <v/>
      </c>
      <c r="AK753" s="34" t="str">
        <f t="shared" si="753"/>
        <v/>
      </c>
      <c r="AL753" s="34" t="str">
        <f t="shared" si="753"/>
        <v/>
      </c>
      <c r="AM753" s="34" t="str">
        <f t="shared" si="753"/>
        <v/>
      </c>
      <c r="AN753" s="34" t="str">
        <f t="shared" si="753"/>
        <v/>
      </c>
      <c r="AO753" s="34" t="str">
        <f t="shared" si="753"/>
        <v/>
      </c>
      <c r="AP753" s="34" t="str">
        <f t="shared" si="753"/>
        <v/>
      </c>
      <c r="AQ753" s="76" t="s">
        <v>794</v>
      </c>
      <c r="AR753" s="77"/>
      <c r="AS753" s="77"/>
      <c r="AT753" s="77"/>
      <c r="AU753" s="77"/>
      <c r="AV753" s="77"/>
      <c r="AW753" s="77"/>
      <c r="AX753" s="77"/>
      <c r="AY753" s="77"/>
      <c r="AZ753" s="77"/>
      <c r="BA753" s="77"/>
      <c r="BB753" s="77"/>
      <c r="BC753" s="77"/>
      <c r="BD753" s="77"/>
      <c r="BE753" s="77"/>
      <c r="BF753" s="77"/>
      <c r="BG753" s="77"/>
      <c r="BH753" s="77"/>
      <c r="BI753" s="77"/>
      <c r="BJ753" s="77"/>
      <c r="BK753" s="77"/>
      <c r="BL753" s="77"/>
      <c r="BM753" s="78"/>
    </row>
    <row r="754">
      <c r="A754" s="79">
        <v>2.642857142857143</v>
      </c>
      <c r="B754" s="79" t="b">
        <v>0</v>
      </c>
      <c r="C754" s="79" t="b">
        <f t="shared" si="3"/>
        <v>0</v>
      </c>
      <c r="D754" s="80" t="s">
        <v>1565</v>
      </c>
      <c r="E754" s="81" t="s">
        <v>1212</v>
      </c>
      <c r="F754" s="82" t="s">
        <v>1429</v>
      </c>
      <c r="G754" s="35" t="s">
        <v>837</v>
      </c>
      <c r="H754" s="37">
        <v>-14.48476400059782</v>
      </c>
      <c r="I754" s="37">
        <v>-8.95490522866892</v>
      </c>
      <c r="J754" s="83" t="s">
        <v>2424</v>
      </c>
      <c r="K754" s="35">
        <v>36.2</v>
      </c>
      <c r="L754" s="79">
        <v>51.4</v>
      </c>
      <c r="M754" s="84">
        <v>24.0</v>
      </c>
      <c r="N754" s="84">
        <v>7.0</v>
      </c>
      <c r="O754" s="85">
        <v>-2.37027707371872</v>
      </c>
      <c r="P754" s="85">
        <v>-2.156557111734839</v>
      </c>
      <c r="Q754" s="85">
        <v>-0.5332790774398088</v>
      </c>
      <c r="R754" s="85">
        <v>-1.2343378393172408</v>
      </c>
      <c r="S754" s="85">
        <v>-1.72461069241107</v>
      </c>
      <c r="T754" s="85">
        <v>-0.7871777123417198</v>
      </c>
      <c r="U754" s="85">
        <v>-2.8881971818483647</v>
      </c>
      <c r="V754" s="85">
        <v>0.0</v>
      </c>
      <c r="W754" s="85">
        <v>-1.4604884079311586</v>
      </c>
      <c r="X754" s="85">
        <v>-1.3298389038549</v>
      </c>
      <c r="Y754" s="50" t="s">
        <v>69</v>
      </c>
      <c r="Z754" s="50" t="s">
        <v>69</v>
      </c>
      <c r="AA754" s="50" t="s">
        <v>69</v>
      </c>
      <c r="AB754" s="50" t="s">
        <v>69</v>
      </c>
      <c r="AC754" s="34" t="str">
        <f t="shared" ref="AC754:AP754" si="754">LET(
  skater, IFERROR(INDEX(AllProj, MATCH($E754, AllProjNames, 0), MATCH(AC$2, AllProjCats, 0) + 1), ""),
  goalie, IFERROR(INDEX(AllGProj, MATCH($E754, AllGProjNames, 0), MATCH(AC$2, AllGProjCats, 0) + 1), ""),
  val, IF(skater &lt;&gt; "", skater, goalie),
  IF(OR($E754="", AC$2="", val=""), "", val * AC$1)
)</f>
        <v/>
      </c>
      <c r="AD754" s="34" t="str">
        <f t="shared" si="754"/>
        <v/>
      </c>
      <c r="AE754" s="34" t="str">
        <f t="shared" si="754"/>
        <v/>
      </c>
      <c r="AF754" s="34" t="str">
        <f t="shared" si="754"/>
        <v/>
      </c>
      <c r="AG754" s="34" t="str">
        <f t="shared" si="754"/>
        <v/>
      </c>
      <c r="AH754" s="34" t="str">
        <f t="shared" si="754"/>
        <v/>
      </c>
      <c r="AI754" s="34" t="str">
        <f t="shared" si="754"/>
        <v/>
      </c>
      <c r="AJ754" s="34" t="str">
        <f t="shared" si="754"/>
        <v/>
      </c>
      <c r="AK754" s="34" t="str">
        <f t="shared" si="754"/>
        <v/>
      </c>
      <c r="AL754" s="34" t="str">
        <f t="shared" si="754"/>
        <v/>
      </c>
      <c r="AM754" s="34" t="str">
        <f t="shared" si="754"/>
        <v/>
      </c>
      <c r="AN754" s="34" t="str">
        <f t="shared" si="754"/>
        <v/>
      </c>
      <c r="AO754" s="34" t="str">
        <f t="shared" si="754"/>
        <v/>
      </c>
      <c r="AP754" s="34" t="str">
        <f t="shared" si="754"/>
        <v/>
      </c>
      <c r="AQ754" s="76" t="s">
        <v>795</v>
      </c>
      <c r="AR754" s="77"/>
      <c r="AS754" s="77"/>
      <c r="AT754" s="77"/>
      <c r="AU754" s="77"/>
      <c r="AV754" s="77"/>
      <c r="AW754" s="77"/>
      <c r="AX754" s="77"/>
      <c r="AY754" s="77"/>
      <c r="AZ754" s="77"/>
      <c r="BA754" s="77"/>
      <c r="BB754" s="77"/>
      <c r="BC754" s="77"/>
      <c r="BD754" s="77"/>
      <c r="BE754" s="77"/>
      <c r="BF754" s="77"/>
      <c r="BG754" s="77"/>
      <c r="BH754" s="77"/>
      <c r="BI754" s="77"/>
      <c r="BJ754" s="77"/>
      <c r="BK754" s="77"/>
      <c r="BL754" s="77"/>
      <c r="BM754" s="78"/>
    </row>
    <row r="755">
      <c r="A755" s="41">
        <v>2.7142857142857144</v>
      </c>
      <c r="B755" s="41" t="b">
        <v>0</v>
      </c>
      <c r="C755" s="41" t="b">
        <f t="shared" si="3"/>
        <v>0</v>
      </c>
      <c r="D755" s="42" t="s">
        <v>1565</v>
      </c>
      <c r="E755" s="43" t="s">
        <v>1313</v>
      </c>
      <c r="F755" s="44" t="s">
        <v>1512</v>
      </c>
      <c r="G755" s="29" t="s">
        <v>284</v>
      </c>
      <c r="H755" s="32">
        <v>-14.515463773452142</v>
      </c>
      <c r="I755" s="32">
        <v>-9.477397753269056</v>
      </c>
      <c r="J755" s="45" t="s">
        <v>2425</v>
      </c>
      <c r="K755" s="29">
        <v>32.5</v>
      </c>
      <c r="L755" s="41">
        <v>62.0</v>
      </c>
      <c r="M755" s="46">
        <v>21.0</v>
      </c>
      <c r="N755" s="46">
        <v>7.0</v>
      </c>
      <c r="O755" s="47">
        <v>-1.90245867586691</v>
      </c>
      <c r="P755" s="47">
        <v>-1.6206469310559204</v>
      </c>
      <c r="Q755" s="47">
        <v>-2.827799615274762</v>
      </c>
      <c r="R755" s="47">
        <v>-1.3089430139397666</v>
      </c>
      <c r="S755" s="47">
        <v>-1.2578862401778874</v>
      </c>
      <c r="T755" s="47">
        <v>-0.16952108464970286</v>
      </c>
      <c r="U755" s="47">
        <v>-2.715220477283486</v>
      </c>
      <c r="V755" s="47">
        <v>0.0</v>
      </c>
      <c r="W755" s="47">
        <v>-1.1449154638126922</v>
      </c>
      <c r="X755" s="47">
        <v>-1.5680722713910136</v>
      </c>
      <c r="Y755" s="50" t="s">
        <v>69</v>
      </c>
      <c r="Z755" s="50" t="s">
        <v>69</v>
      </c>
      <c r="AA755" s="50" t="s">
        <v>69</v>
      </c>
      <c r="AB755" s="50" t="s">
        <v>69</v>
      </c>
      <c r="AC755" s="34" t="str">
        <f t="shared" ref="AC755:AP755" si="755">LET(
  skater, IFERROR(INDEX(AllProj, MATCH($E755, AllProjNames, 0), MATCH(AC$2, AllProjCats, 0) + 1), ""),
  goalie, IFERROR(INDEX(AllGProj, MATCH($E755, AllGProjNames, 0), MATCH(AC$2, AllGProjCats, 0) + 1), ""),
  val, IF(skater &lt;&gt; "", skater, goalie),
  IF(OR($E755="", AC$2="", val=""), "", val * AC$1)
)</f>
        <v/>
      </c>
      <c r="AD755" s="34" t="str">
        <f t="shared" si="755"/>
        <v/>
      </c>
      <c r="AE755" s="34" t="str">
        <f t="shared" si="755"/>
        <v/>
      </c>
      <c r="AF755" s="34" t="str">
        <f t="shared" si="755"/>
        <v/>
      </c>
      <c r="AG755" s="34" t="str">
        <f t="shared" si="755"/>
        <v/>
      </c>
      <c r="AH755" s="34" t="str">
        <f t="shared" si="755"/>
        <v/>
      </c>
      <c r="AI755" s="34" t="str">
        <f t="shared" si="755"/>
        <v/>
      </c>
      <c r="AJ755" s="34" t="str">
        <f t="shared" si="755"/>
        <v/>
      </c>
      <c r="AK755" s="34" t="str">
        <f t="shared" si="755"/>
        <v/>
      </c>
      <c r="AL755" s="34" t="str">
        <f t="shared" si="755"/>
        <v/>
      </c>
      <c r="AM755" s="34" t="str">
        <f t="shared" si="755"/>
        <v/>
      </c>
      <c r="AN755" s="34" t="str">
        <f t="shared" si="755"/>
        <v/>
      </c>
      <c r="AO755" s="34" t="str">
        <f t="shared" si="755"/>
        <v/>
      </c>
      <c r="AP755" s="34" t="str">
        <f t="shared" si="755"/>
        <v/>
      </c>
      <c r="AQ755" s="76" t="s">
        <v>796</v>
      </c>
      <c r="AR755" s="77"/>
      <c r="AS755" s="77"/>
      <c r="AT755" s="77"/>
      <c r="AU755" s="77"/>
      <c r="AV755" s="77"/>
      <c r="AW755" s="77"/>
      <c r="AX755" s="77"/>
      <c r="AY755" s="77"/>
      <c r="AZ755" s="77"/>
      <c r="BA755" s="77"/>
      <c r="BB755" s="77"/>
      <c r="BC755" s="77"/>
      <c r="BD755" s="77"/>
      <c r="BE755" s="77"/>
      <c r="BF755" s="77"/>
      <c r="BG755" s="77"/>
      <c r="BH755" s="77"/>
      <c r="BI755" s="77"/>
      <c r="BJ755" s="77"/>
      <c r="BK755" s="77"/>
      <c r="BL755" s="77"/>
      <c r="BM755" s="78"/>
    </row>
    <row r="756">
      <c r="A756" s="79">
        <v>2.642857142857143</v>
      </c>
      <c r="B756" s="79" t="b">
        <v>0</v>
      </c>
      <c r="C756" s="79" t="b">
        <f t="shared" si="3"/>
        <v>0</v>
      </c>
      <c r="D756" s="80" t="s">
        <v>1565</v>
      </c>
      <c r="E756" s="81" t="s">
        <v>1217</v>
      </c>
      <c r="F756" s="82" t="s">
        <v>1401</v>
      </c>
      <c r="G756" s="35" t="s">
        <v>284</v>
      </c>
      <c r="H756" s="37">
        <v>-14.614251139966887</v>
      </c>
      <c r="I756" s="37">
        <v>-9.576185119783801</v>
      </c>
      <c r="J756" s="83" t="s">
        <v>2426</v>
      </c>
      <c r="K756" s="35">
        <v>26.6</v>
      </c>
      <c r="L756" s="79">
        <v>45.0</v>
      </c>
      <c r="M756" s="84">
        <v>25.0</v>
      </c>
      <c r="N756" s="84">
        <v>7.0</v>
      </c>
      <c r="O756" s="85">
        <v>-1.776701042035778</v>
      </c>
      <c r="P756" s="85">
        <v>-1.9454409799522345</v>
      </c>
      <c r="Q756" s="85">
        <v>-1.8249006958834064</v>
      </c>
      <c r="R756" s="85">
        <v>-1.992823781312921</v>
      </c>
      <c r="S756" s="85">
        <v>-1.72461069241107</v>
      </c>
      <c r="T756" s="85">
        <v>-0.16952108464970286</v>
      </c>
      <c r="U756" s="85">
        <v>-2.6692160345800606</v>
      </c>
      <c r="V756" s="85">
        <v>0.0</v>
      </c>
      <c r="W756" s="85">
        <v>-0.673605222596801</v>
      </c>
      <c r="X756" s="85">
        <v>-1.8374316065449108</v>
      </c>
      <c r="Y756" s="50" t="s">
        <v>69</v>
      </c>
      <c r="Z756" s="50" t="s">
        <v>69</v>
      </c>
      <c r="AA756" s="50" t="s">
        <v>69</v>
      </c>
      <c r="AB756" s="50" t="s">
        <v>69</v>
      </c>
      <c r="AC756" s="34" t="str">
        <f t="shared" ref="AC756:AP756" si="756">LET(
  skater, IFERROR(INDEX(AllProj, MATCH($E756, AllProjNames, 0), MATCH(AC$2, AllProjCats, 0) + 1), ""),
  goalie, IFERROR(INDEX(AllGProj, MATCH($E756, AllGProjNames, 0), MATCH(AC$2, AllGProjCats, 0) + 1), ""),
  val, IF(skater &lt;&gt; "", skater, goalie),
  IF(OR($E756="", AC$2="", val=""), "", val * AC$1)
)</f>
        <v/>
      </c>
      <c r="AD756" s="34" t="str">
        <f t="shared" si="756"/>
        <v/>
      </c>
      <c r="AE756" s="34" t="str">
        <f t="shared" si="756"/>
        <v/>
      </c>
      <c r="AF756" s="34" t="str">
        <f t="shared" si="756"/>
        <v/>
      </c>
      <c r="AG756" s="34" t="str">
        <f t="shared" si="756"/>
        <v/>
      </c>
      <c r="AH756" s="34" t="str">
        <f t="shared" si="756"/>
        <v/>
      </c>
      <c r="AI756" s="34" t="str">
        <f t="shared" si="756"/>
        <v/>
      </c>
      <c r="AJ756" s="34" t="str">
        <f t="shared" si="756"/>
        <v/>
      </c>
      <c r="AK756" s="34" t="str">
        <f t="shared" si="756"/>
        <v/>
      </c>
      <c r="AL756" s="34" t="str">
        <f t="shared" si="756"/>
        <v/>
      </c>
      <c r="AM756" s="34" t="str">
        <f t="shared" si="756"/>
        <v/>
      </c>
      <c r="AN756" s="34" t="str">
        <f t="shared" si="756"/>
        <v/>
      </c>
      <c r="AO756" s="34" t="str">
        <f t="shared" si="756"/>
        <v/>
      </c>
      <c r="AP756" s="34" t="str">
        <f t="shared" si="756"/>
        <v/>
      </c>
      <c r="AQ756" s="76" t="s">
        <v>797</v>
      </c>
      <c r="AR756" s="77"/>
      <c r="AS756" s="77"/>
      <c r="AT756" s="77"/>
      <c r="AU756" s="77"/>
      <c r="AV756" s="77"/>
      <c r="AW756" s="77"/>
      <c r="AX756" s="77"/>
      <c r="AY756" s="77"/>
      <c r="AZ756" s="77"/>
      <c r="BA756" s="77"/>
      <c r="BB756" s="77"/>
      <c r="BC756" s="77"/>
      <c r="BD756" s="77"/>
      <c r="BE756" s="77"/>
      <c r="BF756" s="77"/>
      <c r="BG756" s="77"/>
      <c r="BH756" s="77"/>
      <c r="BI756" s="77"/>
      <c r="BJ756" s="77"/>
      <c r="BK756" s="77"/>
      <c r="BL756" s="77"/>
      <c r="BM756" s="78"/>
    </row>
    <row r="757">
      <c r="A757" s="41">
        <v>2.7857142857142856</v>
      </c>
      <c r="B757" s="41" t="b">
        <v>0</v>
      </c>
      <c r="C757" s="41" t="b">
        <f t="shared" si="3"/>
        <v>0</v>
      </c>
      <c r="D757" s="42" t="s">
        <v>1565</v>
      </c>
      <c r="E757" s="43" t="s">
        <v>1374</v>
      </c>
      <c r="F757" s="44" t="s">
        <v>1401</v>
      </c>
      <c r="G757" s="29" t="s">
        <v>837</v>
      </c>
      <c r="H757" s="32">
        <v>-14.640123366459193</v>
      </c>
      <c r="I757" s="32">
        <v>-9.110264594530292</v>
      </c>
      <c r="J757" s="45" t="s">
        <v>2427</v>
      </c>
      <c r="K757" s="29">
        <v>32.4</v>
      </c>
      <c r="L757" s="41">
        <v>71.8</v>
      </c>
      <c r="M757" s="46">
        <v>25.0</v>
      </c>
      <c r="N757" s="46">
        <v>7.0</v>
      </c>
      <c r="O757" s="47">
        <v>-2.330034630892758</v>
      </c>
      <c r="P757" s="47">
        <v>-1.8967218726177872</v>
      </c>
      <c r="Q757" s="47">
        <v>-2.454320754426905</v>
      </c>
      <c r="R757" s="47">
        <v>-1.1721668604651359</v>
      </c>
      <c r="S757" s="47">
        <v>-1.72461069241107</v>
      </c>
      <c r="T757" s="47">
        <v>-0.7871777123417198</v>
      </c>
      <c r="U757" s="47">
        <v>-2.250575605978891</v>
      </c>
      <c r="V757" s="47">
        <v>0.0</v>
      </c>
      <c r="W757" s="47">
        <v>-1.899011849758118</v>
      </c>
      <c r="X757" s="47">
        <v>-0.12550338756680846</v>
      </c>
      <c r="Y757" s="50" t="s">
        <v>69</v>
      </c>
      <c r="Z757" s="50" t="s">
        <v>69</v>
      </c>
      <c r="AA757" s="50" t="s">
        <v>69</v>
      </c>
      <c r="AB757" s="50" t="s">
        <v>69</v>
      </c>
      <c r="AC757" s="34" t="str">
        <f t="shared" ref="AC757:AP757" si="757">LET(
  skater, IFERROR(INDEX(AllProj, MATCH($E757, AllProjNames, 0), MATCH(AC$2, AllProjCats, 0) + 1), ""),
  goalie, IFERROR(INDEX(AllGProj, MATCH($E757, AllGProjNames, 0), MATCH(AC$2, AllGProjCats, 0) + 1), ""),
  val, IF(skater &lt;&gt; "", skater, goalie),
  IF(OR($E757="", AC$2="", val=""), "", val * AC$1)
)</f>
        <v/>
      </c>
      <c r="AD757" s="34" t="str">
        <f t="shared" si="757"/>
        <v/>
      </c>
      <c r="AE757" s="34" t="str">
        <f t="shared" si="757"/>
        <v/>
      </c>
      <c r="AF757" s="34" t="str">
        <f t="shared" si="757"/>
        <v/>
      </c>
      <c r="AG757" s="34" t="str">
        <f t="shared" si="757"/>
        <v/>
      </c>
      <c r="AH757" s="34" t="str">
        <f t="shared" si="757"/>
        <v/>
      </c>
      <c r="AI757" s="34" t="str">
        <f t="shared" si="757"/>
        <v/>
      </c>
      <c r="AJ757" s="34" t="str">
        <f t="shared" si="757"/>
        <v/>
      </c>
      <c r="AK757" s="34" t="str">
        <f t="shared" si="757"/>
        <v/>
      </c>
      <c r="AL757" s="34" t="str">
        <f t="shared" si="757"/>
        <v/>
      </c>
      <c r="AM757" s="34" t="str">
        <f t="shared" si="757"/>
        <v/>
      </c>
      <c r="AN757" s="34" t="str">
        <f t="shared" si="757"/>
        <v/>
      </c>
      <c r="AO757" s="34" t="str">
        <f t="shared" si="757"/>
        <v/>
      </c>
      <c r="AP757" s="34" t="str">
        <f t="shared" si="757"/>
        <v/>
      </c>
      <c r="AQ757" s="76" t="s">
        <v>798</v>
      </c>
      <c r="AR757" s="77"/>
      <c r="AS757" s="77"/>
      <c r="AT757" s="77"/>
      <c r="AU757" s="77"/>
      <c r="AV757" s="77"/>
      <c r="AW757" s="77"/>
      <c r="AX757" s="77"/>
      <c r="AY757" s="77"/>
      <c r="AZ757" s="77"/>
      <c r="BA757" s="77"/>
      <c r="BB757" s="77"/>
      <c r="BC757" s="77"/>
      <c r="BD757" s="77"/>
      <c r="BE757" s="77"/>
      <c r="BF757" s="77"/>
      <c r="BG757" s="77"/>
      <c r="BH757" s="77"/>
      <c r="BI757" s="77"/>
      <c r="BJ757" s="77"/>
      <c r="BK757" s="77"/>
      <c r="BL757" s="77"/>
      <c r="BM757" s="78"/>
    </row>
    <row r="758">
      <c r="A758" s="79">
        <v>2.7857142857142856</v>
      </c>
      <c r="B758" s="79" t="b">
        <v>0</v>
      </c>
      <c r="C758" s="79" t="b">
        <f t="shared" si="3"/>
        <v>0</v>
      </c>
      <c r="D758" s="80" t="s">
        <v>1565</v>
      </c>
      <c r="E758" s="81" t="s">
        <v>1371</v>
      </c>
      <c r="F758" s="82" t="s">
        <v>1473</v>
      </c>
      <c r="G758" s="35" t="s">
        <v>835</v>
      </c>
      <c r="H758" s="37">
        <v>-14.807014391233212</v>
      </c>
      <c r="I758" s="37">
        <v>-9.419134266320473</v>
      </c>
      <c r="J758" s="83" t="s">
        <v>2428</v>
      </c>
      <c r="K758" s="35">
        <v>31.1</v>
      </c>
      <c r="L758" s="79">
        <v>68.42857142857143</v>
      </c>
      <c r="M758" s="84">
        <v>25.0</v>
      </c>
      <c r="N758" s="84">
        <v>6.0</v>
      </c>
      <c r="O758" s="85">
        <v>-1.3742766137761557</v>
      </c>
      <c r="P758" s="85">
        <v>-1.6577662509297846</v>
      </c>
      <c r="Q758" s="85">
        <v>-2.3358542372830624</v>
      </c>
      <c r="R758" s="85">
        <v>-1.770784571126832</v>
      </c>
      <c r="S758" s="85">
        <v>-1.1692085942535828</v>
      </c>
      <c r="T758" s="85">
        <v>-0.7871777123417198</v>
      </c>
      <c r="U758" s="85">
        <v>-1.9278873007305795</v>
      </c>
      <c r="V758" s="85">
        <v>0.0</v>
      </c>
      <c r="W758" s="85">
        <v>-2.224537929405367</v>
      </c>
      <c r="X758" s="85">
        <v>-1.5595211813861278</v>
      </c>
      <c r="Y758" s="50" t="s">
        <v>69</v>
      </c>
      <c r="Z758" s="50" t="s">
        <v>69</v>
      </c>
      <c r="AA758" s="50" t="s">
        <v>69</v>
      </c>
      <c r="AB758" s="50" t="s">
        <v>69</v>
      </c>
      <c r="AC758" s="34" t="str">
        <f t="shared" ref="AC758:AP758" si="758">LET(
  skater, IFERROR(INDEX(AllProj, MATCH($E758, AllProjNames, 0), MATCH(AC$2, AllProjCats, 0) + 1), ""),
  goalie, IFERROR(INDEX(AllGProj, MATCH($E758, AllGProjNames, 0), MATCH(AC$2, AllGProjCats, 0) + 1), ""),
  val, IF(skater &lt;&gt; "", skater, goalie),
  IF(OR($E758="", AC$2="", val=""), "", val * AC$1)
)</f>
        <v/>
      </c>
      <c r="AD758" s="34" t="str">
        <f t="shared" si="758"/>
        <v/>
      </c>
      <c r="AE758" s="34" t="str">
        <f t="shared" si="758"/>
        <v/>
      </c>
      <c r="AF758" s="34" t="str">
        <f t="shared" si="758"/>
        <v/>
      </c>
      <c r="AG758" s="34" t="str">
        <f t="shared" si="758"/>
        <v/>
      </c>
      <c r="AH758" s="34" t="str">
        <f t="shared" si="758"/>
        <v/>
      </c>
      <c r="AI758" s="34" t="str">
        <f t="shared" si="758"/>
        <v/>
      </c>
      <c r="AJ758" s="34" t="str">
        <f t="shared" si="758"/>
        <v/>
      </c>
      <c r="AK758" s="34" t="str">
        <f t="shared" si="758"/>
        <v/>
      </c>
      <c r="AL758" s="34" t="str">
        <f t="shared" si="758"/>
        <v/>
      </c>
      <c r="AM758" s="34" t="str">
        <f t="shared" si="758"/>
        <v/>
      </c>
      <c r="AN758" s="34" t="str">
        <f t="shared" si="758"/>
        <v/>
      </c>
      <c r="AO758" s="34" t="str">
        <f t="shared" si="758"/>
        <v/>
      </c>
      <c r="AP758" s="34" t="str">
        <f t="shared" si="758"/>
        <v/>
      </c>
      <c r="AQ758" s="76" t="s">
        <v>799</v>
      </c>
      <c r="AR758" s="77"/>
      <c r="AS758" s="77"/>
      <c r="AT758" s="77"/>
      <c r="AU758" s="77"/>
      <c r="AV758" s="77"/>
      <c r="AW758" s="77"/>
      <c r="AX758" s="77"/>
      <c r="AY758" s="77"/>
      <c r="AZ758" s="77"/>
      <c r="BA758" s="77"/>
      <c r="BB758" s="77"/>
      <c r="BC758" s="77"/>
      <c r="BD758" s="77"/>
      <c r="BE758" s="77"/>
      <c r="BF758" s="77"/>
      <c r="BG758" s="77"/>
      <c r="BH758" s="77"/>
      <c r="BI758" s="77"/>
      <c r="BJ758" s="77"/>
      <c r="BK758" s="77"/>
      <c r="BL758" s="77"/>
      <c r="BM758" s="78"/>
    </row>
    <row r="759">
      <c r="A759" s="41">
        <v>2.642857142857143</v>
      </c>
      <c r="B759" s="41" t="b">
        <v>0</v>
      </c>
      <c r="C759" s="41" t="b">
        <f t="shared" si="3"/>
        <v>0</v>
      </c>
      <c r="D759" s="42" t="s">
        <v>1565</v>
      </c>
      <c r="E759" s="43" t="s">
        <v>1255</v>
      </c>
      <c r="F759" s="44" t="s">
        <v>1461</v>
      </c>
      <c r="G759" s="29" t="s">
        <v>837</v>
      </c>
      <c r="H759" s="32">
        <v>-14.867761761612206</v>
      </c>
      <c r="I759" s="32">
        <v>-9.337902989683304</v>
      </c>
      <c r="J759" s="45" t="s">
        <v>2429</v>
      </c>
      <c r="K759" s="29">
        <v>29.4</v>
      </c>
      <c r="L759" s="41">
        <v>73.0</v>
      </c>
      <c r="M759" s="46">
        <v>23.0</v>
      </c>
      <c r="N759" s="46">
        <v>6.0</v>
      </c>
      <c r="O759" s="47">
        <v>-2.4054892111914374</v>
      </c>
      <c r="P759" s="47">
        <v>-1.7830439555040773</v>
      </c>
      <c r="Q759" s="47">
        <v>-0.8334311052804673</v>
      </c>
      <c r="R759" s="47">
        <v>-2.241507696721341</v>
      </c>
      <c r="S759" s="47">
        <v>-1.72461069241107</v>
      </c>
      <c r="T759" s="47">
        <v>-0.7871777123417198</v>
      </c>
      <c r="U759" s="47">
        <v>-2.784227141338624</v>
      </c>
      <c r="V759" s="47">
        <v>0.0</v>
      </c>
      <c r="W759" s="47">
        <v>-1.30884946075735</v>
      </c>
      <c r="X759" s="47">
        <v>-0.9994247860661194</v>
      </c>
      <c r="Y759" s="50" t="s">
        <v>69</v>
      </c>
      <c r="Z759" s="50" t="s">
        <v>69</v>
      </c>
      <c r="AA759" s="50" t="s">
        <v>69</v>
      </c>
      <c r="AB759" s="50" t="s">
        <v>69</v>
      </c>
      <c r="AC759" s="34" t="str">
        <f t="shared" ref="AC759:AP759" si="759">LET(
  skater, IFERROR(INDEX(AllProj, MATCH($E759, AllProjNames, 0), MATCH(AC$2, AllProjCats, 0) + 1), ""),
  goalie, IFERROR(INDEX(AllGProj, MATCH($E759, AllGProjNames, 0), MATCH(AC$2, AllGProjCats, 0) + 1), ""),
  val, IF(skater &lt;&gt; "", skater, goalie),
  IF(OR($E759="", AC$2="", val=""), "", val * AC$1)
)</f>
        <v/>
      </c>
      <c r="AD759" s="34" t="str">
        <f t="shared" si="759"/>
        <v/>
      </c>
      <c r="AE759" s="34" t="str">
        <f t="shared" si="759"/>
        <v/>
      </c>
      <c r="AF759" s="34" t="str">
        <f t="shared" si="759"/>
        <v/>
      </c>
      <c r="AG759" s="34" t="str">
        <f t="shared" si="759"/>
        <v/>
      </c>
      <c r="AH759" s="34" t="str">
        <f t="shared" si="759"/>
        <v/>
      </c>
      <c r="AI759" s="34" t="str">
        <f t="shared" si="759"/>
        <v/>
      </c>
      <c r="AJ759" s="34" t="str">
        <f t="shared" si="759"/>
        <v/>
      </c>
      <c r="AK759" s="34" t="str">
        <f t="shared" si="759"/>
        <v/>
      </c>
      <c r="AL759" s="34" t="str">
        <f t="shared" si="759"/>
        <v/>
      </c>
      <c r="AM759" s="34" t="str">
        <f t="shared" si="759"/>
        <v/>
      </c>
      <c r="AN759" s="34" t="str">
        <f t="shared" si="759"/>
        <v/>
      </c>
      <c r="AO759" s="34" t="str">
        <f t="shared" si="759"/>
        <v/>
      </c>
      <c r="AP759" s="34" t="str">
        <f t="shared" si="759"/>
        <v/>
      </c>
      <c r="AQ759" s="76" t="s">
        <v>800</v>
      </c>
      <c r="AR759" s="77"/>
      <c r="AS759" s="77"/>
      <c r="AT759" s="77"/>
      <c r="AU759" s="77"/>
      <c r="AV759" s="77"/>
      <c r="AW759" s="77"/>
      <c r="AX759" s="77"/>
      <c r="AY759" s="77"/>
      <c r="AZ759" s="77"/>
      <c r="BA759" s="77"/>
      <c r="BB759" s="77"/>
      <c r="BC759" s="77"/>
      <c r="BD759" s="77"/>
      <c r="BE759" s="77"/>
      <c r="BF759" s="77"/>
      <c r="BG759" s="77"/>
      <c r="BH759" s="77"/>
      <c r="BI759" s="77"/>
      <c r="BJ759" s="77"/>
      <c r="BK759" s="77"/>
      <c r="BL759" s="77"/>
      <c r="BM759" s="78"/>
    </row>
    <row r="760">
      <c r="A760" s="79">
        <v>2.7142857142857144</v>
      </c>
      <c r="B760" s="79" t="b">
        <v>0</v>
      </c>
      <c r="C760" s="79" t="b">
        <f t="shared" si="3"/>
        <v>0</v>
      </c>
      <c r="D760" s="80" t="s">
        <v>1565</v>
      </c>
      <c r="E760" s="81" t="s">
        <v>1340</v>
      </c>
      <c r="F760" s="82" t="s">
        <v>1419</v>
      </c>
      <c r="G760" s="35" t="s">
        <v>837</v>
      </c>
      <c r="H760" s="37">
        <v>-14.890339591714065</v>
      </c>
      <c r="I760" s="37">
        <v>-9.360480819785163</v>
      </c>
      <c r="J760" s="83" t="s">
        <v>2430</v>
      </c>
      <c r="K760" s="35">
        <v>24.3</v>
      </c>
      <c r="L760" s="79">
        <v>63.8</v>
      </c>
      <c r="M760" s="84">
        <v>23.0</v>
      </c>
      <c r="N760" s="84">
        <v>7.0</v>
      </c>
      <c r="O760" s="85">
        <v>-2.4054892111914374</v>
      </c>
      <c r="P760" s="85">
        <v>-1.571927823721473</v>
      </c>
      <c r="Q760" s="85">
        <v>-0.26725466841289813</v>
      </c>
      <c r="R760" s="85">
        <v>-2.2539418924917616</v>
      </c>
      <c r="S760" s="85">
        <v>-1.72461069241107</v>
      </c>
      <c r="T760" s="85">
        <v>-0.7871777123417198</v>
      </c>
      <c r="U760" s="85">
        <v>-2.1217631664093</v>
      </c>
      <c r="V760" s="85">
        <v>0.0</v>
      </c>
      <c r="W760" s="85">
        <v>-2.3457319914323107</v>
      </c>
      <c r="X760" s="85">
        <v>-1.412442433302095</v>
      </c>
      <c r="Y760" s="50" t="s">
        <v>69</v>
      </c>
      <c r="Z760" s="50" t="s">
        <v>69</v>
      </c>
      <c r="AA760" s="50" t="s">
        <v>69</v>
      </c>
      <c r="AB760" s="50" t="s">
        <v>69</v>
      </c>
      <c r="AC760" s="34" t="str">
        <f t="shared" ref="AC760:AP760" si="760">LET(
  skater, IFERROR(INDEX(AllProj, MATCH($E760, AllProjNames, 0), MATCH(AC$2, AllProjCats, 0) + 1), ""),
  goalie, IFERROR(INDEX(AllGProj, MATCH($E760, AllGProjNames, 0), MATCH(AC$2, AllGProjCats, 0) + 1), ""),
  val, IF(skater &lt;&gt; "", skater, goalie),
  IF(OR($E760="", AC$2="", val=""), "", val * AC$1)
)</f>
        <v/>
      </c>
      <c r="AD760" s="34" t="str">
        <f t="shared" si="760"/>
        <v/>
      </c>
      <c r="AE760" s="34" t="str">
        <f t="shared" si="760"/>
        <v/>
      </c>
      <c r="AF760" s="34" t="str">
        <f t="shared" si="760"/>
        <v/>
      </c>
      <c r="AG760" s="34" t="str">
        <f t="shared" si="760"/>
        <v/>
      </c>
      <c r="AH760" s="34" t="str">
        <f t="shared" si="760"/>
        <v/>
      </c>
      <c r="AI760" s="34" t="str">
        <f t="shared" si="760"/>
        <v/>
      </c>
      <c r="AJ760" s="34" t="str">
        <f t="shared" si="760"/>
        <v/>
      </c>
      <c r="AK760" s="34" t="str">
        <f t="shared" si="760"/>
        <v/>
      </c>
      <c r="AL760" s="34" t="str">
        <f t="shared" si="760"/>
        <v/>
      </c>
      <c r="AM760" s="34" t="str">
        <f t="shared" si="760"/>
        <v/>
      </c>
      <c r="AN760" s="34" t="str">
        <f t="shared" si="760"/>
        <v/>
      </c>
      <c r="AO760" s="34" t="str">
        <f t="shared" si="760"/>
        <v/>
      </c>
      <c r="AP760" s="34" t="str">
        <f t="shared" si="760"/>
        <v/>
      </c>
      <c r="AQ760" s="76" t="s">
        <v>801</v>
      </c>
      <c r="AR760" s="77"/>
      <c r="AS760" s="77"/>
      <c r="AT760" s="77"/>
      <c r="AU760" s="77"/>
      <c r="AV760" s="77"/>
      <c r="AW760" s="77"/>
      <c r="AX760" s="77"/>
      <c r="AY760" s="77"/>
      <c r="AZ760" s="77"/>
      <c r="BA760" s="77"/>
      <c r="BB760" s="77"/>
      <c r="BC760" s="77"/>
      <c r="BD760" s="77"/>
      <c r="BE760" s="77"/>
      <c r="BF760" s="77"/>
      <c r="BG760" s="77"/>
      <c r="BH760" s="77"/>
      <c r="BI760" s="77"/>
      <c r="BJ760" s="77"/>
      <c r="BK760" s="77"/>
      <c r="BL760" s="77"/>
      <c r="BM760" s="78"/>
    </row>
    <row r="761">
      <c r="A761" s="41">
        <v>2.642857142857143</v>
      </c>
      <c r="B761" s="41" t="b">
        <v>0</v>
      </c>
      <c r="C761" s="41" t="b">
        <f t="shared" si="3"/>
        <v>0</v>
      </c>
      <c r="D761" s="42" t="s">
        <v>1565</v>
      </c>
      <c r="E761" s="43" t="s">
        <v>1298</v>
      </c>
      <c r="F761" s="44" t="s">
        <v>1517</v>
      </c>
      <c r="G761" s="29" t="s">
        <v>284</v>
      </c>
      <c r="H761" s="32">
        <v>-14.973169613936705</v>
      </c>
      <c r="I761" s="32">
        <v>-9.93510359375362</v>
      </c>
      <c r="J761" s="45" t="s">
        <v>2431</v>
      </c>
      <c r="K761" s="29">
        <v>25.9</v>
      </c>
      <c r="L761" s="41">
        <v>55.2</v>
      </c>
      <c r="M761" s="46">
        <v>18.0</v>
      </c>
      <c r="N761" s="46">
        <v>6.0</v>
      </c>
      <c r="O761" s="47">
        <v>-1.927610202633136</v>
      </c>
      <c r="P761" s="47">
        <v>-2.2702350288485484</v>
      </c>
      <c r="Q761" s="47">
        <v>-1.420019581948167</v>
      </c>
      <c r="R761" s="47">
        <v>-1.7192714743636595</v>
      </c>
      <c r="S761" s="47">
        <v>-1.72461069241107</v>
      </c>
      <c r="T761" s="47">
        <v>-0.7871777123417198</v>
      </c>
      <c r="U761" s="47">
        <v>-2.793428029879309</v>
      </c>
      <c r="V761" s="47">
        <v>0.0</v>
      </c>
      <c r="W761" s="47">
        <v>-0.6490151230551022</v>
      </c>
      <c r="X761" s="47">
        <v>-1.6818017684559923</v>
      </c>
      <c r="Y761" s="50" t="s">
        <v>69</v>
      </c>
      <c r="Z761" s="50" t="s">
        <v>69</v>
      </c>
      <c r="AA761" s="50" t="s">
        <v>69</v>
      </c>
      <c r="AB761" s="50" t="s">
        <v>69</v>
      </c>
      <c r="AC761" s="34" t="str">
        <f t="shared" ref="AC761:AP761" si="761">LET(
  skater, IFERROR(INDEX(AllProj, MATCH($E761, AllProjNames, 0), MATCH(AC$2, AllProjCats, 0) + 1), ""),
  goalie, IFERROR(INDEX(AllGProj, MATCH($E761, AllGProjNames, 0), MATCH(AC$2, AllGProjCats, 0) + 1), ""),
  val, IF(skater &lt;&gt; "", skater, goalie),
  IF(OR($E761="", AC$2="", val=""), "", val * AC$1)
)</f>
        <v/>
      </c>
      <c r="AD761" s="34" t="str">
        <f t="shared" si="761"/>
        <v/>
      </c>
      <c r="AE761" s="34" t="str">
        <f t="shared" si="761"/>
        <v/>
      </c>
      <c r="AF761" s="34" t="str">
        <f t="shared" si="761"/>
        <v/>
      </c>
      <c r="AG761" s="34" t="str">
        <f t="shared" si="761"/>
        <v/>
      </c>
      <c r="AH761" s="34" t="str">
        <f t="shared" si="761"/>
        <v/>
      </c>
      <c r="AI761" s="34" t="str">
        <f t="shared" si="761"/>
        <v/>
      </c>
      <c r="AJ761" s="34" t="str">
        <f t="shared" si="761"/>
        <v/>
      </c>
      <c r="AK761" s="34" t="str">
        <f t="shared" si="761"/>
        <v/>
      </c>
      <c r="AL761" s="34" t="str">
        <f t="shared" si="761"/>
        <v/>
      </c>
      <c r="AM761" s="34" t="str">
        <f t="shared" si="761"/>
        <v/>
      </c>
      <c r="AN761" s="34" t="str">
        <f t="shared" si="761"/>
        <v/>
      </c>
      <c r="AO761" s="34" t="str">
        <f t="shared" si="761"/>
        <v/>
      </c>
      <c r="AP761" s="34" t="str">
        <f t="shared" si="761"/>
        <v/>
      </c>
      <c r="AQ761" s="76" t="s">
        <v>802</v>
      </c>
      <c r="AR761" s="77"/>
      <c r="AS761" s="77"/>
      <c r="AT761" s="77"/>
      <c r="AU761" s="77"/>
      <c r="AV761" s="77"/>
      <c r="AW761" s="77"/>
      <c r="AX761" s="77"/>
      <c r="AY761" s="77"/>
      <c r="AZ761" s="77"/>
      <c r="BA761" s="77"/>
      <c r="BB761" s="77"/>
      <c r="BC761" s="77"/>
      <c r="BD761" s="77"/>
      <c r="BE761" s="77"/>
      <c r="BF761" s="77"/>
      <c r="BG761" s="77"/>
      <c r="BH761" s="77"/>
      <c r="BI761" s="77"/>
      <c r="BJ761" s="77"/>
      <c r="BK761" s="77"/>
      <c r="BL761" s="77"/>
      <c r="BM761" s="78"/>
    </row>
    <row r="762">
      <c r="A762" s="79">
        <v>2.642857142857143</v>
      </c>
      <c r="B762" s="79" t="b">
        <v>0</v>
      </c>
      <c r="C762" s="79" t="b">
        <f t="shared" si="3"/>
        <v>0</v>
      </c>
      <c r="D762" s="80" t="s">
        <v>1565</v>
      </c>
      <c r="E762" s="81" t="s">
        <v>1289</v>
      </c>
      <c r="F762" s="82" t="s">
        <v>1482</v>
      </c>
      <c r="G762" s="35" t="s">
        <v>837</v>
      </c>
      <c r="H762" s="37">
        <v>-15.01319298975026</v>
      </c>
      <c r="I762" s="37">
        <v>-9.483334217821358</v>
      </c>
      <c r="J762" s="83" t="s">
        <v>2432</v>
      </c>
      <c r="K762" s="35">
        <v>27.9</v>
      </c>
      <c r="L762" s="79">
        <v>55.0</v>
      </c>
      <c r="M762" s="84">
        <v>27.0</v>
      </c>
      <c r="N762" s="84">
        <v>6.0</v>
      </c>
      <c r="O762" s="85">
        <v>-2.4054892111914374</v>
      </c>
      <c r="P762" s="85">
        <v>-2.1078380044003917</v>
      </c>
      <c r="Q762" s="85">
        <v>-0.8887481791175983</v>
      </c>
      <c r="R762" s="85">
        <v>-1.5576269293481866</v>
      </c>
      <c r="S762" s="85">
        <v>-1.72461069241107</v>
      </c>
      <c r="T762" s="85">
        <v>-0.7871777123417198</v>
      </c>
      <c r="U762" s="85">
        <v>-2.784227141338624</v>
      </c>
      <c r="V762" s="85">
        <v>0.0</v>
      </c>
      <c r="W762" s="85">
        <v>-1.6981927035009123</v>
      </c>
      <c r="X762" s="85">
        <v>-1.0592824161003187</v>
      </c>
      <c r="Y762" s="50" t="s">
        <v>69</v>
      </c>
      <c r="Z762" s="50" t="s">
        <v>69</v>
      </c>
      <c r="AA762" s="50" t="s">
        <v>69</v>
      </c>
      <c r="AB762" s="50" t="s">
        <v>69</v>
      </c>
      <c r="AC762" s="34" t="str">
        <f t="shared" ref="AC762:AP762" si="762">LET(
  skater, IFERROR(INDEX(AllProj, MATCH($E762, AllProjNames, 0), MATCH(AC$2, AllProjCats, 0) + 1), ""),
  goalie, IFERROR(INDEX(AllGProj, MATCH($E762, AllGProjNames, 0), MATCH(AC$2, AllGProjCats, 0) + 1), ""),
  val, IF(skater &lt;&gt; "", skater, goalie),
  IF(OR($E762="", AC$2="", val=""), "", val * AC$1)
)</f>
        <v/>
      </c>
      <c r="AD762" s="34" t="str">
        <f t="shared" si="762"/>
        <v/>
      </c>
      <c r="AE762" s="34" t="str">
        <f t="shared" si="762"/>
        <v/>
      </c>
      <c r="AF762" s="34" t="str">
        <f t="shared" si="762"/>
        <v/>
      </c>
      <c r="AG762" s="34" t="str">
        <f t="shared" si="762"/>
        <v/>
      </c>
      <c r="AH762" s="34" t="str">
        <f t="shared" si="762"/>
        <v/>
      </c>
      <c r="AI762" s="34" t="str">
        <f t="shared" si="762"/>
        <v/>
      </c>
      <c r="AJ762" s="34" t="str">
        <f t="shared" si="762"/>
        <v/>
      </c>
      <c r="AK762" s="34" t="str">
        <f t="shared" si="762"/>
        <v/>
      </c>
      <c r="AL762" s="34" t="str">
        <f t="shared" si="762"/>
        <v/>
      </c>
      <c r="AM762" s="34" t="str">
        <f t="shared" si="762"/>
        <v/>
      </c>
      <c r="AN762" s="34" t="str">
        <f t="shared" si="762"/>
        <v/>
      </c>
      <c r="AO762" s="34" t="str">
        <f t="shared" si="762"/>
        <v/>
      </c>
      <c r="AP762" s="34" t="str">
        <f t="shared" si="762"/>
        <v/>
      </c>
      <c r="AQ762" s="76" t="s">
        <v>803</v>
      </c>
      <c r="AR762" s="77"/>
      <c r="AS762" s="77"/>
      <c r="AT762" s="77"/>
      <c r="AU762" s="77"/>
      <c r="AV762" s="77"/>
      <c r="AW762" s="77"/>
      <c r="AX762" s="77"/>
      <c r="AY762" s="77"/>
      <c r="AZ762" s="77"/>
      <c r="BA762" s="77"/>
      <c r="BB762" s="77"/>
      <c r="BC762" s="77"/>
      <c r="BD762" s="77"/>
      <c r="BE762" s="77"/>
      <c r="BF762" s="77"/>
      <c r="BG762" s="77"/>
      <c r="BH762" s="77"/>
      <c r="BI762" s="77"/>
      <c r="BJ762" s="77"/>
      <c r="BK762" s="77"/>
      <c r="BL762" s="77"/>
      <c r="BM762" s="78"/>
    </row>
    <row r="763">
      <c r="A763" s="41">
        <v>2.7142857142857144</v>
      </c>
      <c r="B763" s="41" t="b">
        <v>0</v>
      </c>
      <c r="C763" s="41" t="b">
        <f t="shared" si="3"/>
        <v>0</v>
      </c>
      <c r="D763" s="42" t="s">
        <v>1565</v>
      </c>
      <c r="E763" s="43" t="s">
        <v>1358</v>
      </c>
      <c r="F763" s="44" t="s">
        <v>1779</v>
      </c>
      <c r="G763" s="29" t="s">
        <v>284</v>
      </c>
      <c r="H763" s="32">
        <v>-15.03611364533261</v>
      </c>
      <c r="I763" s="32">
        <v>-9.998047625149525</v>
      </c>
      <c r="J763" s="45" t="s">
        <v>2433</v>
      </c>
      <c r="K763" s="29">
        <v>26.0</v>
      </c>
      <c r="L763" s="41">
        <v>71.2</v>
      </c>
      <c r="M763" s="46">
        <v>27.0</v>
      </c>
      <c r="N763" s="46">
        <v>6.0</v>
      </c>
      <c r="O763" s="47">
        <v>-1.248518979945024</v>
      </c>
      <c r="P763" s="47">
        <v>-1.8804821701729715</v>
      </c>
      <c r="Q763" s="47">
        <v>-2.0899162901598602</v>
      </c>
      <c r="R763" s="47">
        <v>-1.868481823608711</v>
      </c>
      <c r="S763" s="47">
        <v>-1.4912484662944787</v>
      </c>
      <c r="T763" s="47">
        <v>-0.7871777123417198</v>
      </c>
      <c r="U763" s="47">
        <v>-2.1401649434906704</v>
      </c>
      <c r="V763" s="47">
        <v>0.0</v>
      </c>
      <c r="W763" s="47">
        <v>-1.9440936989178992</v>
      </c>
      <c r="X763" s="47">
        <v>-1.5860295604012733</v>
      </c>
      <c r="Y763" s="50" t="s">
        <v>69</v>
      </c>
      <c r="Z763" s="50" t="s">
        <v>69</v>
      </c>
      <c r="AA763" s="50" t="s">
        <v>69</v>
      </c>
      <c r="AB763" s="50" t="s">
        <v>69</v>
      </c>
      <c r="AC763" s="34" t="str">
        <f t="shared" ref="AC763:AP763" si="763">LET(
  skater, IFERROR(INDEX(AllProj, MATCH($E763, AllProjNames, 0), MATCH(AC$2, AllProjCats, 0) + 1), ""),
  goalie, IFERROR(INDEX(AllGProj, MATCH($E763, AllGProjNames, 0), MATCH(AC$2, AllGProjCats, 0) + 1), ""),
  val, IF(skater &lt;&gt; "", skater, goalie),
  IF(OR($E763="", AC$2="", val=""), "", val * AC$1)
)</f>
        <v/>
      </c>
      <c r="AD763" s="34" t="str">
        <f t="shared" si="763"/>
        <v/>
      </c>
      <c r="AE763" s="34" t="str">
        <f t="shared" si="763"/>
        <v/>
      </c>
      <c r="AF763" s="34" t="str">
        <f t="shared" si="763"/>
        <v/>
      </c>
      <c r="AG763" s="34" t="str">
        <f t="shared" si="763"/>
        <v/>
      </c>
      <c r="AH763" s="34" t="str">
        <f t="shared" si="763"/>
        <v/>
      </c>
      <c r="AI763" s="34" t="str">
        <f t="shared" si="763"/>
        <v/>
      </c>
      <c r="AJ763" s="34" t="str">
        <f t="shared" si="763"/>
        <v/>
      </c>
      <c r="AK763" s="34" t="str">
        <f t="shared" si="763"/>
        <v/>
      </c>
      <c r="AL763" s="34" t="str">
        <f t="shared" si="763"/>
        <v/>
      </c>
      <c r="AM763" s="34" t="str">
        <f t="shared" si="763"/>
        <v/>
      </c>
      <c r="AN763" s="34" t="str">
        <f t="shared" si="763"/>
        <v/>
      </c>
      <c r="AO763" s="34" t="str">
        <f t="shared" si="763"/>
        <v/>
      </c>
      <c r="AP763" s="34" t="str">
        <f t="shared" si="763"/>
        <v/>
      </c>
      <c r="AQ763" s="76" t="s">
        <v>804</v>
      </c>
      <c r="AR763" s="77"/>
      <c r="AS763" s="77"/>
      <c r="AT763" s="77"/>
      <c r="AU763" s="77"/>
      <c r="AV763" s="77"/>
      <c r="AW763" s="77"/>
      <c r="AX763" s="77"/>
      <c r="AY763" s="77"/>
      <c r="AZ763" s="77"/>
      <c r="BA763" s="77"/>
      <c r="BB763" s="77"/>
      <c r="BC763" s="77"/>
      <c r="BD763" s="77"/>
      <c r="BE763" s="77"/>
      <c r="BF763" s="77"/>
      <c r="BG763" s="77"/>
      <c r="BH763" s="77"/>
      <c r="BI763" s="77"/>
      <c r="BJ763" s="77"/>
      <c r="BK763" s="77"/>
      <c r="BL763" s="77"/>
      <c r="BM763" s="78"/>
    </row>
    <row r="764">
      <c r="A764" s="79">
        <v>2.642857142857143</v>
      </c>
      <c r="B764" s="79" t="b">
        <v>0</v>
      </c>
      <c r="C764" s="79" t="b">
        <f t="shared" si="3"/>
        <v>0</v>
      </c>
      <c r="D764" s="80" t="s">
        <v>1565</v>
      </c>
      <c r="E764" s="81" t="s">
        <v>1296</v>
      </c>
      <c r="F764" s="82" t="s">
        <v>1482</v>
      </c>
      <c r="G764" s="35" t="s">
        <v>835</v>
      </c>
      <c r="H764" s="37">
        <v>-15.15931170979787</v>
      </c>
      <c r="I764" s="37">
        <v>-9.77143158488513</v>
      </c>
      <c r="J764" s="83" t="s">
        <v>2434</v>
      </c>
      <c r="K764" s="35">
        <v>32.5</v>
      </c>
      <c r="L764" s="79">
        <v>64.0</v>
      </c>
      <c r="M764" s="84">
        <v>27.0</v>
      </c>
      <c r="N764" s="84">
        <v>6.0</v>
      </c>
      <c r="O764" s="85">
        <v>-2.1539739435291736</v>
      </c>
      <c r="P764" s="85">
        <v>-2.3514335410726273</v>
      </c>
      <c r="Q764" s="85">
        <v>-1.192116059993191</v>
      </c>
      <c r="R764" s="85">
        <v>-1.122430077383452</v>
      </c>
      <c r="S764" s="85">
        <v>-1.72461069241107</v>
      </c>
      <c r="T764" s="85">
        <v>-0.7871777123417198</v>
      </c>
      <c r="U764" s="85">
        <v>-3.2442715683728762</v>
      </c>
      <c r="V764" s="85">
        <v>0.0</v>
      </c>
      <c r="W764" s="85">
        <v>-0.3867207279436498</v>
      </c>
      <c r="X764" s="85">
        <v>-2.196577386750107</v>
      </c>
      <c r="Y764" s="50" t="s">
        <v>69</v>
      </c>
      <c r="Z764" s="50" t="s">
        <v>69</v>
      </c>
      <c r="AA764" s="50" t="s">
        <v>69</v>
      </c>
      <c r="AB764" s="50" t="s">
        <v>69</v>
      </c>
      <c r="AC764" s="34" t="str">
        <f t="shared" ref="AC764:AP764" si="764">LET(
  skater, IFERROR(INDEX(AllProj, MATCH($E764, AllProjNames, 0), MATCH(AC$2, AllProjCats, 0) + 1), ""),
  goalie, IFERROR(INDEX(AllGProj, MATCH($E764, AllGProjNames, 0), MATCH(AC$2, AllGProjCats, 0) + 1), ""),
  val, IF(skater &lt;&gt; "", skater, goalie),
  IF(OR($E764="", AC$2="", val=""), "", val * AC$1)
)</f>
        <v/>
      </c>
      <c r="AD764" s="34" t="str">
        <f t="shared" si="764"/>
        <v/>
      </c>
      <c r="AE764" s="34" t="str">
        <f t="shared" si="764"/>
        <v/>
      </c>
      <c r="AF764" s="34" t="str">
        <f t="shared" si="764"/>
        <v/>
      </c>
      <c r="AG764" s="34" t="str">
        <f t="shared" si="764"/>
        <v/>
      </c>
      <c r="AH764" s="34" t="str">
        <f t="shared" si="764"/>
        <v/>
      </c>
      <c r="AI764" s="34" t="str">
        <f t="shared" si="764"/>
        <v/>
      </c>
      <c r="AJ764" s="34" t="str">
        <f t="shared" si="764"/>
        <v/>
      </c>
      <c r="AK764" s="34" t="str">
        <f t="shared" si="764"/>
        <v/>
      </c>
      <c r="AL764" s="34" t="str">
        <f t="shared" si="764"/>
        <v/>
      </c>
      <c r="AM764" s="34" t="str">
        <f t="shared" si="764"/>
        <v/>
      </c>
      <c r="AN764" s="34" t="str">
        <f t="shared" si="764"/>
        <v/>
      </c>
      <c r="AO764" s="34" t="str">
        <f t="shared" si="764"/>
        <v/>
      </c>
      <c r="AP764" s="34" t="str">
        <f t="shared" si="764"/>
        <v/>
      </c>
      <c r="AQ764" s="76" t="s">
        <v>805</v>
      </c>
      <c r="AR764" s="77"/>
      <c r="AS764" s="77"/>
      <c r="AT764" s="77"/>
      <c r="AU764" s="77"/>
      <c r="AV764" s="77"/>
      <c r="AW764" s="77"/>
      <c r="AX764" s="77"/>
      <c r="AY764" s="77"/>
      <c r="AZ764" s="77"/>
      <c r="BA764" s="77"/>
      <c r="BB764" s="77"/>
      <c r="BC764" s="77"/>
      <c r="BD764" s="77"/>
      <c r="BE764" s="77"/>
      <c r="BF764" s="77"/>
      <c r="BG764" s="77"/>
      <c r="BH764" s="77"/>
      <c r="BI764" s="77"/>
      <c r="BJ764" s="77"/>
      <c r="BK764" s="77"/>
      <c r="BL764" s="77"/>
      <c r="BM764" s="78"/>
    </row>
    <row r="765">
      <c r="A765" s="41">
        <v>2.7142857142857144</v>
      </c>
      <c r="B765" s="41" t="b">
        <v>0</v>
      </c>
      <c r="C765" s="41" t="b">
        <f t="shared" si="3"/>
        <v>0</v>
      </c>
      <c r="D765" s="42" t="s">
        <v>1565</v>
      </c>
      <c r="E765" s="43" t="s">
        <v>1360</v>
      </c>
      <c r="F765" s="44" t="s">
        <v>1517</v>
      </c>
      <c r="G765" s="29" t="s">
        <v>837</v>
      </c>
      <c r="H765" s="32">
        <v>-15.221338058844104</v>
      </c>
      <c r="I765" s="32">
        <v>-9.691479286915204</v>
      </c>
      <c r="J765" s="45" t="s">
        <v>2435</v>
      </c>
      <c r="K765" s="29">
        <v>24.8</v>
      </c>
      <c r="L765" s="41">
        <v>61.0</v>
      </c>
      <c r="M765" s="46">
        <v>18.0</v>
      </c>
      <c r="N765" s="46">
        <v>6.0</v>
      </c>
      <c r="O765" s="47">
        <v>-2.2797315773603057</v>
      </c>
      <c r="P765" s="47">
        <v>-1.864242467728156</v>
      </c>
      <c r="Q765" s="47">
        <v>-1.6965955983013734</v>
      </c>
      <c r="R765" s="47">
        <v>-1.7441398659045013</v>
      </c>
      <c r="S765" s="47">
        <v>-1.6079295793527744</v>
      </c>
      <c r="T765" s="47">
        <v>-0.7871777123417198</v>
      </c>
      <c r="U765" s="47">
        <v>-2.761224919986911</v>
      </c>
      <c r="V765" s="47">
        <v>0.0</v>
      </c>
      <c r="W765" s="47">
        <v>-1.7801597019732414</v>
      </c>
      <c r="X765" s="47">
        <v>-0.7001366358951225</v>
      </c>
      <c r="Y765" s="50" t="s">
        <v>69</v>
      </c>
      <c r="Z765" s="50" t="s">
        <v>69</v>
      </c>
      <c r="AA765" s="50" t="s">
        <v>69</v>
      </c>
      <c r="AB765" s="50" t="s">
        <v>69</v>
      </c>
      <c r="AC765" s="34" t="str">
        <f t="shared" ref="AC765:AP765" si="765">LET(
  skater, IFERROR(INDEX(AllProj, MATCH($E765, AllProjNames, 0), MATCH(AC$2, AllProjCats, 0) + 1), ""),
  goalie, IFERROR(INDEX(AllGProj, MATCH($E765, AllGProjNames, 0), MATCH(AC$2, AllGProjCats, 0) + 1), ""),
  val, IF(skater &lt;&gt; "", skater, goalie),
  IF(OR($E765="", AC$2="", val=""), "", val * AC$1)
)</f>
        <v/>
      </c>
      <c r="AD765" s="34" t="str">
        <f t="shared" si="765"/>
        <v/>
      </c>
      <c r="AE765" s="34" t="str">
        <f t="shared" si="765"/>
        <v/>
      </c>
      <c r="AF765" s="34" t="str">
        <f t="shared" si="765"/>
        <v/>
      </c>
      <c r="AG765" s="34" t="str">
        <f t="shared" si="765"/>
        <v/>
      </c>
      <c r="AH765" s="34" t="str">
        <f t="shared" si="765"/>
        <v/>
      </c>
      <c r="AI765" s="34" t="str">
        <f t="shared" si="765"/>
        <v/>
      </c>
      <c r="AJ765" s="34" t="str">
        <f t="shared" si="765"/>
        <v/>
      </c>
      <c r="AK765" s="34" t="str">
        <f t="shared" si="765"/>
        <v/>
      </c>
      <c r="AL765" s="34" t="str">
        <f t="shared" si="765"/>
        <v/>
      </c>
      <c r="AM765" s="34" t="str">
        <f t="shared" si="765"/>
        <v/>
      </c>
      <c r="AN765" s="34" t="str">
        <f t="shared" si="765"/>
        <v/>
      </c>
      <c r="AO765" s="34" t="str">
        <f t="shared" si="765"/>
        <v/>
      </c>
      <c r="AP765" s="34" t="str">
        <f t="shared" si="765"/>
        <v/>
      </c>
      <c r="AQ765" s="76" t="s">
        <v>806</v>
      </c>
      <c r="AR765" s="77"/>
      <c r="AS765" s="77"/>
      <c r="AT765" s="77"/>
      <c r="AU765" s="77"/>
      <c r="AV765" s="77"/>
      <c r="AW765" s="77"/>
      <c r="AX765" s="77"/>
      <c r="AY765" s="77"/>
      <c r="AZ765" s="77"/>
      <c r="BA765" s="77"/>
      <c r="BB765" s="77"/>
      <c r="BC765" s="77"/>
      <c r="BD765" s="77"/>
      <c r="BE765" s="77"/>
      <c r="BF765" s="77"/>
      <c r="BG765" s="77"/>
      <c r="BH765" s="77"/>
      <c r="BI765" s="77"/>
      <c r="BJ765" s="77"/>
      <c r="BK765" s="77"/>
      <c r="BL765" s="77"/>
      <c r="BM765" s="78"/>
    </row>
    <row r="766">
      <c r="A766" s="79">
        <v>2.7857142857142856</v>
      </c>
      <c r="B766" s="79" t="b">
        <v>0</v>
      </c>
      <c r="C766" s="79" t="b">
        <f t="shared" si="3"/>
        <v>0</v>
      </c>
      <c r="D766" s="80" t="s">
        <v>1565</v>
      </c>
      <c r="E766" s="81" t="s">
        <v>1372</v>
      </c>
      <c r="F766" s="82" t="s">
        <v>1426</v>
      </c>
      <c r="G766" s="35" t="s">
        <v>835</v>
      </c>
      <c r="H766" s="37">
        <v>-15.283544147700294</v>
      </c>
      <c r="I766" s="37">
        <v>-9.895664022787555</v>
      </c>
      <c r="J766" s="83" t="s">
        <v>2436</v>
      </c>
      <c r="K766" s="35">
        <v>24.3</v>
      </c>
      <c r="L766" s="79">
        <v>72.0</v>
      </c>
      <c r="M766" s="84">
        <v>23.0</v>
      </c>
      <c r="N766" s="84">
        <v>6.0</v>
      </c>
      <c r="O766" s="85">
        <v>-1.2736705067112504</v>
      </c>
      <c r="P766" s="85">
        <v>-1.3770513943836846</v>
      </c>
      <c r="Q766" s="85">
        <v>-2.931231847467499</v>
      </c>
      <c r="R766" s="85">
        <v>-1.930652802460816</v>
      </c>
      <c r="S766" s="85">
        <v>-1.2578862401778874</v>
      </c>
      <c r="T766" s="85">
        <v>-0.7871777123417198</v>
      </c>
      <c r="U766" s="85">
        <v>-2.0481560580838196</v>
      </c>
      <c r="V766" s="85">
        <v>0.0</v>
      </c>
      <c r="W766" s="85">
        <v>-2.1695029447168035</v>
      </c>
      <c r="X766" s="85">
        <v>-1.508214641356814</v>
      </c>
      <c r="Y766" s="50" t="s">
        <v>69</v>
      </c>
      <c r="Z766" s="50" t="s">
        <v>69</v>
      </c>
      <c r="AA766" s="50" t="s">
        <v>69</v>
      </c>
      <c r="AB766" s="50" t="s">
        <v>69</v>
      </c>
      <c r="AC766" s="34" t="str">
        <f t="shared" ref="AC766:AP766" si="766">LET(
  skater, IFERROR(INDEX(AllProj, MATCH($E766, AllProjNames, 0), MATCH(AC$2, AllProjCats, 0) + 1), ""),
  goalie, IFERROR(INDEX(AllGProj, MATCH($E766, AllGProjNames, 0), MATCH(AC$2, AllGProjCats, 0) + 1), ""),
  val, IF(skater &lt;&gt; "", skater, goalie),
  IF(OR($E766="", AC$2="", val=""), "", val * AC$1)
)</f>
        <v/>
      </c>
      <c r="AD766" s="34" t="str">
        <f t="shared" si="766"/>
        <v/>
      </c>
      <c r="AE766" s="34" t="str">
        <f t="shared" si="766"/>
        <v/>
      </c>
      <c r="AF766" s="34" t="str">
        <f t="shared" si="766"/>
        <v/>
      </c>
      <c r="AG766" s="34" t="str">
        <f t="shared" si="766"/>
        <v/>
      </c>
      <c r="AH766" s="34" t="str">
        <f t="shared" si="766"/>
        <v/>
      </c>
      <c r="AI766" s="34" t="str">
        <f t="shared" si="766"/>
        <v/>
      </c>
      <c r="AJ766" s="34" t="str">
        <f t="shared" si="766"/>
        <v/>
      </c>
      <c r="AK766" s="34" t="str">
        <f t="shared" si="766"/>
        <v/>
      </c>
      <c r="AL766" s="34" t="str">
        <f t="shared" si="766"/>
        <v/>
      </c>
      <c r="AM766" s="34" t="str">
        <f t="shared" si="766"/>
        <v/>
      </c>
      <c r="AN766" s="34" t="str">
        <f t="shared" si="766"/>
        <v/>
      </c>
      <c r="AO766" s="34" t="str">
        <f t="shared" si="766"/>
        <v/>
      </c>
      <c r="AP766" s="34" t="str">
        <f t="shared" si="766"/>
        <v/>
      </c>
      <c r="AQ766" s="76" t="s">
        <v>807</v>
      </c>
      <c r="AR766" s="77"/>
      <c r="AS766" s="77"/>
      <c r="AT766" s="77"/>
      <c r="AU766" s="77"/>
      <c r="AV766" s="77"/>
      <c r="AW766" s="77"/>
      <c r="AX766" s="77"/>
      <c r="AY766" s="77"/>
      <c r="AZ766" s="77"/>
      <c r="BA766" s="77"/>
      <c r="BB766" s="77"/>
      <c r="BC766" s="77"/>
      <c r="BD766" s="77"/>
      <c r="BE766" s="77"/>
      <c r="BF766" s="77"/>
      <c r="BG766" s="77"/>
      <c r="BH766" s="77"/>
      <c r="BI766" s="77"/>
      <c r="BJ766" s="77"/>
      <c r="BK766" s="77"/>
      <c r="BL766" s="77"/>
      <c r="BM766" s="78"/>
    </row>
    <row r="767">
      <c r="A767" s="41">
        <v>2.7142857142857144</v>
      </c>
      <c r="B767" s="41" t="b">
        <v>0</v>
      </c>
      <c r="C767" s="41" t="b">
        <f t="shared" si="3"/>
        <v>0</v>
      </c>
      <c r="D767" s="42" t="s">
        <v>1565</v>
      </c>
      <c r="E767" s="43" t="s">
        <v>1359</v>
      </c>
      <c r="F767" s="44" t="s">
        <v>1416</v>
      </c>
      <c r="G767" s="29" t="s">
        <v>837</v>
      </c>
      <c r="H767" s="32">
        <v>-15.351856415891817</v>
      </c>
      <c r="I767" s="32">
        <v>-9.821997643962916</v>
      </c>
      <c r="J767" s="45" t="s">
        <v>2437</v>
      </c>
      <c r="K767" s="29">
        <v>22.8</v>
      </c>
      <c r="L767" s="41">
        <v>65.0</v>
      </c>
      <c r="M767" s="46">
        <v>29.0</v>
      </c>
      <c r="N767" s="46">
        <v>7.0</v>
      </c>
      <c r="O767" s="47">
        <v>-2.2797315773603057</v>
      </c>
      <c r="P767" s="47">
        <v>-1.864242467728156</v>
      </c>
      <c r="Q767" s="47">
        <v>-1.1217399635296863</v>
      </c>
      <c r="R767" s="47">
        <v>-1.8063108447566063</v>
      </c>
      <c r="S767" s="47">
        <v>-1.6079295793527744</v>
      </c>
      <c r="T767" s="47">
        <v>-0.7871777123417198</v>
      </c>
      <c r="U767" s="47">
        <v>-2.5772071491732103</v>
      </c>
      <c r="V767" s="47">
        <v>0.0</v>
      </c>
      <c r="W767" s="47">
        <v>-2.1285194454806393</v>
      </c>
      <c r="X767" s="47">
        <v>-1.1789976761687175</v>
      </c>
      <c r="Y767" s="50" t="s">
        <v>69</v>
      </c>
      <c r="Z767" s="50" t="s">
        <v>69</v>
      </c>
      <c r="AA767" s="50" t="s">
        <v>69</v>
      </c>
      <c r="AB767" s="50" t="s">
        <v>69</v>
      </c>
      <c r="AC767" s="34" t="str">
        <f t="shared" ref="AC767:AP767" si="767">LET(
  skater, IFERROR(INDEX(AllProj, MATCH($E767, AllProjNames, 0), MATCH(AC$2, AllProjCats, 0) + 1), ""),
  goalie, IFERROR(INDEX(AllGProj, MATCH($E767, AllGProjNames, 0), MATCH(AC$2, AllGProjCats, 0) + 1), ""),
  val, IF(skater &lt;&gt; "", skater, goalie),
  IF(OR($E767="", AC$2="", val=""), "", val * AC$1)
)</f>
        <v/>
      </c>
      <c r="AD767" s="34" t="str">
        <f t="shared" si="767"/>
        <v/>
      </c>
      <c r="AE767" s="34" t="str">
        <f t="shared" si="767"/>
        <v/>
      </c>
      <c r="AF767" s="34" t="str">
        <f t="shared" si="767"/>
        <v/>
      </c>
      <c r="AG767" s="34" t="str">
        <f t="shared" si="767"/>
        <v/>
      </c>
      <c r="AH767" s="34" t="str">
        <f t="shared" si="767"/>
        <v/>
      </c>
      <c r="AI767" s="34" t="str">
        <f t="shared" si="767"/>
        <v/>
      </c>
      <c r="AJ767" s="34" t="str">
        <f t="shared" si="767"/>
        <v/>
      </c>
      <c r="AK767" s="34" t="str">
        <f t="shared" si="767"/>
        <v/>
      </c>
      <c r="AL767" s="34" t="str">
        <f t="shared" si="767"/>
        <v/>
      </c>
      <c r="AM767" s="34" t="str">
        <f t="shared" si="767"/>
        <v/>
      </c>
      <c r="AN767" s="34" t="str">
        <f t="shared" si="767"/>
        <v/>
      </c>
      <c r="AO767" s="34" t="str">
        <f t="shared" si="767"/>
        <v/>
      </c>
      <c r="AP767" s="34" t="str">
        <f t="shared" si="767"/>
        <v/>
      </c>
      <c r="AQ767" s="76" t="s">
        <v>808</v>
      </c>
      <c r="AR767" s="77"/>
      <c r="AS767" s="77"/>
      <c r="AT767" s="77"/>
      <c r="AU767" s="77"/>
      <c r="AV767" s="77"/>
      <c r="AW767" s="77"/>
      <c r="AX767" s="77"/>
      <c r="AY767" s="77"/>
      <c r="AZ767" s="77"/>
      <c r="BA767" s="77"/>
      <c r="BB767" s="77"/>
      <c r="BC767" s="77"/>
      <c r="BD767" s="77"/>
      <c r="BE767" s="77"/>
      <c r="BF767" s="77"/>
      <c r="BG767" s="77"/>
      <c r="BH767" s="77"/>
      <c r="BI767" s="77"/>
      <c r="BJ767" s="77"/>
      <c r="BK767" s="77"/>
      <c r="BL767" s="77"/>
      <c r="BM767" s="78"/>
    </row>
    <row r="768">
      <c r="A768" s="79">
        <v>2.7142857142857144</v>
      </c>
      <c r="B768" s="79" t="b">
        <v>0</v>
      </c>
      <c r="C768" s="79" t="b">
        <f t="shared" si="3"/>
        <v>0</v>
      </c>
      <c r="D768" s="80" t="s">
        <v>1565</v>
      </c>
      <c r="E768" s="81" t="s">
        <v>1338</v>
      </c>
      <c r="F768" s="82" t="s">
        <v>1299</v>
      </c>
      <c r="G768" s="35" t="s">
        <v>837</v>
      </c>
      <c r="H768" s="37">
        <v>-15.372078693832195</v>
      </c>
      <c r="I768" s="37">
        <v>-9.842219921903293</v>
      </c>
      <c r="J768" s="83" t="s">
        <v>2438</v>
      </c>
      <c r="K768" s="35">
        <v>23.4</v>
      </c>
      <c r="L768" s="79">
        <v>75.0</v>
      </c>
      <c r="M768" s="84">
        <v>31.0</v>
      </c>
      <c r="N768" s="84">
        <v>7.0</v>
      </c>
      <c r="O768" s="85">
        <v>-2.4054892111914374</v>
      </c>
      <c r="P768" s="85">
        <v>-1.6206469310559204</v>
      </c>
      <c r="Q768" s="85">
        <v>-3.416909173011105</v>
      </c>
      <c r="R768" s="85">
        <v>-1.3089430139397666</v>
      </c>
      <c r="S768" s="85">
        <v>-1.72461069241107</v>
      </c>
      <c r="T768" s="85">
        <v>-0.7871777123417198</v>
      </c>
      <c r="U768" s="85">
        <v>-2.9912471335040376</v>
      </c>
      <c r="V768" s="85">
        <v>0.0</v>
      </c>
      <c r="W768" s="85">
        <v>-0.7760639706872121</v>
      </c>
      <c r="X768" s="85">
        <v>-0.34099085568992626</v>
      </c>
      <c r="Y768" s="50" t="s">
        <v>69</v>
      </c>
      <c r="Z768" s="50" t="s">
        <v>69</v>
      </c>
      <c r="AA768" s="50" t="s">
        <v>69</v>
      </c>
      <c r="AB768" s="50" t="s">
        <v>69</v>
      </c>
      <c r="AC768" s="34" t="str">
        <f t="shared" ref="AC768:AP768" si="768">LET(
  skater, IFERROR(INDEX(AllProj, MATCH($E768, AllProjNames, 0), MATCH(AC$2, AllProjCats, 0) + 1), ""),
  goalie, IFERROR(INDEX(AllGProj, MATCH($E768, AllGProjNames, 0), MATCH(AC$2, AllGProjCats, 0) + 1), ""),
  val, IF(skater &lt;&gt; "", skater, goalie),
  IF(OR($E768="", AC$2="", val=""), "", val * AC$1)
)</f>
        <v/>
      </c>
      <c r="AD768" s="34" t="str">
        <f t="shared" si="768"/>
        <v/>
      </c>
      <c r="AE768" s="34" t="str">
        <f t="shared" si="768"/>
        <v/>
      </c>
      <c r="AF768" s="34" t="str">
        <f t="shared" si="768"/>
        <v/>
      </c>
      <c r="AG768" s="34" t="str">
        <f t="shared" si="768"/>
        <v/>
      </c>
      <c r="AH768" s="34" t="str">
        <f t="shared" si="768"/>
        <v/>
      </c>
      <c r="AI768" s="34" t="str">
        <f t="shared" si="768"/>
        <v/>
      </c>
      <c r="AJ768" s="34" t="str">
        <f t="shared" si="768"/>
        <v/>
      </c>
      <c r="AK768" s="34" t="str">
        <f t="shared" si="768"/>
        <v/>
      </c>
      <c r="AL768" s="34" t="str">
        <f t="shared" si="768"/>
        <v/>
      </c>
      <c r="AM768" s="34" t="str">
        <f t="shared" si="768"/>
        <v/>
      </c>
      <c r="AN768" s="34" t="str">
        <f t="shared" si="768"/>
        <v/>
      </c>
      <c r="AO768" s="34" t="str">
        <f t="shared" si="768"/>
        <v/>
      </c>
      <c r="AP768" s="34" t="str">
        <f t="shared" si="768"/>
        <v/>
      </c>
      <c r="AQ768" s="76" t="s">
        <v>809</v>
      </c>
      <c r="AR768" s="77"/>
      <c r="AS768" s="77"/>
      <c r="AT768" s="77"/>
      <c r="AU768" s="77"/>
      <c r="AV768" s="77"/>
      <c r="AW768" s="77"/>
      <c r="AX768" s="77"/>
      <c r="AY768" s="77"/>
      <c r="AZ768" s="77"/>
      <c r="BA768" s="77"/>
      <c r="BB768" s="77"/>
      <c r="BC768" s="77"/>
      <c r="BD768" s="77"/>
      <c r="BE768" s="77"/>
      <c r="BF768" s="77"/>
      <c r="BG768" s="77"/>
      <c r="BH768" s="77"/>
      <c r="BI768" s="77"/>
      <c r="BJ768" s="77"/>
      <c r="BK768" s="77"/>
      <c r="BL768" s="77"/>
      <c r="BM768" s="78"/>
    </row>
    <row r="769">
      <c r="A769" s="41">
        <v>2.7142857142857144</v>
      </c>
      <c r="B769" s="41" t="b">
        <v>0</v>
      </c>
      <c r="C769" s="41" t="b">
        <f t="shared" si="3"/>
        <v>0</v>
      </c>
      <c r="D769" s="42" t="s">
        <v>1565</v>
      </c>
      <c r="E769" s="43" t="s">
        <v>1357</v>
      </c>
      <c r="F769" s="44" t="s">
        <v>1706</v>
      </c>
      <c r="G769" s="29" t="s">
        <v>837</v>
      </c>
      <c r="H769" s="32">
        <v>-15.446436059315355</v>
      </c>
      <c r="I769" s="32">
        <v>-9.916577287386453</v>
      </c>
      <c r="J769" s="45" t="s">
        <v>2439</v>
      </c>
      <c r="K769" s="29">
        <v>22.2</v>
      </c>
      <c r="L769" s="41">
        <v>64.0</v>
      </c>
      <c r="M769" s="46">
        <v>31.0</v>
      </c>
      <c r="N769" s="46">
        <v>7.0</v>
      </c>
      <c r="O769" s="47">
        <v>-2.1539739435291736</v>
      </c>
      <c r="P769" s="47">
        <v>-1.6206469310559204</v>
      </c>
      <c r="Q769" s="47">
        <v>-2.142888889812997</v>
      </c>
      <c r="R769" s="47">
        <v>-1.6197979082002913</v>
      </c>
      <c r="S769" s="47">
        <v>-1.2578862401778874</v>
      </c>
      <c r="T769" s="47">
        <v>-0.7871777123417198</v>
      </c>
      <c r="U769" s="47">
        <v>-2.531202706469785</v>
      </c>
      <c r="V769" s="47">
        <v>0.0</v>
      </c>
      <c r="W769" s="47">
        <v>-2.3334369416614615</v>
      </c>
      <c r="X769" s="47">
        <v>-0.9994247860661194</v>
      </c>
      <c r="Y769" s="50" t="s">
        <v>69</v>
      </c>
      <c r="Z769" s="50" t="s">
        <v>69</v>
      </c>
      <c r="AA769" s="50" t="s">
        <v>69</v>
      </c>
      <c r="AB769" s="50" t="s">
        <v>69</v>
      </c>
      <c r="AC769" s="34" t="str">
        <f t="shared" ref="AC769:AP769" si="769">LET(
  skater, IFERROR(INDEX(AllProj, MATCH($E769, AllProjNames, 0), MATCH(AC$2, AllProjCats, 0) + 1), ""),
  goalie, IFERROR(INDEX(AllGProj, MATCH($E769, AllGProjNames, 0), MATCH(AC$2, AllGProjCats, 0) + 1), ""),
  val, IF(skater &lt;&gt; "", skater, goalie),
  IF(OR($E769="", AC$2="", val=""), "", val * AC$1)
)</f>
        <v/>
      </c>
      <c r="AD769" s="34" t="str">
        <f t="shared" si="769"/>
        <v/>
      </c>
      <c r="AE769" s="34" t="str">
        <f t="shared" si="769"/>
        <v/>
      </c>
      <c r="AF769" s="34" t="str">
        <f t="shared" si="769"/>
        <v/>
      </c>
      <c r="AG769" s="34" t="str">
        <f t="shared" si="769"/>
        <v/>
      </c>
      <c r="AH769" s="34" t="str">
        <f t="shared" si="769"/>
        <v/>
      </c>
      <c r="AI769" s="34" t="str">
        <f t="shared" si="769"/>
        <v/>
      </c>
      <c r="AJ769" s="34" t="str">
        <f t="shared" si="769"/>
        <v/>
      </c>
      <c r="AK769" s="34" t="str">
        <f t="shared" si="769"/>
        <v/>
      </c>
      <c r="AL769" s="34" t="str">
        <f t="shared" si="769"/>
        <v/>
      </c>
      <c r="AM769" s="34" t="str">
        <f t="shared" si="769"/>
        <v/>
      </c>
      <c r="AN769" s="34" t="str">
        <f t="shared" si="769"/>
        <v/>
      </c>
      <c r="AO769" s="34" t="str">
        <f t="shared" si="769"/>
        <v/>
      </c>
      <c r="AP769" s="34" t="str">
        <f t="shared" si="769"/>
        <v/>
      </c>
      <c r="AQ769" s="76" t="s">
        <v>810</v>
      </c>
      <c r="AR769" s="77"/>
      <c r="AS769" s="77"/>
      <c r="AT769" s="77"/>
      <c r="AU769" s="77"/>
      <c r="AV769" s="77"/>
      <c r="AW769" s="77"/>
      <c r="AX769" s="77"/>
      <c r="AY769" s="77"/>
      <c r="AZ769" s="77"/>
      <c r="BA769" s="77"/>
      <c r="BB769" s="77"/>
      <c r="BC769" s="77"/>
      <c r="BD769" s="77"/>
      <c r="BE769" s="77"/>
      <c r="BF769" s="77"/>
      <c r="BG769" s="77"/>
      <c r="BH769" s="77"/>
      <c r="BI769" s="77"/>
      <c r="BJ769" s="77"/>
      <c r="BK769" s="77"/>
      <c r="BL769" s="77"/>
      <c r="BM769" s="78"/>
    </row>
    <row r="770">
      <c r="A770" s="79">
        <v>2.7857142857142856</v>
      </c>
      <c r="B770" s="79" t="b">
        <v>0</v>
      </c>
      <c r="C770" s="79" t="b">
        <f t="shared" si="3"/>
        <v>0</v>
      </c>
      <c r="D770" s="80" t="s">
        <v>1565</v>
      </c>
      <c r="E770" s="81" t="s">
        <v>1373</v>
      </c>
      <c r="F770" s="82" t="s">
        <v>1444</v>
      </c>
      <c r="G770" s="35" t="s">
        <v>837</v>
      </c>
      <c r="H770" s="37">
        <v>-15.504030610555708</v>
      </c>
      <c r="I770" s="37">
        <v>-9.974171838626805</v>
      </c>
      <c r="J770" s="83" t="s">
        <v>2440</v>
      </c>
      <c r="K770" s="35">
        <v>23.8</v>
      </c>
      <c r="L770" s="79">
        <v>65.0</v>
      </c>
      <c r="M770" s="84">
        <v>33.0</v>
      </c>
      <c r="N770" s="84">
        <v>6.0</v>
      </c>
      <c r="O770" s="85">
        <v>-2.4054892111914374</v>
      </c>
      <c r="P770" s="85">
        <v>-1.7830439555040773</v>
      </c>
      <c r="Q770" s="85">
        <v>-2.303412267546551</v>
      </c>
      <c r="R770" s="85">
        <v>-1.5576269293481866</v>
      </c>
      <c r="S770" s="85">
        <v>-1.72461069241107</v>
      </c>
      <c r="T770" s="85">
        <v>-0.7871777123417198</v>
      </c>
      <c r="U770" s="85">
        <v>-2.8072293626903364</v>
      </c>
      <c r="V770" s="85">
        <v>0.0</v>
      </c>
      <c r="W770" s="85">
        <v>-1.9440936989178992</v>
      </c>
      <c r="X770" s="85">
        <v>-0.19134678060442784</v>
      </c>
      <c r="Y770" s="50" t="s">
        <v>69</v>
      </c>
      <c r="Z770" s="50" t="s">
        <v>69</v>
      </c>
      <c r="AA770" s="50" t="s">
        <v>69</v>
      </c>
      <c r="AB770" s="50" t="s">
        <v>69</v>
      </c>
      <c r="AC770" s="34" t="str">
        <f t="shared" ref="AC770:AP770" si="770">LET(
  skater, IFERROR(INDEX(AllProj, MATCH($E770, AllProjNames, 0), MATCH(AC$2, AllProjCats, 0) + 1), ""),
  goalie, IFERROR(INDEX(AllGProj, MATCH($E770, AllGProjNames, 0), MATCH(AC$2, AllGProjCats, 0) + 1), ""),
  val, IF(skater &lt;&gt; "", skater, goalie),
  IF(OR($E770="", AC$2="", val=""), "", val * AC$1)
)</f>
        <v/>
      </c>
      <c r="AD770" s="34" t="str">
        <f t="shared" si="770"/>
        <v/>
      </c>
      <c r="AE770" s="34" t="str">
        <f t="shared" si="770"/>
        <v/>
      </c>
      <c r="AF770" s="34" t="str">
        <f t="shared" si="770"/>
        <v/>
      </c>
      <c r="AG770" s="34" t="str">
        <f t="shared" si="770"/>
        <v/>
      </c>
      <c r="AH770" s="34" t="str">
        <f t="shared" si="770"/>
        <v/>
      </c>
      <c r="AI770" s="34" t="str">
        <f t="shared" si="770"/>
        <v/>
      </c>
      <c r="AJ770" s="34" t="str">
        <f t="shared" si="770"/>
        <v/>
      </c>
      <c r="AK770" s="34" t="str">
        <f t="shared" si="770"/>
        <v/>
      </c>
      <c r="AL770" s="34" t="str">
        <f t="shared" si="770"/>
        <v/>
      </c>
      <c r="AM770" s="34" t="str">
        <f t="shared" si="770"/>
        <v/>
      </c>
      <c r="AN770" s="34" t="str">
        <f t="shared" si="770"/>
        <v/>
      </c>
      <c r="AO770" s="34" t="str">
        <f t="shared" si="770"/>
        <v/>
      </c>
      <c r="AP770" s="34" t="str">
        <f t="shared" si="770"/>
        <v/>
      </c>
      <c r="AQ770" s="76" t="s">
        <v>811</v>
      </c>
      <c r="AR770" s="77"/>
      <c r="AS770" s="77"/>
      <c r="AT770" s="77"/>
      <c r="AU770" s="77"/>
      <c r="AV770" s="77"/>
      <c r="AW770" s="77"/>
      <c r="AX770" s="77"/>
      <c r="AY770" s="77"/>
      <c r="AZ770" s="77"/>
      <c r="BA770" s="77"/>
      <c r="BB770" s="77"/>
      <c r="BC770" s="77"/>
      <c r="BD770" s="77"/>
      <c r="BE770" s="77"/>
      <c r="BF770" s="77"/>
      <c r="BG770" s="77"/>
      <c r="BH770" s="77"/>
      <c r="BI770" s="77"/>
      <c r="BJ770" s="77"/>
      <c r="BK770" s="77"/>
      <c r="BL770" s="77"/>
      <c r="BM770" s="78"/>
    </row>
    <row r="771">
      <c r="A771" s="41">
        <v>2.7142857142857144</v>
      </c>
      <c r="B771" s="41" t="b">
        <v>0</v>
      </c>
      <c r="C771" s="41" t="b">
        <f t="shared" si="3"/>
        <v>0</v>
      </c>
      <c r="D771" s="42" t="s">
        <v>1565</v>
      </c>
      <c r="E771" s="43" t="s">
        <v>1346</v>
      </c>
      <c r="F771" s="44" t="s">
        <v>1505</v>
      </c>
      <c r="G771" s="29" t="s">
        <v>837</v>
      </c>
      <c r="H771" s="32">
        <v>-15.90209503843593</v>
      </c>
      <c r="I771" s="32">
        <v>-10.372236266507027</v>
      </c>
      <c r="J771" s="45" t="s">
        <v>2441</v>
      </c>
      <c r="K771" s="29">
        <v>31.8</v>
      </c>
      <c r="L771" s="41">
        <v>57.0</v>
      </c>
      <c r="M771" s="46">
        <v>30.0</v>
      </c>
      <c r="N771" s="46">
        <v>5.0</v>
      </c>
      <c r="O771" s="47">
        <v>-2.3551861576589848</v>
      </c>
      <c r="P771" s="47">
        <v>-1.864242467728156</v>
      </c>
      <c r="Q771" s="47">
        <v>-0.5457009084791788</v>
      </c>
      <c r="R771" s="47">
        <v>-2.35341545865513</v>
      </c>
      <c r="S771" s="47">
        <v>-1.72461069241107</v>
      </c>
      <c r="T771" s="47">
        <v>-0.7871777123417198</v>
      </c>
      <c r="U771" s="47">
        <v>-2.8026289184199937</v>
      </c>
      <c r="V771" s="47">
        <v>0.0</v>
      </c>
      <c r="W771" s="47">
        <v>-2.1285194454806393</v>
      </c>
      <c r="X771" s="47">
        <v>-1.3406132772610557</v>
      </c>
      <c r="Y771" s="50" t="s">
        <v>69</v>
      </c>
      <c r="Z771" s="50" t="s">
        <v>69</v>
      </c>
      <c r="AA771" s="50" t="s">
        <v>69</v>
      </c>
      <c r="AB771" s="50" t="s">
        <v>69</v>
      </c>
      <c r="AC771" s="34" t="str">
        <f t="shared" ref="AC771:AP771" si="771">LET(
  skater, IFERROR(INDEX(AllProj, MATCH($E771, AllProjNames, 0), MATCH(AC$2, AllProjCats, 0) + 1), ""),
  goalie, IFERROR(INDEX(AllGProj, MATCH($E771, AllGProjNames, 0), MATCH(AC$2, AllGProjCats, 0) + 1), ""),
  val, IF(skater &lt;&gt; "", skater, goalie),
  IF(OR($E771="", AC$2="", val=""), "", val * AC$1)
)</f>
        <v/>
      </c>
      <c r="AD771" s="34" t="str">
        <f t="shared" si="771"/>
        <v/>
      </c>
      <c r="AE771" s="34" t="str">
        <f t="shared" si="771"/>
        <v/>
      </c>
      <c r="AF771" s="34" t="str">
        <f t="shared" si="771"/>
        <v/>
      </c>
      <c r="AG771" s="34" t="str">
        <f t="shared" si="771"/>
        <v/>
      </c>
      <c r="AH771" s="34" t="str">
        <f t="shared" si="771"/>
        <v/>
      </c>
      <c r="AI771" s="34" t="str">
        <f t="shared" si="771"/>
        <v/>
      </c>
      <c r="AJ771" s="34" t="str">
        <f t="shared" si="771"/>
        <v/>
      </c>
      <c r="AK771" s="34" t="str">
        <f t="shared" si="771"/>
        <v/>
      </c>
      <c r="AL771" s="34" t="str">
        <f t="shared" si="771"/>
        <v/>
      </c>
      <c r="AM771" s="34" t="str">
        <f t="shared" si="771"/>
        <v/>
      </c>
      <c r="AN771" s="34" t="str">
        <f t="shared" si="771"/>
        <v/>
      </c>
      <c r="AO771" s="34" t="str">
        <f t="shared" si="771"/>
        <v/>
      </c>
      <c r="AP771" s="34" t="str">
        <f t="shared" si="771"/>
        <v/>
      </c>
      <c r="AQ771" s="76" t="s">
        <v>812</v>
      </c>
      <c r="AR771" s="77"/>
      <c r="AS771" s="77"/>
      <c r="AT771" s="77"/>
      <c r="AU771" s="77"/>
      <c r="AV771" s="77"/>
      <c r="AW771" s="77"/>
      <c r="AX771" s="77"/>
      <c r="AY771" s="77"/>
      <c r="AZ771" s="77"/>
      <c r="BA771" s="77"/>
      <c r="BB771" s="77"/>
      <c r="BC771" s="77"/>
      <c r="BD771" s="77"/>
      <c r="BE771" s="77"/>
      <c r="BF771" s="77"/>
      <c r="BG771" s="77"/>
      <c r="BH771" s="77"/>
      <c r="BI771" s="77"/>
      <c r="BJ771" s="77"/>
      <c r="BK771" s="77"/>
      <c r="BL771" s="77"/>
      <c r="BM771" s="78"/>
    </row>
    <row r="772">
      <c r="A772" s="79">
        <v>2.7142857142857144</v>
      </c>
      <c r="B772" s="79" t="b">
        <v>0</v>
      </c>
      <c r="C772" s="79" t="b">
        <f t="shared" si="3"/>
        <v>0</v>
      </c>
      <c r="D772" s="80" t="s">
        <v>1565</v>
      </c>
      <c r="E772" s="81" t="s">
        <v>1365</v>
      </c>
      <c r="F772" s="82" t="s">
        <v>849</v>
      </c>
      <c r="G772" s="35" t="s">
        <v>837</v>
      </c>
      <c r="H772" s="37">
        <v>-15.924609229315951</v>
      </c>
      <c r="I772" s="37">
        <v>-10.394750457387051</v>
      </c>
      <c r="J772" s="83" t="s">
        <v>2442</v>
      </c>
      <c r="K772" s="35">
        <v>26.7</v>
      </c>
      <c r="L772" s="79">
        <v>65.0</v>
      </c>
      <c r="M772" s="84">
        <v>29.0</v>
      </c>
      <c r="N772" s="84">
        <v>6.0</v>
      </c>
      <c r="O772" s="85">
        <v>-2.2797315773603057</v>
      </c>
      <c r="P772" s="85">
        <v>-1.864242467728156</v>
      </c>
      <c r="Q772" s="85">
        <v>-1.6248482877403045</v>
      </c>
      <c r="R772" s="85">
        <v>-1.8063108447566063</v>
      </c>
      <c r="S772" s="85">
        <v>-1.72461069241107</v>
      </c>
      <c r="T772" s="85">
        <v>-0.7871777123417198</v>
      </c>
      <c r="U772" s="85">
        <v>-2.692218255931773</v>
      </c>
      <c r="V772" s="85">
        <v>0.0</v>
      </c>
      <c r="W772" s="85">
        <v>-2.4154039401337903</v>
      </c>
      <c r="X772" s="85">
        <v>-0.7300654509122222</v>
      </c>
      <c r="Y772" s="50" t="s">
        <v>69</v>
      </c>
      <c r="Z772" s="50" t="s">
        <v>69</v>
      </c>
      <c r="AA772" s="50" t="s">
        <v>69</v>
      </c>
      <c r="AB772" s="50" t="s">
        <v>69</v>
      </c>
      <c r="AC772" s="34" t="str">
        <f t="shared" ref="AC772:AP772" si="772">LET(
  skater, IFERROR(INDEX(AllProj, MATCH($E772, AllProjNames, 0), MATCH(AC$2, AllProjCats, 0) + 1), ""),
  goalie, IFERROR(INDEX(AllGProj, MATCH($E772, AllGProjNames, 0), MATCH(AC$2, AllGProjCats, 0) + 1), ""),
  val, IF(skater &lt;&gt; "", skater, goalie),
  IF(OR($E772="", AC$2="", val=""), "", val * AC$1)
)</f>
        <v/>
      </c>
      <c r="AD772" s="34" t="str">
        <f t="shared" si="772"/>
        <v/>
      </c>
      <c r="AE772" s="34" t="str">
        <f t="shared" si="772"/>
        <v/>
      </c>
      <c r="AF772" s="34" t="str">
        <f t="shared" si="772"/>
        <v/>
      </c>
      <c r="AG772" s="34" t="str">
        <f t="shared" si="772"/>
        <v/>
      </c>
      <c r="AH772" s="34" t="str">
        <f t="shared" si="772"/>
        <v/>
      </c>
      <c r="AI772" s="34" t="str">
        <f t="shared" si="772"/>
        <v/>
      </c>
      <c r="AJ772" s="34" t="str">
        <f t="shared" si="772"/>
        <v/>
      </c>
      <c r="AK772" s="34" t="str">
        <f t="shared" si="772"/>
        <v/>
      </c>
      <c r="AL772" s="34" t="str">
        <f t="shared" si="772"/>
        <v/>
      </c>
      <c r="AM772" s="34" t="str">
        <f t="shared" si="772"/>
        <v/>
      </c>
      <c r="AN772" s="34" t="str">
        <f t="shared" si="772"/>
        <v/>
      </c>
      <c r="AO772" s="34" t="str">
        <f t="shared" si="772"/>
        <v/>
      </c>
      <c r="AP772" s="34" t="str">
        <f t="shared" si="772"/>
        <v/>
      </c>
      <c r="AQ772" s="76" t="s">
        <v>813</v>
      </c>
      <c r="AR772" s="77"/>
      <c r="AS772" s="77"/>
      <c r="AT772" s="77"/>
      <c r="AU772" s="77"/>
      <c r="AV772" s="77"/>
      <c r="AW772" s="77"/>
      <c r="AX772" s="77"/>
      <c r="AY772" s="77"/>
      <c r="AZ772" s="77"/>
      <c r="BA772" s="77"/>
      <c r="BB772" s="77"/>
      <c r="BC772" s="77"/>
      <c r="BD772" s="77"/>
      <c r="BE772" s="77"/>
      <c r="BF772" s="77"/>
      <c r="BG772" s="77"/>
      <c r="BH772" s="77"/>
      <c r="BI772" s="77"/>
      <c r="BJ772" s="77"/>
      <c r="BK772" s="77"/>
      <c r="BL772" s="77"/>
      <c r="BM772" s="78"/>
    </row>
    <row r="773">
      <c r="A773" s="41">
        <v>2.642857142857143</v>
      </c>
      <c r="B773" s="41" t="b">
        <v>0</v>
      </c>
      <c r="C773" s="41" t="b">
        <f t="shared" si="3"/>
        <v>0</v>
      </c>
      <c r="D773" s="42" t="s">
        <v>1565</v>
      </c>
      <c r="E773" s="43" t="s">
        <v>1294</v>
      </c>
      <c r="F773" s="44" t="s">
        <v>1461</v>
      </c>
      <c r="G773" s="29" t="s">
        <v>837</v>
      </c>
      <c r="H773" s="32">
        <v>-16.124673682975356</v>
      </c>
      <c r="I773" s="32">
        <v>-10.594814911046456</v>
      </c>
      <c r="J773" s="45" t="s">
        <v>2443</v>
      </c>
      <c r="K773" s="29">
        <v>27.0</v>
      </c>
      <c r="L773" s="41">
        <v>67.8</v>
      </c>
      <c r="M773" s="46">
        <v>23.0</v>
      </c>
      <c r="N773" s="46">
        <v>6.0</v>
      </c>
      <c r="O773" s="47">
        <v>-2.4054892111914374</v>
      </c>
      <c r="P773" s="47">
        <v>-2.0851024209776496</v>
      </c>
      <c r="Q773" s="47">
        <v>-1.5930579339984587</v>
      </c>
      <c r="R773" s="47">
        <v>-1.9803895855425</v>
      </c>
      <c r="S773" s="47">
        <v>-1.701274469799411</v>
      </c>
      <c r="T773" s="47">
        <v>-0.7871777123417198</v>
      </c>
      <c r="U773" s="47">
        <v>-2.698658877910253</v>
      </c>
      <c r="V773" s="47">
        <v>0.0</v>
      </c>
      <c r="W773" s="47">
        <v>-1.6801599638370002</v>
      </c>
      <c r="X773" s="47">
        <v>-1.1933635073769253</v>
      </c>
      <c r="Y773" s="50" t="s">
        <v>69</v>
      </c>
      <c r="Z773" s="50" t="s">
        <v>69</v>
      </c>
      <c r="AA773" s="50" t="s">
        <v>69</v>
      </c>
      <c r="AB773" s="50" t="s">
        <v>69</v>
      </c>
      <c r="AC773" s="34" t="str">
        <f t="shared" ref="AC773:AP773" si="773">LET(
  skater, IFERROR(INDEX(AllProj, MATCH($E773, AllProjNames, 0), MATCH(AC$2, AllProjCats, 0) + 1), ""),
  goalie, IFERROR(INDEX(AllGProj, MATCH($E773, AllGProjNames, 0), MATCH(AC$2, AllGProjCats, 0) + 1), ""),
  val, IF(skater &lt;&gt; "", skater, goalie),
  IF(OR($E773="", AC$2="", val=""), "", val * AC$1)
)</f>
        <v/>
      </c>
      <c r="AD773" s="34" t="str">
        <f t="shared" si="773"/>
        <v/>
      </c>
      <c r="AE773" s="34" t="str">
        <f t="shared" si="773"/>
        <v/>
      </c>
      <c r="AF773" s="34" t="str">
        <f t="shared" si="773"/>
        <v/>
      </c>
      <c r="AG773" s="34" t="str">
        <f t="shared" si="773"/>
        <v/>
      </c>
      <c r="AH773" s="34" t="str">
        <f t="shared" si="773"/>
        <v/>
      </c>
      <c r="AI773" s="34" t="str">
        <f t="shared" si="773"/>
        <v/>
      </c>
      <c r="AJ773" s="34" t="str">
        <f t="shared" si="773"/>
        <v/>
      </c>
      <c r="AK773" s="34" t="str">
        <f t="shared" si="773"/>
        <v/>
      </c>
      <c r="AL773" s="34" t="str">
        <f t="shared" si="773"/>
        <v/>
      </c>
      <c r="AM773" s="34" t="str">
        <f t="shared" si="773"/>
        <v/>
      </c>
      <c r="AN773" s="34" t="str">
        <f t="shared" si="773"/>
        <v/>
      </c>
      <c r="AO773" s="34" t="str">
        <f t="shared" si="773"/>
        <v/>
      </c>
      <c r="AP773" s="34" t="str">
        <f t="shared" si="773"/>
        <v/>
      </c>
      <c r="AQ773" s="76" t="s">
        <v>814</v>
      </c>
      <c r="AR773" s="77"/>
      <c r="AS773" s="77"/>
      <c r="AT773" s="77"/>
      <c r="AU773" s="77"/>
      <c r="AV773" s="77"/>
      <c r="AW773" s="77"/>
      <c r="AX773" s="77"/>
      <c r="AY773" s="77"/>
      <c r="AZ773" s="77"/>
      <c r="BA773" s="77"/>
      <c r="BB773" s="77"/>
      <c r="BC773" s="77"/>
      <c r="BD773" s="77"/>
      <c r="BE773" s="77"/>
      <c r="BF773" s="77"/>
      <c r="BG773" s="77"/>
      <c r="BH773" s="77"/>
      <c r="BI773" s="77"/>
      <c r="BJ773" s="77"/>
      <c r="BK773" s="77"/>
      <c r="BL773" s="77"/>
      <c r="BM773" s="78"/>
    </row>
    <row r="774">
      <c r="A774" s="79">
        <v>2.642857142857143</v>
      </c>
      <c r="B774" s="79" t="b">
        <v>0</v>
      </c>
      <c r="C774" s="79" t="b">
        <f t="shared" si="3"/>
        <v>0</v>
      </c>
      <c r="D774" s="80" t="s">
        <v>1565</v>
      </c>
      <c r="E774" s="81" t="s">
        <v>1301</v>
      </c>
      <c r="F774" s="82" t="s">
        <v>1401</v>
      </c>
      <c r="G774" s="35" t="s">
        <v>837</v>
      </c>
      <c r="H774" s="37">
        <v>-16.307787604052596</v>
      </c>
      <c r="I774" s="37">
        <v>-10.777928832123695</v>
      </c>
      <c r="J774" s="83" t="s">
        <v>2444</v>
      </c>
      <c r="K774" s="35">
        <v>29.6</v>
      </c>
      <c r="L774" s="79">
        <v>45.0</v>
      </c>
      <c r="M774" s="84">
        <v>25.0</v>
      </c>
      <c r="N774" s="84">
        <v>7.0</v>
      </c>
      <c r="O774" s="85">
        <v>-2.5312468450225696</v>
      </c>
      <c r="P774" s="85">
        <v>-2.2702350288485484</v>
      </c>
      <c r="Q774" s="85">
        <v>-1.8820752968366146</v>
      </c>
      <c r="R774" s="85">
        <v>-1.8063108447566063</v>
      </c>
      <c r="S774" s="85">
        <v>-1.72461069241107</v>
      </c>
      <c r="T774" s="85">
        <v>-0.7871777123417198</v>
      </c>
      <c r="U774" s="85">
        <v>-2.8072293626903364</v>
      </c>
      <c r="V774" s="85">
        <v>0.0</v>
      </c>
      <c r="W774" s="85">
        <v>-1.3498329599935146</v>
      </c>
      <c r="X774" s="85">
        <v>-1.1490688611516178</v>
      </c>
      <c r="Y774" s="50" t="s">
        <v>69</v>
      </c>
      <c r="Z774" s="50" t="s">
        <v>69</v>
      </c>
      <c r="AA774" s="50" t="s">
        <v>69</v>
      </c>
      <c r="AB774" s="50" t="s">
        <v>69</v>
      </c>
      <c r="AC774" s="34" t="str">
        <f t="shared" ref="AC774:AP774" si="774">LET(
  skater, IFERROR(INDEX(AllProj, MATCH($E774, AllProjNames, 0), MATCH(AC$2, AllProjCats, 0) + 1), ""),
  goalie, IFERROR(INDEX(AllGProj, MATCH($E774, AllGProjNames, 0), MATCH(AC$2, AllGProjCats, 0) + 1), ""),
  val, IF(skater &lt;&gt; "", skater, goalie),
  IF(OR($E774="", AC$2="", val=""), "", val * AC$1)
)</f>
        <v/>
      </c>
      <c r="AD774" s="34" t="str">
        <f t="shared" si="774"/>
        <v/>
      </c>
      <c r="AE774" s="34" t="str">
        <f t="shared" si="774"/>
        <v/>
      </c>
      <c r="AF774" s="34" t="str">
        <f t="shared" si="774"/>
        <v/>
      </c>
      <c r="AG774" s="34" t="str">
        <f t="shared" si="774"/>
        <v/>
      </c>
      <c r="AH774" s="34" t="str">
        <f t="shared" si="774"/>
        <v/>
      </c>
      <c r="AI774" s="34" t="str">
        <f t="shared" si="774"/>
        <v/>
      </c>
      <c r="AJ774" s="34" t="str">
        <f t="shared" si="774"/>
        <v/>
      </c>
      <c r="AK774" s="34" t="str">
        <f t="shared" si="774"/>
        <v/>
      </c>
      <c r="AL774" s="34" t="str">
        <f t="shared" si="774"/>
        <v/>
      </c>
      <c r="AM774" s="34" t="str">
        <f t="shared" si="774"/>
        <v/>
      </c>
      <c r="AN774" s="34" t="str">
        <f t="shared" si="774"/>
        <v/>
      </c>
      <c r="AO774" s="34" t="str">
        <f t="shared" si="774"/>
        <v/>
      </c>
      <c r="AP774" s="34" t="str">
        <f t="shared" si="774"/>
        <v/>
      </c>
      <c r="AQ774" s="76" t="s">
        <v>815</v>
      </c>
      <c r="AR774" s="77"/>
      <c r="AS774" s="77"/>
      <c r="AT774" s="77"/>
      <c r="AU774" s="77"/>
      <c r="AV774" s="77"/>
      <c r="AW774" s="77"/>
      <c r="AX774" s="77"/>
      <c r="AY774" s="77"/>
      <c r="AZ774" s="77"/>
      <c r="BA774" s="77"/>
      <c r="BB774" s="77"/>
      <c r="BC774" s="77"/>
      <c r="BD774" s="77"/>
      <c r="BE774" s="77"/>
      <c r="BF774" s="77"/>
      <c r="BG774" s="77"/>
      <c r="BH774" s="77"/>
      <c r="BI774" s="77"/>
      <c r="BJ774" s="77"/>
      <c r="BK774" s="77"/>
      <c r="BL774" s="77"/>
      <c r="BM774" s="78"/>
    </row>
    <row r="775">
      <c r="A775" s="41">
        <v>2.642857142857143</v>
      </c>
      <c r="B775" s="41" t="b">
        <v>0</v>
      </c>
      <c r="C775" s="41" t="b">
        <f t="shared" si="3"/>
        <v>0</v>
      </c>
      <c r="D775" s="42" t="s">
        <v>1565</v>
      </c>
      <c r="E775" s="43" t="s">
        <v>1278</v>
      </c>
      <c r="F775" s="44" t="s">
        <v>1436</v>
      </c>
      <c r="G775" s="29" t="s">
        <v>837</v>
      </c>
      <c r="H775" s="32">
        <v>-16.494297368616056</v>
      </c>
      <c r="I775" s="32">
        <v>-10.964438596687156</v>
      </c>
      <c r="J775" s="45" t="s">
        <v>2445</v>
      </c>
      <c r="K775" s="29">
        <v>30.2</v>
      </c>
      <c r="L775" s="41">
        <v>50.0</v>
      </c>
      <c r="M775" s="46">
        <v>26.0</v>
      </c>
      <c r="N775" s="46">
        <v>5.0</v>
      </c>
      <c r="O775" s="47">
        <v>-2.4054892111914374</v>
      </c>
      <c r="P775" s="47">
        <v>-2.1078380044003917</v>
      </c>
      <c r="Q775" s="47">
        <v>-2.237587069578789</v>
      </c>
      <c r="R775" s="47">
        <v>-1.992823781312921</v>
      </c>
      <c r="S775" s="47">
        <v>-1.72461069241107</v>
      </c>
      <c r="T775" s="47">
        <v>-0.7871777123417198</v>
      </c>
      <c r="U775" s="47">
        <v>-2.9682449121523247</v>
      </c>
      <c r="V775" s="47">
        <v>0.0</v>
      </c>
      <c r="W775" s="47">
        <v>-1.390816459229679</v>
      </c>
      <c r="X775" s="47">
        <v>-0.8797095259977207</v>
      </c>
      <c r="Y775" s="50" t="s">
        <v>69</v>
      </c>
      <c r="Z775" s="50" t="s">
        <v>69</v>
      </c>
      <c r="AA775" s="50" t="s">
        <v>69</v>
      </c>
      <c r="AB775" s="50" t="s">
        <v>69</v>
      </c>
      <c r="AC775" s="34" t="str">
        <f t="shared" ref="AC775:AP775" si="775">LET(
  skater, IFERROR(INDEX(AllProj, MATCH($E775, AllProjNames, 0), MATCH(AC$2, AllProjCats, 0) + 1), ""),
  goalie, IFERROR(INDEX(AllGProj, MATCH($E775, AllGProjNames, 0), MATCH(AC$2, AllGProjCats, 0) + 1), ""),
  val, IF(skater &lt;&gt; "", skater, goalie),
  IF(OR($E775="", AC$2="", val=""), "", val * AC$1)
)</f>
        <v/>
      </c>
      <c r="AD775" s="34" t="str">
        <f t="shared" si="775"/>
        <v/>
      </c>
      <c r="AE775" s="34" t="str">
        <f t="shared" si="775"/>
        <v/>
      </c>
      <c r="AF775" s="34" t="str">
        <f t="shared" si="775"/>
        <v/>
      </c>
      <c r="AG775" s="34" t="str">
        <f t="shared" si="775"/>
        <v/>
      </c>
      <c r="AH775" s="34" t="str">
        <f t="shared" si="775"/>
        <v/>
      </c>
      <c r="AI775" s="34" t="str">
        <f t="shared" si="775"/>
        <v/>
      </c>
      <c r="AJ775" s="34" t="str">
        <f t="shared" si="775"/>
        <v/>
      </c>
      <c r="AK775" s="34" t="str">
        <f t="shared" si="775"/>
        <v/>
      </c>
      <c r="AL775" s="34" t="str">
        <f t="shared" si="775"/>
        <v/>
      </c>
      <c r="AM775" s="34" t="str">
        <f t="shared" si="775"/>
        <v/>
      </c>
      <c r="AN775" s="34" t="str">
        <f t="shared" si="775"/>
        <v/>
      </c>
      <c r="AO775" s="34" t="str">
        <f t="shared" si="775"/>
        <v/>
      </c>
      <c r="AP775" s="34" t="str">
        <f t="shared" si="775"/>
        <v/>
      </c>
      <c r="AQ775" s="76" t="s">
        <v>816</v>
      </c>
      <c r="AR775" s="77"/>
      <c r="AS775" s="77"/>
      <c r="AT775" s="77"/>
      <c r="AU775" s="77"/>
      <c r="AV775" s="77"/>
      <c r="AW775" s="77"/>
      <c r="AX775" s="77"/>
      <c r="AY775" s="77"/>
      <c r="AZ775" s="77"/>
      <c r="BA775" s="77"/>
      <c r="BB775" s="77"/>
      <c r="BC775" s="77"/>
      <c r="BD775" s="77"/>
      <c r="BE775" s="77"/>
      <c r="BF775" s="77"/>
      <c r="BG775" s="77"/>
      <c r="BH775" s="77"/>
      <c r="BI775" s="77"/>
      <c r="BJ775" s="77"/>
      <c r="BK775" s="77"/>
      <c r="BL775" s="77"/>
      <c r="BM775" s="78"/>
    </row>
    <row r="776">
      <c r="A776" s="79">
        <v>2.7142857142857144</v>
      </c>
      <c r="B776" s="79" t="b">
        <v>0</v>
      </c>
      <c r="C776" s="79" t="b">
        <f t="shared" si="3"/>
        <v>0</v>
      </c>
      <c r="D776" s="80" t="s">
        <v>1565</v>
      </c>
      <c r="E776" s="81" t="s">
        <v>1362</v>
      </c>
      <c r="F776" s="82" t="s">
        <v>1444</v>
      </c>
      <c r="G776" s="35" t="s">
        <v>837</v>
      </c>
      <c r="H776" s="37">
        <v>-16.635917915640075</v>
      </c>
      <c r="I776" s="37">
        <v>-11.106059143711175</v>
      </c>
      <c r="J776" s="83" t="s">
        <v>2446</v>
      </c>
      <c r="K776" s="35">
        <v>27.7</v>
      </c>
      <c r="L776" s="79">
        <v>51.0</v>
      </c>
      <c r="M776" s="84">
        <v>33.0</v>
      </c>
      <c r="N776" s="84">
        <v>6.0</v>
      </c>
      <c r="O776" s="85">
        <v>-2.4054892111914374</v>
      </c>
      <c r="P776" s="85">
        <v>-1.9454409799522345</v>
      </c>
      <c r="Q776" s="85">
        <v>-1.2304147658033027</v>
      </c>
      <c r="R776" s="85">
        <v>-1.8063108447566063</v>
      </c>
      <c r="S776" s="85">
        <v>-1.72461069241107</v>
      </c>
      <c r="T776" s="85">
        <v>-0.7871777123417198</v>
      </c>
      <c r="U776" s="85">
        <v>-2.945242690800612</v>
      </c>
      <c r="V776" s="85">
        <v>0.0</v>
      </c>
      <c r="W776" s="85">
        <v>-2.3129451920433794</v>
      </c>
      <c r="X776" s="85">
        <v>-1.4782858263397145</v>
      </c>
      <c r="Y776" s="50" t="s">
        <v>69</v>
      </c>
      <c r="Z776" s="50" t="s">
        <v>69</v>
      </c>
      <c r="AA776" s="50" t="s">
        <v>69</v>
      </c>
      <c r="AB776" s="50" t="s">
        <v>69</v>
      </c>
      <c r="AC776" s="34" t="str">
        <f t="shared" ref="AC776:AP776" si="776">LET(
  skater, IFERROR(INDEX(AllProj, MATCH($E776, AllProjNames, 0), MATCH(AC$2, AllProjCats, 0) + 1), ""),
  goalie, IFERROR(INDEX(AllGProj, MATCH($E776, AllGProjNames, 0), MATCH(AC$2, AllGProjCats, 0) + 1), ""),
  val, IF(skater &lt;&gt; "", skater, goalie),
  IF(OR($E776="", AC$2="", val=""), "", val * AC$1)
)</f>
        <v/>
      </c>
      <c r="AD776" s="34" t="str">
        <f t="shared" si="776"/>
        <v/>
      </c>
      <c r="AE776" s="34" t="str">
        <f t="shared" si="776"/>
        <v/>
      </c>
      <c r="AF776" s="34" t="str">
        <f t="shared" si="776"/>
        <v/>
      </c>
      <c r="AG776" s="34" t="str">
        <f t="shared" si="776"/>
        <v/>
      </c>
      <c r="AH776" s="34" t="str">
        <f t="shared" si="776"/>
        <v/>
      </c>
      <c r="AI776" s="34" t="str">
        <f t="shared" si="776"/>
        <v/>
      </c>
      <c r="AJ776" s="34" t="str">
        <f t="shared" si="776"/>
        <v/>
      </c>
      <c r="AK776" s="34" t="str">
        <f t="shared" si="776"/>
        <v/>
      </c>
      <c r="AL776" s="34" t="str">
        <f t="shared" si="776"/>
        <v/>
      </c>
      <c r="AM776" s="34" t="str">
        <f t="shared" si="776"/>
        <v/>
      </c>
      <c r="AN776" s="34" t="str">
        <f t="shared" si="776"/>
        <v/>
      </c>
      <c r="AO776" s="34" t="str">
        <f t="shared" si="776"/>
        <v/>
      </c>
      <c r="AP776" s="34" t="str">
        <f t="shared" si="776"/>
        <v/>
      </c>
      <c r="AQ776" s="76" t="s">
        <v>817</v>
      </c>
      <c r="AR776" s="77"/>
      <c r="AS776" s="77"/>
      <c r="AT776" s="77"/>
      <c r="AU776" s="77"/>
      <c r="AV776" s="77"/>
      <c r="AW776" s="77"/>
      <c r="AX776" s="77"/>
      <c r="AY776" s="77"/>
      <c r="AZ776" s="77"/>
      <c r="BA776" s="77"/>
      <c r="BB776" s="77"/>
      <c r="BC776" s="77"/>
      <c r="BD776" s="77"/>
      <c r="BE776" s="77"/>
      <c r="BF776" s="77"/>
      <c r="BG776" s="77"/>
      <c r="BH776" s="77"/>
      <c r="BI776" s="77"/>
      <c r="BJ776" s="77"/>
      <c r="BK776" s="77"/>
      <c r="BL776" s="77"/>
      <c r="BM776" s="78"/>
    </row>
    <row r="777">
      <c r="A777" s="41">
        <v>2.7142857142857144</v>
      </c>
      <c r="B777" s="41" t="b">
        <v>0</v>
      </c>
      <c r="C777" s="41" t="b">
        <f t="shared" si="3"/>
        <v>0</v>
      </c>
      <c r="D777" s="42" t="s">
        <v>1565</v>
      </c>
      <c r="E777" s="43" t="s">
        <v>1363</v>
      </c>
      <c r="F777" s="44" t="s">
        <v>1464</v>
      </c>
      <c r="G777" s="29" t="s">
        <v>837</v>
      </c>
      <c r="H777" s="32">
        <v>-16.791419494038042</v>
      </c>
      <c r="I777" s="32">
        <v>-11.261560722109142</v>
      </c>
      <c r="J777" s="45" t="s">
        <v>2447</v>
      </c>
      <c r="K777" s="29">
        <v>26.7</v>
      </c>
      <c r="L777" s="41">
        <v>51.0</v>
      </c>
      <c r="M777" s="46">
        <v>24.0</v>
      </c>
      <c r="N777" s="46">
        <v>7.0</v>
      </c>
      <c r="O777" s="47">
        <v>-2.4054892111914374</v>
      </c>
      <c r="P777" s="47">
        <v>-1.9454409799522345</v>
      </c>
      <c r="Q777" s="47">
        <v>-1.4488663296422089</v>
      </c>
      <c r="R777" s="47">
        <v>-2.117165739017131</v>
      </c>
      <c r="S777" s="47">
        <v>-1.6079295793527744</v>
      </c>
      <c r="T777" s="47">
        <v>-0.7871777123417198</v>
      </c>
      <c r="U777" s="47">
        <v>-2.8992382480971868</v>
      </c>
      <c r="V777" s="47">
        <v>0.0</v>
      </c>
      <c r="W777" s="47">
        <v>-2.2514699431891327</v>
      </c>
      <c r="X777" s="47">
        <v>-1.328641751254216</v>
      </c>
      <c r="Y777" s="50" t="s">
        <v>69</v>
      </c>
      <c r="Z777" s="50" t="s">
        <v>69</v>
      </c>
      <c r="AA777" s="50" t="s">
        <v>69</v>
      </c>
      <c r="AB777" s="50" t="s">
        <v>69</v>
      </c>
      <c r="AC777" s="34" t="str">
        <f t="shared" ref="AC777:AP777" si="777">LET(
  skater, IFERROR(INDEX(AllProj, MATCH($E777, AllProjNames, 0), MATCH(AC$2, AllProjCats, 0) + 1), ""),
  goalie, IFERROR(INDEX(AllGProj, MATCH($E777, AllGProjNames, 0), MATCH(AC$2, AllGProjCats, 0) + 1), ""),
  val, IF(skater &lt;&gt; "", skater, goalie),
  IF(OR($E777="", AC$2="", val=""), "", val * AC$1)
)</f>
        <v/>
      </c>
      <c r="AD777" s="34" t="str">
        <f t="shared" si="777"/>
        <v/>
      </c>
      <c r="AE777" s="34" t="str">
        <f t="shared" si="777"/>
        <v/>
      </c>
      <c r="AF777" s="34" t="str">
        <f t="shared" si="777"/>
        <v/>
      </c>
      <c r="AG777" s="34" t="str">
        <f t="shared" si="777"/>
        <v/>
      </c>
      <c r="AH777" s="34" t="str">
        <f t="shared" si="777"/>
        <v/>
      </c>
      <c r="AI777" s="34" t="str">
        <f t="shared" si="777"/>
        <v/>
      </c>
      <c r="AJ777" s="34" t="str">
        <f t="shared" si="777"/>
        <v/>
      </c>
      <c r="AK777" s="34" t="str">
        <f t="shared" si="777"/>
        <v/>
      </c>
      <c r="AL777" s="34" t="str">
        <f t="shared" si="777"/>
        <v/>
      </c>
      <c r="AM777" s="34" t="str">
        <f t="shared" si="777"/>
        <v/>
      </c>
      <c r="AN777" s="34" t="str">
        <f t="shared" si="777"/>
        <v/>
      </c>
      <c r="AO777" s="34" t="str">
        <f t="shared" si="777"/>
        <v/>
      </c>
      <c r="AP777" s="34" t="str">
        <f t="shared" si="777"/>
        <v/>
      </c>
      <c r="AQ777" s="76" t="s">
        <v>818</v>
      </c>
      <c r="AR777" s="77"/>
      <c r="AS777" s="77"/>
      <c r="AT777" s="77"/>
      <c r="AU777" s="77"/>
      <c r="AV777" s="77"/>
      <c r="AW777" s="77"/>
      <c r="AX777" s="77"/>
      <c r="AY777" s="77"/>
      <c r="AZ777" s="77"/>
      <c r="BA777" s="77"/>
      <c r="BB777" s="77"/>
      <c r="BC777" s="77"/>
      <c r="BD777" s="77"/>
      <c r="BE777" s="77"/>
      <c r="BF777" s="77"/>
      <c r="BG777" s="77"/>
      <c r="BH777" s="77"/>
      <c r="BI777" s="77"/>
      <c r="BJ777" s="77"/>
      <c r="BK777" s="77"/>
      <c r="BL777" s="77"/>
      <c r="BM777" s="78"/>
    </row>
    <row r="778">
      <c r="A778" s="79">
        <v>2.642857142857143</v>
      </c>
      <c r="B778" s="79" t="b">
        <v>0</v>
      </c>
      <c r="C778" s="79" t="b">
        <f t="shared" si="3"/>
        <v>0</v>
      </c>
      <c r="D778" s="80" t="s">
        <v>1565</v>
      </c>
      <c r="E778" s="81" t="s">
        <v>1292</v>
      </c>
      <c r="F778" s="82" t="s">
        <v>1436</v>
      </c>
      <c r="G778" s="35" t="s">
        <v>284</v>
      </c>
      <c r="H778" s="37">
        <v>-16.881996930575326</v>
      </c>
      <c r="I778" s="37">
        <v>-11.843930910392242</v>
      </c>
      <c r="J778" s="83" t="s">
        <v>2448</v>
      </c>
      <c r="K778" s="35">
        <v>28.1</v>
      </c>
      <c r="L778" s="79">
        <v>48.0</v>
      </c>
      <c r="M778" s="84">
        <v>26.0</v>
      </c>
      <c r="N778" s="84">
        <v>5.0</v>
      </c>
      <c r="O778" s="85">
        <v>-2.028216309698042</v>
      </c>
      <c r="P778" s="85">
        <v>-2.18903651662447</v>
      </c>
      <c r="Q778" s="85">
        <v>-2.1455441757567164</v>
      </c>
      <c r="R778" s="85">
        <v>-1.992823781312921</v>
      </c>
      <c r="S778" s="85">
        <v>-1.6079295793527744</v>
      </c>
      <c r="T778" s="85">
        <v>-0.7871777123417198</v>
      </c>
      <c r="U778" s="85">
        <v>-2.531202706469785</v>
      </c>
      <c r="V778" s="85">
        <v>0.0</v>
      </c>
      <c r="W778" s="85">
        <v>-1.4932752073200901</v>
      </c>
      <c r="X778" s="85">
        <v>-2.106790941698808</v>
      </c>
      <c r="Y778" s="50" t="s">
        <v>69</v>
      </c>
      <c r="Z778" s="50" t="s">
        <v>69</v>
      </c>
      <c r="AA778" s="50" t="s">
        <v>69</v>
      </c>
      <c r="AB778" s="50" t="s">
        <v>69</v>
      </c>
      <c r="AC778" s="34" t="str">
        <f t="shared" ref="AC778:AP778" si="778">LET(
  skater, IFERROR(INDEX(AllProj, MATCH($E778, AllProjNames, 0), MATCH(AC$2, AllProjCats, 0) + 1), ""),
  goalie, IFERROR(INDEX(AllGProj, MATCH($E778, AllGProjNames, 0), MATCH(AC$2, AllGProjCats, 0) + 1), ""),
  val, IF(skater &lt;&gt; "", skater, goalie),
  IF(OR($E778="", AC$2="", val=""), "", val * AC$1)
)</f>
        <v/>
      </c>
      <c r="AD778" s="34" t="str">
        <f t="shared" si="778"/>
        <v/>
      </c>
      <c r="AE778" s="34" t="str">
        <f t="shared" si="778"/>
        <v/>
      </c>
      <c r="AF778" s="34" t="str">
        <f t="shared" si="778"/>
        <v/>
      </c>
      <c r="AG778" s="34" t="str">
        <f t="shared" si="778"/>
        <v/>
      </c>
      <c r="AH778" s="34" t="str">
        <f t="shared" si="778"/>
        <v/>
      </c>
      <c r="AI778" s="34" t="str">
        <f t="shared" si="778"/>
        <v/>
      </c>
      <c r="AJ778" s="34" t="str">
        <f t="shared" si="778"/>
        <v/>
      </c>
      <c r="AK778" s="34" t="str">
        <f t="shared" si="778"/>
        <v/>
      </c>
      <c r="AL778" s="34" t="str">
        <f t="shared" si="778"/>
        <v/>
      </c>
      <c r="AM778" s="34" t="str">
        <f t="shared" si="778"/>
        <v/>
      </c>
      <c r="AN778" s="34" t="str">
        <f t="shared" si="778"/>
        <v/>
      </c>
      <c r="AO778" s="34" t="str">
        <f t="shared" si="778"/>
        <v/>
      </c>
      <c r="AP778" s="34" t="str">
        <f t="shared" si="778"/>
        <v/>
      </c>
      <c r="AQ778" s="76" t="s">
        <v>819</v>
      </c>
      <c r="AR778" s="77"/>
      <c r="AS778" s="77"/>
      <c r="AT778" s="77"/>
      <c r="AU778" s="77"/>
      <c r="AV778" s="77"/>
      <c r="AW778" s="77"/>
      <c r="AX778" s="77"/>
      <c r="AY778" s="77"/>
      <c r="AZ778" s="77"/>
      <c r="BA778" s="77"/>
      <c r="BB778" s="77"/>
      <c r="BC778" s="77"/>
      <c r="BD778" s="77"/>
      <c r="BE778" s="77"/>
      <c r="BF778" s="77"/>
      <c r="BG778" s="77"/>
      <c r="BH778" s="77"/>
      <c r="BI778" s="77"/>
      <c r="BJ778" s="77"/>
      <c r="BK778" s="77"/>
      <c r="BL778" s="77"/>
      <c r="BM778" s="78"/>
    </row>
    <row r="779">
      <c r="A779" s="41">
        <v>2.7142857142857144</v>
      </c>
      <c r="B779" s="41" t="b">
        <v>0</v>
      </c>
      <c r="C779" s="41" t="b">
        <f t="shared" si="3"/>
        <v>0</v>
      </c>
      <c r="D779" s="42" t="s">
        <v>1565</v>
      </c>
      <c r="E779" s="43" t="s">
        <v>1347</v>
      </c>
      <c r="F779" s="44" t="s">
        <v>849</v>
      </c>
      <c r="G779" s="29" t="s">
        <v>284</v>
      </c>
      <c r="H779" s="32">
        <v>-17.32024121630675</v>
      </c>
      <c r="I779" s="32"/>
      <c r="J779" s="45"/>
      <c r="K779" s="29">
        <v>33.8</v>
      </c>
      <c r="L779" s="41">
        <v>51.0</v>
      </c>
      <c r="M779" s="46">
        <v>29.0</v>
      </c>
      <c r="N779" s="46">
        <v>6.0</v>
      </c>
      <c r="O779" s="47">
        <v>-2.2797315773603057</v>
      </c>
      <c r="P779" s="47">
        <v>-2.026639492176313</v>
      </c>
      <c r="Q779" s="47">
        <v>-1.9278507363385011</v>
      </c>
      <c r="R779" s="47">
        <v>-1.6819688870523963</v>
      </c>
      <c r="S779" s="47">
        <v>-1.72461069241107</v>
      </c>
      <c r="T779" s="47">
        <v>-0.16952108464970286</v>
      </c>
      <c r="U779" s="47">
        <v>-3.0602537975591755</v>
      </c>
      <c r="V779" s="47">
        <v>0.0</v>
      </c>
      <c r="W779" s="47">
        <v>-2.3129451920433794</v>
      </c>
      <c r="X779" s="47">
        <v>-2.1367197567159075</v>
      </c>
      <c r="Y779" s="50" t="s">
        <v>69</v>
      </c>
      <c r="Z779" s="50" t="s">
        <v>69</v>
      </c>
      <c r="AA779" s="50" t="s">
        <v>69</v>
      </c>
      <c r="AB779" s="50" t="s">
        <v>69</v>
      </c>
      <c r="AC779" s="34" t="str">
        <f t="shared" ref="AC779:AP779" si="779">LET(
  skater, IFERROR(INDEX(AllProj, MATCH($E779, AllProjNames, 0), MATCH(AC$2, AllProjCats, 0) + 1), ""),
  goalie, IFERROR(INDEX(AllGProj, MATCH($E779, AllGProjNames, 0), MATCH(AC$2, AllGProjCats, 0) + 1), ""),
  val, IF(skater &lt;&gt; "", skater, goalie),
  IF(OR($E779="", AC$2="", val=""), "", val * AC$1)
)</f>
        <v/>
      </c>
      <c r="AD779" s="34" t="str">
        <f t="shared" si="779"/>
        <v/>
      </c>
      <c r="AE779" s="34" t="str">
        <f t="shared" si="779"/>
        <v/>
      </c>
      <c r="AF779" s="34" t="str">
        <f t="shared" si="779"/>
        <v/>
      </c>
      <c r="AG779" s="34" t="str">
        <f t="shared" si="779"/>
        <v/>
      </c>
      <c r="AH779" s="34" t="str">
        <f t="shared" si="779"/>
        <v/>
      </c>
      <c r="AI779" s="34" t="str">
        <f t="shared" si="779"/>
        <v/>
      </c>
      <c r="AJ779" s="34" t="str">
        <f t="shared" si="779"/>
        <v/>
      </c>
      <c r="AK779" s="34" t="str">
        <f t="shared" si="779"/>
        <v/>
      </c>
      <c r="AL779" s="34" t="str">
        <f t="shared" si="779"/>
        <v/>
      </c>
      <c r="AM779" s="34" t="str">
        <f t="shared" si="779"/>
        <v/>
      </c>
      <c r="AN779" s="34" t="str">
        <f t="shared" si="779"/>
        <v/>
      </c>
      <c r="AO779" s="34" t="str">
        <f t="shared" si="779"/>
        <v/>
      </c>
      <c r="AP779" s="34" t="str">
        <f t="shared" si="779"/>
        <v/>
      </c>
      <c r="AQ779" s="76" t="s">
        <v>820</v>
      </c>
      <c r="AR779" s="77"/>
      <c r="AS779" s="77"/>
      <c r="AT779" s="77"/>
      <c r="AU779" s="77"/>
      <c r="AV779" s="77"/>
      <c r="AW779" s="77"/>
      <c r="AX779" s="77"/>
      <c r="AY779" s="77"/>
      <c r="AZ779" s="77"/>
      <c r="BA779" s="77"/>
      <c r="BB779" s="77"/>
      <c r="BC779" s="77"/>
      <c r="BD779" s="77"/>
      <c r="BE779" s="77"/>
      <c r="BF779" s="77"/>
      <c r="BG779" s="77"/>
      <c r="BH779" s="77"/>
      <c r="BI779" s="77"/>
      <c r="BJ779" s="77"/>
      <c r="BK779" s="77"/>
      <c r="BL779" s="77"/>
      <c r="BM779" s="78"/>
    </row>
    <row r="780">
      <c r="A780" s="79">
        <v>2.7142857142857144</v>
      </c>
      <c r="B780" s="79" t="b">
        <v>0</v>
      </c>
      <c r="C780" s="79" t="b">
        <f t="shared" si="3"/>
        <v>0</v>
      </c>
      <c r="D780" s="80" t="s">
        <v>1565</v>
      </c>
      <c r="E780" s="81" t="s">
        <v>1361</v>
      </c>
      <c r="F780" s="82" t="s">
        <v>1779</v>
      </c>
      <c r="G780" s="35" t="s">
        <v>837</v>
      </c>
      <c r="H780" s="37">
        <v>-17.469326682365217</v>
      </c>
      <c r="I780" s="37">
        <v>-11.939467910436317</v>
      </c>
      <c r="J780" s="83" t="s">
        <v>2449</v>
      </c>
      <c r="K780" s="35">
        <v>24.3</v>
      </c>
      <c r="L780" s="79">
        <v>51.0</v>
      </c>
      <c r="M780" s="84">
        <v>27.0</v>
      </c>
      <c r="N780" s="84">
        <v>6.0</v>
      </c>
      <c r="O780" s="85">
        <v>-2.4054892111914374</v>
      </c>
      <c r="P780" s="85">
        <v>-2.026639492176313</v>
      </c>
      <c r="Q780" s="85">
        <v>-2.8700495373148485</v>
      </c>
      <c r="R780" s="85">
        <v>-1.930652802460816</v>
      </c>
      <c r="S780" s="85">
        <v>-1.72461069241107</v>
      </c>
      <c r="T780" s="85">
        <v>-0.7871777123417198</v>
      </c>
      <c r="U780" s="85">
        <v>-3.0602537975591755</v>
      </c>
      <c r="V780" s="85">
        <v>0.0</v>
      </c>
      <c r="W780" s="85">
        <v>-1.575242205792419</v>
      </c>
      <c r="X780" s="85">
        <v>-1.0892112311174185</v>
      </c>
      <c r="Y780" s="50" t="s">
        <v>69</v>
      </c>
      <c r="Z780" s="50" t="s">
        <v>69</v>
      </c>
      <c r="AA780" s="50" t="s">
        <v>69</v>
      </c>
      <c r="AB780" s="50" t="s">
        <v>69</v>
      </c>
      <c r="AC780" s="34" t="str">
        <f t="shared" ref="AC780:AP780" si="780">LET(
  skater, IFERROR(INDEX(AllProj, MATCH($E780, AllProjNames, 0), MATCH(AC$2, AllProjCats, 0) + 1), ""),
  goalie, IFERROR(INDEX(AllGProj, MATCH($E780, AllGProjNames, 0), MATCH(AC$2, AllGProjCats, 0) + 1), ""),
  val, IF(skater &lt;&gt; "", skater, goalie),
  IF(OR($E780="", AC$2="", val=""), "", val * AC$1)
)</f>
        <v/>
      </c>
      <c r="AD780" s="34" t="str">
        <f t="shared" si="780"/>
        <v/>
      </c>
      <c r="AE780" s="34" t="str">
        <f t="shared" si="780"/>
        <v/>
      </c>
      <c r="AF780" s="34" t="str">
        <f t="shared" si="780"/>
        <v/>
      </c>
      <c r="AG780" s="34" t="str">
        <f t="shared" si="780"/>
        <v/>
      </c>
      <c r="AH780" s="34" t="str">
        <f t="shared" si="780"/>
        <v/>
      </c>
      <c r="AI780" s="34" t="str">
        <f t="shared" si="780"/>
        <v/>
      </c>
      <c r="AJ780" s="34" t="str">
        <f t="shared" si="780"/>
        <v/>
      </c>
      <c r="AK780" s="34" t="str">
        <f t="shared" si="780"/>
        <v/>
      </c>
      <c r="AL780" s="34" t="str">
        <f t="shared" si="780"/>
        <v/>
      </c>
      <c r="AM780" s="34" t="str">
        <f t="shared" si="780"/>
        <v/>
      </c>
      <c r="AN780" s="34" t="str">
        <f t="shared" si="780"/>
        <v/>
      </c>
      <c r="AO780" s="34" t="str">
        <f t="shared" si="780"/>
        <v/>
      </c>
      <c r="AP780" s="34" t="str">
        <f t="shared" si="780"/>
        <v/>
      </c>
      <c r="AQ780" s="76" t="s">
        <v>821</v>
      </c>
      <c r="AR780" s="77"/>
      <c r="AS780" s="77"/>
      <c r="AT780" s="77"/>
      <c r="AU780" s="77"/>
      <c r="AV780" s="77"/>
      <c r="AW780" s="77"/>
      <c r="AX780" s="77"/>
      <c r="AY780" s="77"/>
      <c r="AZ780" s="77"/>
      <c r="BA780" s="77"/>
      <c r="BB780" s="77"/>
      <c r="BC780" s="77"/>
      <c r="BD780" s="77"/>
      <c r="BE780" s="77"/>
      <c r="BF780" s="77"/>
      <c r="BG780" s="77"/>
      <c r="BH780" s="77"/>
      <c r="BI780" s="77"/>
      <c r="BJ780" s="77"/>
      <c r="BK780" s="77"/>
      <c r="BL780" s="77"/>
      <c r="BM780" s="78"/>
    </row>
    <row r="781">
      <c r="A781" s="41">
        <v>2.7142857142857144</v>
      </c>
      <c r="B781" s="41" t="b">
        <v>0</v>
      </c>
      <c r="C781" s="41" t="b">
        <f t="shared" si="3"/>
        <v>0</v>
      </c>
      <c r="D781" s="42" t="s">
        <v>1565</v>
      </c>
      <c r="E781" s="43" t="s">
        <v>1367</v>
      </c>
      <c r="F781" s="44" t="s">
        <v>1439</v>
      </c>
      <c r="G781" s="29" t="s">
        <v>837</v>
      </c>
      <c r="H781" s="32">
        <v>-17.711707191651573</v>
      </c>
      <c r="I781" s="32">
        <v>-12.181848419722673</v>
      </c>
      <c r="J781" s="45" t="s">
        <v>2450</v>
      </c>
      <c r="K781" s="29">
        <v>29.1</v>
      </c>
      <c r="L781" s="41">
        <v>40.0</v>
      </c>
      <c r="M781" s="46">
        <v>25.0</v>
      </c>
      <c r="N781" s="46">
        <v>6.0</v>
      </c>
      <c r="O781" s="47">
        <v>-2.4054892111914374</v>
      </c>
      <c r="P781" s="47">
        <v>-2.18903651662447</v>
      </c>
      <c r="Q781" s="47">
        <v>-0.9668851255997953</v>
      </c>
      <c r="R781" s="47">
        <v>-2.3658496544255505</v>
      </c>
      <c r="S781" s="47">
        <v>-1.6079295793527744</v>
      </c>
      <c r="T781" s="47">
        <v>-0.7871777123417198</v>
      </c>
      <c r="U781" s="47">
        <v>-3.267273789724589</v>
      </c>
      <c r="V781" s="47">
        <v>0.0</v>
      </c>
      <c r="W781" s="47">
        <v>-2.3744204408976257</v>
      </c>
      <c r="X781" s="47">
        <v>-1.7476451614936117</v>
      </c>
      <c r="Y781" s="50" t="s">
        <v>69</v>
      </c>
      <c r="Z781" s="50" t="s">
        <v>69</v>
      </c>
      <c r="AA781" s="50" t="s">
        <v>69</v>
      </c>
      <c r="AB781" s="50" t="s">
        <v>69</v>
      </c>
      <c r="AC781" s="34" t="str">
        <f t="shared" ref="AC781:AP781" si="781">LET(
  skater, IFERROR(INDEX(AllProj, MATCH($E781, AllProjNames, 0), MATCH(AC$2, AllProjCats, 0) + 1), ""),
  goalie, IFERROR(INDEX(AllGProj, MATCH($E781, AllGProjNames, 0), MATCH(AC$2, AllGProjCats, 0) + 1), ""),
  val, IF(skater &lt;&gt; "", skater, goalie),
  IF(OR($E781="", AC$2="", val=""), "", val * AC$1)
)</f>
        <v/>
      </c>
      <c r="AD781" s="34" t="str">
        <f t="shared" si="781"/>
        <v/>
      </c>
      <c r="AE781" s="34" t="str">
        <f t="shared" si="781"/>
        <v/>
      </c>
      <c r="AF781" s="34" t="str">
        <f t="shared" si="781"/>
        <v/>
      </c>
      <c r="AG781" s="34" t="str">
        <f t="shared" si="781"/>
        <v/>
      </c>
      <c r="AH781" s="34" t="str">
        <f t="shared" si="781"/>
        <v/>
      </c>
      <c r="AI781" s="34" t="str">
        <f t="shared" si="781"/>
        <v/>
      </c>
      <c r="AJ781" s="34" t="str">
        <f t="shared" si="781"/>
        <v/>
      </c>
      <c r="AK781" s="34" t="str">
        <f t="shared" si="781"/>
        <v/>
      </c>
      <c r="AL781" s="34" t="str">
        <f t="shared" si="781"/>
        <v/>
      </c>
      <c r="AM781" s="34" t="str">
        <f t="shared" si="781"/>
        <v/>
      </c>
      <c r="AN781" s="34" t="str">
        <f t="shared" si="781"/>
        <v/>
      </c>
      <c r="AO781" s="34" t="str">
        <f t="shared" si="781"/>
        <v/>
      </c>
      <c r="AP781" s="34" t="str">
        <f t="shared" si="781"/>
        <v/>
      </c>
      <c r="AQ781" s="76" t="s">
        <v>822</v>
      </c>
      <c r="AR781" s="77"/>
      <c r="AS781" s="77"/>
      <c r="AT781" s="77"/>
      <c r="AU781" s="77"/>
      <c r="AV781" s="77"/>
      <c r="AW781" s="77"/>
      <c r="AX781" s="77"/>
      <c r="AY781" s="77"/>
      <c r="AZ781" s="77"/>
      <c r="BA781" s="77"/>
      <c r="BB781" s="77"/>
      <c r="BC781" s="77"/>
      <c r="BD781" s="77"/>
      <c r="BE781" s="77"/>
      <c r="BF781" s="77"/>
      <c r="BG781" s="77"/>
      <c r="BH781" s="77"/>
      <c r="BI781" s="77"/>
      <c r="BJ781" s="77"/>
      <c r="BK781" s="77"/>
      <c r="BL781" s="77"/>
      <c r="BM781" s="78"/>
    </row>
    <row r="782">
      <c r="A782" s="79">
        <v>2.7142857142857144</v>
      </c>
      <c r="B782" s="99" t="b">
        <v>0</v>
      </c>
      <c r="C782" s="79" t="b">
        <f t="shared" si="3"/>
        <v>0</v>
      </c>
      <c r="D782" s="80" t="s">
        <v>1565</v>
      </c>
      <c r="E782" s="81" t="s">
        <v>1364</v>
      </c>
      <c r="F782" s="82" t="s">
        <v>1451</v>
      </c>
      <c r="G782" s="35" t="s">
        <v>837</v>
      </c>
      <c r="H782" s="37">
        <v>-17.776929151971498</v>
      </c>
      <c r="I782" s="37">
        <v>-12.247070380042597</v>
      </c>
      <c r="J782" s="83" t="s">
        <v>2451</v>
      </c>
      <c r="K782" s="35">
        <v>28.8</v>
      </c>
      <c r="L782" s="79">
        <v>55.0</v>
      </c>
      <c r="M782" s="84">
        <v>29.0</v>
      </c>
      <c r="N782" s="84">
        <v>7.0</v>
      </c>
      <c r="O782" s="85">
        <v>-2.4054892111914374</v>
      </c>
      <c r="P782" s="85">
        <v>-2.1078380044003917</v>
      </c>
      <c r="Q782" s="85">
        <v>-1.2775371115405951</v>
      </c>
      <c r="R782" s="85">
        <v>-2.241507696721341</v>
      </c>
      <c r="S782" s="85">
        <v>-1.72461069241107</v>
      </c>
      <c r="T782" s="85">
        <v>-0.7871777123417198</v>
      </c>
      <c r="U782" s="85">
        <v>-3.2902760110763016</v>
      </c>
      <c r="V782" s="85">
        <v>0.0</v>
      </c>
      <c r="W782" s="85">
        <v>-2.3744204408976257</v>
      </c>
      <c r="X782" s="85">
        <v>-1.5680722713910136</v>
      </c>
      <c r="Y782" s="50" t="s">
        <v>69</v>
      </c>
      <c r="Z782" s="50" t="s">
        <v>69</v>
      </c>
      <c r="AA782" s="50" t="s">
        <v>69</v>
      </c>
      <c r="AB782" s="50" t="s">
        <v>69</v>
      </c>
      <c r="AC782" s="34" t="str">
        <f t="shared" ref="AC782:AP782" si="782">LET(
  skater, IFERROR(INDEX(AllProj, MATCH($E782, AllProjNames, 0), MATCH(AC$2, AllProjCats, 0) + 1), ""),
  goalie, IFERROR(INDEX(AllGProj, MATCH($E782, AllGProjNames, 0), MATCH(AC$2, AllGProjCats, 0) + 1), ""),
  val, IF(skater &lt;&gt; "", skater, goalie),
  IF(OR($E782="", AC$2="", val=""), "", val * AC$1)
)</f>
        <v/>
      </c>
      <c r="AD782" s="34" t="str">
        <f t="shared" si="782"/>
        <v/>
      </c>
      <c r="AE782" s="34" t="str">
        <f t="shared" si="782"/>
        <v/>
      </c>
      <c r="AF782" s="34" t="str">
        <f t="shared" si="782"/>
        <v/>
      </c>
      <c r="AG782" s="34" t="str">
        <f t="shared" si="782"/>
        <v/>
      </c>
      <c r="AH782" s="34" t="str">
        <f t="shared" si="782"/>
        <v/>
      </c>
      <c r="AI782" s="34" t="str">
        <f t="shared" si="782"/>
        <v/>
      </c>
      <c r="AJ782" s="34" t="str">
        <f t="shared" si="782"/>
        <v/>
      </c>
      <c r="AK782" s="34" t="str">
        <f t="shared" si="782"/>
        <v/>
      </c>
      <c r="AL782" s="34" t="str">
        <f t="shared" si="782"/>
        <v/>
      </c>
      <c r="AM782" s="34" t="str">
        <f t="shared" si="782"/>
        <v/>
      </c>
      <c r="AN782" s="34" t="str">
        <f t="shared" si="782"/>
        <v/>
      </c>
      <c r="AO782" s="34" t="str">
        <f t="shared" si="782"/>
        <v/>
      </c>
      <c r="AP782" s="34" t="str">
        <f t="shared" si="782"/>
        <v/>
      </c>
      <c r="AQ782" s="76" t="s">
        <v>823</v>
      </c>
      <c r="AR782" s="77"/>
      <c r="AS782" s="77"/>
      <c r="AT782" s="77"/>
      <c r="AU782" s="77"/>
      <c r="AV782" s="77"/>
      <c r="AW782" s="77"/>
      <c r="AX782" s="77"/>
      <c r="AY782" s="77"/>
      <c r="AZ782" s="77"/>
      <c r="BA782" s="77"/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8"/>
    </row>
    <row r="783">
      <c r="A783" s="100" t="s">
        <v>69</v>
      </c>
      <c r="B783" s="100" t="b">
        <v>0</v>
      </c>
      <c r="C783" s="100" t="b">
        <v>0</v>
      </c>
      <c r="D783" s="42"/>
      <c r="E783" s="43"/>
      <c r="F783" s="101"/>
      <c r="G783" s="102"/>
      <c r="H783" s="103"/>
      <c r="I783" s="103"/>
      <c r="J783" s="104"/>
      <c r="K783" s="102"/>
      <c r="L783" s="102"/>
      <c r="M783" s="105"/>
      <c r="N783" s="105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  <c r="AL783" s="70"/>
      <c r="AM783" s="70"/>
      <c r="AN783" s="70"/>
      <c r="AO783" s="70"/>
      <c r="AP783" s="70"/>
      <c r="AQ783" s="77"/>
      <c r="AR783" s="77"/>
      <c r="AS783" s="77"/>
      <c r="AT783" s="77"/>
      <c r="AU783" s="77"/>
      <c r="AV783" s="77"/>
      <c r="AW783" s="77"/>
      <c r="AX783" s="77"/>
      <c r="AY783" s="77"/>
      <c r="AZ783" s="77"/>
      <c r="BA783" s="77"/>
      <c r="BB783" s="77"/>
      <c r="BC783" s="77"/>
      <c r="BD783" s="77"/>
      <c r="BE783" s="77"/>
      <c r="BF783" s="77"/>
      <c r="BG783" s="77"/>
      <c r="BH783" s="77"/>
      <c r="BI783" s="77"/>
      <c r="BJ783" s="77"/>
      <c r="BK783" s="77"/>
      <c r="BL783" s="77"/>
      <c r="BM783" s="77"/>
    </row>
    <row r="784">
      <c r="A784" s="99" t="s">
        <v>69</v>
      </c>
      <c r="B784" s="99" t="b">
        <v>0</v>
      </c>
      <c r="C784" s="99" t="b">
        <v>0</v>
      </c>
      <c r="D784" s="80"/>
      <c r="E784" s="81"/>
      <c r="F784" s="106"/>
      <c r="G784" s="107"/>
      <c r="H784" s="108"/>
      <c r="I784" s="108"/>
      <c r="J784" s="109"/>
      <c r="K784" s="107"/>
      <c r="L784" s="107"/>
      <c r="M784" s="110"/>
      <c r="N784" s="110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7"/>
      <c r="AR784" s="77"/>
      <c r="AS784" s="77"/>
      <c r="AT784" s="77"/>
      <c r="AU784" s="77"/>
      <c r="AV784" s="77"/>
      <c r="AW784" s="77"/>
      <c r="AX784" s="77"/>
      <c r="AY784" s="77"/>
      <c r="AZ784" s="77"/>
      <c r="BA784" s="77"/>
      <c r="BB784" s="77"/>
      <c r="BC784" s="77"/>
      <c r="BD784" s="77"/>
      <c r="BE784" s="77"/>
      <c r="BF784" s="77"/>
      <c r="BG784" s="77"/>
      <c r="BH784" s="77"/>
      <c r="BI784" s="77"/>
      <c r="BJ784" s="77"/>
      <c r="BK784" s="77"/>
      <c r="BL784" s="77"/>
      <c r="BM784" s="77"/>
    </row>
    <row r="785">
      <c r="A785" s="100" t="s">
        <v>69</v>
      </c>
      <c r="B785" s="100" t="b">
        <v>0</v>
      </c>
      <c r="C785" s="100" t="b">
        <v>0</v>
      </c>
      <c r="D785" s="42"/>
      <c r="E785" s="43"/>
      <c r="F785" s="101"/>
      <c r="G785" s="102"/>
      <c r="H785" s="103"/>
      <c r="I785" s="103"/>
      <c r="J785" s="104"/>
      <c r="K785" s="102"/>
      <c r="L785" s="102"/>
      <c r="M785" s="105"/>
      <c r="N785" s="105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70"/>
      <c r="AL785" s="70"/>
      <c r="AM785" s="70"/>
      <c r="AN785" s="70"/>
      <c r="AO785" s="70"/>
      <c r="AP785" s="70"/>
      <c r="AQ785" s="77"/>
      <c r="AR785" s="77"/>
      <c r="AS785" s="77"/>
      <c r="AT785" s="77"/>
      <c r="AU785" s="77"/>
      <c r="AV785" s="77"/>
      <c r="AW785" s="77"/>
      <c r="AX785" s="77"/>
      <c r="AY785" s="77"/>
      <c r="AZ785" s="77"/>
      <c r="BA785" s="77"/>
      <c r="BB785" s="77"/>
      <c r="BC785" s="77"/>
      <c r="BD785" s="77"/>
      <c r="BE785" s="77"/>
      <c r="BF785" s="77"/>
      <c r="BG785" s="77"/>
      <c r="BH785" s="77"/>
      <c r="BI785" s="77"/>
      <c r="BJ785" s="77"/>
      <c r="BK785" s="77"/>
      <c r="BL785" s="77"/>
      <c r="BM785" s="77"/>
    </row>
    <row r="786">
      <c r="A786" s="99" t="s">
        <v>69</v>
      </c>
      <c r="B786" s="99" t="b">
        <v>0</v>
      </c>
      <c r="C786" s="99" t="b">
        <v>0</v>
      </c>
      <c r="D786" s="80"/>
      <c r="E786" s="81"/>
      <c r="F786" s="106"/>
      <c r="G786" s="107"/>
      <c r="H786" s="108"/>
      <c r="I786" s="108"/>
      <c r="J786" s="109"/>
      <c r="K786" s="107"/>
      <c r="L786" s="107"/>
      <c r="M786" s="110"/>
      <c r="N786" s="110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70"/>
      <c r="AL786" s="70"/>
      <c r="AM786" s="70"/>
      <c r="AN786" s="70"/>
      <c r="AO786" s="70"/>
      <c r="AP786" s="70"/>
      <c r="AQ786" s="77"/>
      <c r="AR786" s="77"/>
      <c r="AS786" s="77"/>
      <c r="AT786" s="77"/>
      <c r="AU786" s="77"/>
      <c r="AV786" s="77"/>
      <c r="AW786" s="77"/>
      <c r="AX786" s="77"/>
      <c r="AY786" s="77"/>
      <c r="AZ786" s="77"/>
      <c r="BA786" s="77"/>
      <c r="BB786" s="77"/>
      <c r="BC786" s="77"/>
      <c r="BD786" s="77"/>
      <c r="BE786" s="77"/>
      <c r="BF786" s="77"/>
      <c r="BG786" s="77"/>
      <c r="BH786" s="77"/>
      <c r="BI786" s="77"/>
      <c r="BJ786" s="77"/>
      <c r="BK786" s="77"/>
      <c r="BL786" s="77"/>
      <c r="BM786" s="77"/>
    </row>
    <row r="787">
      <c r="A787" s="100" t="s">
        <v>69</v>
      </c>
      <c r="B787" s="100" t="b">
        <v>0</v>
      </c>
      <c r="C787" s="100" t="b">
        <v>0</v>
      </c>
      <c r="D787" s="42"/>
      <c r="E787" s="43"/>
      <c r="F787" s="101"/>
      <c r="G787" s="102"/>
      <c r="H787" s="103"/>
      <c r="I787" s="103"/>
      <c r="J787" s="104"/>
      <c r="K787" s="102"/>
      <c r="L787" s="102"/>
      <c r="M787" s="105"/>
      <c r="N787" s="105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70"/>
      <c r="AL787" s="70"/>
      <c r="AM787" s="70"/>
      <c r="AN787" s="70"/>
      <c r="AO787" s="70"/>
      <c r="AP787" s="70"/>
      <c r="AQ787" s="77"/>
      <c r="AR787" s="77"/>
      <c r="AS787" s="77"/>
      <c r="AT787" s="77"/>
      <c r="AU787" s="77"/>
      <c r="AV787" s="77"/>
      <c r="AW787" s="77"/>
      <c r="AX787" s="77"/>
      <c r="AY787" s="77"/>
      <c r="AZ787" s="77"/>
      <c r="BA787" s="77"/>
      <c r="BB787" s="77"/>
      <c r="BC787" s="77"/>
      <c r="BD787" s="77"/>
      <c r="BE787" s="77"/>
      <c r="BF787" s="77"/>
      <c r="BG787" s="77"/>
      <c r="BH787" s="77"/>
      <c r="BI787" s="77"/>
      <c r="BJ787" s="77"/>
      <c r="BK787" s="77"/>
      <c r="BL787" s="77"/>
      <c r="BM787" s="77"/>
    </row>
    <row r="788">
      <c r="A788" s="99" t="s">
        <v>69</v>
      </c>
      <c r="B788" s="99" t="b">
        <v>0</v>
      </c>
      <c r="C788" s="99" t="b">
        <v>0</v>
      </c>
      <c r="D788" s="80"/>
      <c r="E788" s="81"/>
      <c r="F788" s="106"/>
      <c r="G788" s="107"/>
      <c r="H788" s="108"/>
      <c r="I788" s="108"/>
      <c r="J788" s="109"/>
      <c r="K788" s="107"/>
      <c r="L788" s="107"/>
      <c r="M788" s="110"/>
      <c r="N788" s="110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  <c r="AL788" s="70"/>
      <c r="AM788" s="70"/>
      <c r="AN788" s="70"/>
      <c r="AO788" s="70"/>
      <c r="AP788" s="70"/>
      <c r="AQ788" s="77"/>
      <c r="AR788" s="77"/>
      <c r="AS788" s="77"/>
      <c r="AT788" s="77"/>
      <c r="AU788" s="77"/>
      <c r="AV788" s="77"/>
      <c r="AW788" s="77"/>
      <c r="AX788" s="77"/>
      <c r="AY788" s="77"/>
      <c r="AZ788" s="77"/>
      <c r="BA788" s="77"/>
      <c r="BB788" s="77"/>
      <c r="BC788" s="77"/>
      <c r="BD788" s="77"/>
      <c r="BE788" s="77"/>
      <c r="BF788" s="77"/>
      <c r="BG788" s="77"/>
      <c r="BH788" s="77"/>
      <c r="BI788" s="77"/>
      <c r="BJ788" s="77"/>
      <c r="BK788" s="77"/>
      <c r="BL788" s="77"/>
      <c r="BM788" s="77"/>
    </row>
    <row r="789">
      <c r="A789" s="100" t="s">
        <v>69</v>
      </c>
      <c r="B789" s="100" t="b">
        <v>0</v>
      </c>
      <c r="C789" s="100" t="b">
        <v>0</v>
      </c>
      <c r="D789" s="42"/>
      <c r="E789" s="43"/>
      <c r="F789" s="101"/>
      <c r="G789" s="102"/>
      <c r="H789" s="103"/>
      <c r="I789" s="103"/>
      <c r="J789" s="104"/>
      <c r="K789" s="102"/>
      <c r="L789" s="102"/>
      <c r="M789" s="105"/>
      <c r="N789" s="105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  <c r="AL789" s="70"/>
      <c r="AM789" s="70"/>
      <c r="AN789" s="70"/>
      <c r="AO789" s="70"/>
      <c r="AP789" s="70"/>
      <c r="AQ789" s="77"/>
      <c r="AR789" s="77"/>
      <c r="AS789" s="77"/>
      <c r="AT789" s="77"/>
      <c r="AU789" s="77"/>
      <c r="AV789" s="77"/>
      <c r="AW789" s="77"/>
      <c r="AX789" s="77"/>
      <c r="AY789" s="77"/>
      <c r="AZ789" s="77"/>
      <c r="BA789" s="77"/>
      <c r="BB789" s="77"/>
      <c r="BC789" s="77"/>
      <c r="BD789" s="77"/>
      <c r="BE789" s="77"/>
      <c r="BF789" s="77"/>
      <c r="BG789" s="77"/>
      <c r="BH789" s="77"/>
      <c r="BI789" s="77"/>
      <c r="BJ789" s="77"/>
      <c r="BK789" s="77"/>
      <c r="BL789" s="77"/>
      <c r="BM789" s="77"/>
    </row>
    <row r="790">
      <c r="A790" s="99" t="s">
        <v>69</v>
      </c>
      <c r="B790" s="99" t="b">
        <v>0</v>
      </c>
      <c r="C790" s="99" t="b">
        <v>0</v>
      </c>
      <c r="D790" s="80"/>
      <c r="E790" s="81"/>
      <c r="F790" s="106"/>
      <c r="G790" s="107"/>
      <c r="H790" s="108"/>
      <c r="I790" s="108"/>
      <c r="J790" s="109"/>
      <c r="K790" s="107"/>
      <c r="L790" s="107"/>
      <c r="M790" s="110"/>
      <c r="N790" s="110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  <c r="AL790" s="70"/>
      <c r="AM790" s="70"/>
      <c r="AN790" s="70"/>
      <c r="AO790" s="70"/>
      <c r="AP790" s="70"/>
      <c r="AQ790" s="77"/>
      <c r="AR790" s="77"/>
      <c r="AS790" s="77"/>
      <c r="AT790" s="77"/>
      <c r="AU790" s="77"/>
      <c r="AV790" s="77"/>
      <c r="AW790" s="77"/>
      <c r="AX790" s="77"/>
      <c r="AY790" s="77"/>
      <c r="AZ790" s="77"/>
      <c r="BA790" s="77"/>
      <c r="BB790" s="77"/>
      <c r="BC790" s="77"/>
      <c r="BD790" s="77"/>
      <c r="BE790" s="77"/>
      <c r="BF790" s="77"/>
      <c r="BG790" s="77"/>
      <c r="BH790" s="77"/>
      <c r="BI790" s="77"/>
      <c r="BJ790" s="77"/>
      <c r="BK790" s="77"/>
      <c r="BL790" s="77"/>
      <c r="BM790" s="77"/>
    </row>
    <row r="791">
      <c r="A791" s="100" t="s">
        <v>69</v>
      </c>
      <c r="B791" s="100" t="b">
        <v>0</v>
      </c>
      <c r="C791" s="100" t="b">
        <v>0</v>
      </c>
      <c r="D791" s="42"/>
      <c r="E791" s="43"/>
      <c r="F791" s="101"/>
      <c r="G791" s="102"/>
      <c r="H791" s="103"/>
      <c r="I791" s="103"/>
      <c r="J791" s="104"/>
      <c r="K791" s="102"/>
      <c r="L791" s="102"/>
      <c r="M791" s="105"/>
      <c r="N791" s="105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/>
      <c r="AL791" s="70"/>
      <c r="AM791" s="70"/>
      <c r="AN791" s="70"/>
      <c r="AO791" s="70"/>
      <c r="AP791" s="70"/>
      <c r="AQ791" s="77"/>
      <c r="AR791" s="77"/>
      <c r="AS791" s="77"/>
      <c r="AT791" s="77"/>
      <c r="AU791" s="77"/>
      <c r="AV791" s="77"/>
      <c r="AW791" s="77"/>
      <c r="AX791" s="77"/>
      <c r="AY791" s="77"/>
      <c r="AZ791" s="77"/>
      <c r="BA791" s="77"/>
      <c r="BB791" s="77"/>
      <c r="BC791" s="77"/>
      <c r="BD791" s="77"/>
      <c r="BE791" s="77"/>
      <c r="BF791" s="77"/>
      <c r="BG791" s="77"/>
      <c r="BH791" s="77"/>
      <c r="BI791" s="77"/>
      <c r="BJ791" s="77"/>
      <c r="BK791" s="77"/>
      <c r="BL791" s="77"/>
      <c r="BM791" s="77"/>
    </row>
    <row r="792">
      <c r="A792" s="99" t="s">
        <v>69</v>
      </c>
      <c r="B792" s="99" t="b">
        <v>0</v>
      </c>
      <c r="C792" s="99" t="b">
        <v>0</v>
      </c>
      <c r="D792" s="80"/>
      <c r="E792" s="81"/>
      <c r="F792" s="106"/>
      <c r="G792" s="107"/>
      <c r="H792" s="108"/>
      <c r="I792" s="108"/>
      <c r="J792" s="109"/>
      <c r="K792" s="107"/>
      <c r="L792" s="107"/>
      <c r="M792" s="110"/>
      <c r="N792" s="110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/>
      <c r="AL792" s="70"/>
      <c r="AM792" s="70"/>
      <c r="AN792" s="70"/>
      <c r="AO792" s="70"/>
      <c r="AP792" s="70"/>
      <c r="AQ792" s="77"/>
      <c r="AR792" s="77"/>
      <c r="AS792" s="77"/>
      <c r="AT792" s="77"/>
      <c r="AU792" s="77"/>
      <c r="AV792" s="77"/>
      <c r="AW792" s="77"/>
      <c r="AX792" s="77"/>
      <c r="AY792" s="77"/>
      <c r="AZ792" s="77"/>
      <c r="BA792" s="77"/>
      <c r="BB792" s="77"/>
      <c r="BC792" s="77"/>
      <c r="BD792" s="77"/>
      <c r="BE792" s="77"/>
      <c r="BF792" s="77"/>
      <c r="BG792" s="77"/>
      <c r="BH792" s="77"/>
      <c r="BI792" s="77"/>
      <c r="BJ792" s="77"/>
      <c r="BK792" s="77"/>
      <c r="BL792" s="77"/>
      <c r="BM792" s="77"/>
    </row>
    <row r="793">
      <c r="A793" s="100" t="s">
        <v>69</v>
      </c>
      <c r="B793" s="100" t="b">
        <v>0</v>
      </c>
      <c r="C793" s="100" t="b">
        <v>0</v>
      </c>
      <c r="D793" s="42"/>
      <c r="E793" s="43"/>
      <c r="F793" s="101"/>
      <c r="G793" s="102"/>
      <c r="H793" s="103"/>
      <c r="I793" s="103"/>
      <c r="J793" s="104"/>
      <c r="K793" s="102"/>
      <c r="L793" s="102"/>
      <c r="M793" s="105"/>
      <c r="N793" s="105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  <c r="AK793" s="70"/>
      <c r="AL793" s="70"/>
      <c r="AM793" s="70"/>
      <c r="AN793" s="70"/>
      <c r="AO793" s="70"/>
      <c r="AP793" s="70"/>
      <c r="AQ793" s="77"/>
      <c r="AR793" s="77"/>
      <c r="AS793" s="77"/>
      <c r="AT793" s="77"/>
      <c r="AU793" s="77"/>
      <c r="AV793" s="77"/>
      <c r="AW793" s="77"/>
      <c r="AX793" s="77"/>
      <c r="AY793" s="77"/>
      <c r="AZ793" s="77"/>
      <c r="BA793" s="77"/>
      <c r="BB793" s="77"/>
      <c r="BC793" s="77"/>
      <c r="BD793" s="77"/>
      <c r="BE793" s="77"/>
      <c r="BF793" s="77"/>
      <c r="BG793" s="77"/>
      <c r="BH793" s="77"/>
      <c r="BI793" s="77"/>
      <c r="BJ793" s="77"/>
      <c r="BK793" s="77"/>
      <c r="BL793" s="77"/>
      <c r="BM793" s="77"/>
    </row>
    <row r="794">
      <c r="A794" s="99" t="s">
        <v>69</v>
      </c>
      <c r="B794" s="99" t="b">
        <v>0</v>
      </c>
      <c r="C794" s="99" t="b">
        <v>0</v>
      </c>
      <c r="D794" s="80"/>
      <c r="E794" s="81"/>
      <c r="F794" s="106"/>
      <c r="G794" s="107"/>
      <c r="H794" s="108"/>
      <c r="I794" s="108"/>
      <c r="J794" s="109"/>
      <c r="K794" s="107"/>
      <c r="L794" s="107"/>
      <c r="M794" s="110"/>
      <c r="N794" s="110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7"/>
      <c r="AR794" s="77"/>
      <c r="AS794" s="77"/>
      <c r="AT794" s="77"/>
      <c r="AU794" s="77"/>
      <c r="AV794" s="77"/>
      <c r="AW794" s="77"/>
      <c r="AX794" s="77"/>
      <c r="AY794" s="77"/>
      <c r="AZ794" s="77"/>
      <c r="BA794" s="77"/>
      <c r="BB794" s="77"/>
      <c r="BC794" s="77"/>
      <c r="BD794" s="77"/>
      <c r="BE794" s="77"/>
      <c r="BF794" s="77"/>
      <c r="BG794" s="77"/>
      <c r="BH794" s="77"/>
      <c r="BI794" s="77"/>
      <c r="BJ794" s="77"/>
      <c r="BK794" s="77"/>
      <c r="BL794" s="77"/>
      <c r="BM794" s="77"/>
    </row>
    <row r="795">
      <c r="A795" s="100" t="s">
        <v>69</v>
      </c>
      <c r="B795" s="100" t="b">
        <v>0</v>
      </c>
      <c r="C795" s="100" t="b">
        <v>0</v>
      </c>
      <c r="D795" s="42"/>
      <c r="E795" s="43"/>
      <c r="F795" s="101"/>
      <c r="G795" s="102"/>
      <c r="H795" s="103"/>
      <c r="I795" s="103"/>
      <c r="J795" s="104"/>
      <c r="K795" s="102"/>
      <c r="L795" s="102"/>
      <c r="M795" s="105"/>
      <c r="N795" s="105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  <c r="AK795" s="70"/>
      <c r="AL795" s="70"/>
      <c r="AM795" s="70"/>
      <c r="AN795" s="70"/>
      <c r="AO795" s="70"/>
      <c r="AP795" s="70"/>
      <c r="AQ795" s="77"/>
      <c r="AR795" s="77"/>
      <c r="AS795" s="77"/>
      <c r="AT795" s="77"/>
      <c r="AU795" s="77"/>
      <c r="AV795" s="77"/>
      <c r="AW795" s="77"/>
      <c r="AX795" s="77"/>
      <c r="AY795" s="77"/>
      <c r="AZ795" s="77"/>
      <c r="BA795" s="77"/>
      <c r="BB795" s="77"/>
      <c r="BC795" s="77"/>
      <c r="BD795" s="77"/>
      <c r="BE795" s="77"/>
      <c r="BF795" s="77"/>
      <c r="BG795" s="77"/>
      <c r="BH795" s="77"/>
      <c r="BI795" s="77"/>
      <c r="BJ795" s="77"/>
      <c r="BK795" s="77"/>
      <c r="BL795" s="77"/>
      <c r="BM795" s="77"/>
    </row>
    <row r="796">
      <c r="A796" s="99" t="s">
        <v>69</v>
      </c>
      <c r="B796" s="99" t="b">
        <v>0</v>
      </c>
      <c r="C796" s="99" t="b">
        <v>0</v>
      </c>
      <c r="D796" s="80"/>
      <c r="E796" s="81"/>
      <c r="F796" s="106"/>
      <c r="G796" s="107"/>
      <c r="H796" s="108"/>
      <c r="I796" s="108"/>
      <c r="J796" s="109"/>
      <c r="K796" s="107"/>
      <c r="L796" s="107"/>
      <c r="M796" s="110"/>
      <c r="N796" s="110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  <c r="AK796" s="70"/>
      <c r="AL796" s="70"/>
      <c r="AM796" s="70"/>
      <c r="AN796" s="70"/>
      <c r="AO796" s="70"/>
      <c r="AP796" s="70"/>
      <c r="AQ796" s="77"/>
      <c r="AR796" s="77"/>
      <c r="AS796" s="77"/>
      <c r="AT796" s="77"/>
      <c r="AU796" s="77"/>
      <c r="AV796" s="77"/>
      <c r="AW796" s="77"/>
      <c r="AX796" s="77"/>
      <c r="AY796" s="77"/>
      <c r="AZ796" s="77"/>
      <c r="BA796" s="77"/>
      <c r="BB796" s="77"/>
      <c r="BC796" s="77"/>
      <c r="BD796" s="77"/>
      <c r="BE796" s="77"/>
      <c r="BF796" s="77"/>
      <c r="BG796" s="77"/>
      <c r="BH796" s="77"/>
      <c r="BI796" s="77"/>
      <c r="BJ796" s="77"/>
      <c r="BK796" s="77"/>
      <c r="BL796" s="77"/>
      <c r="BM796" s="77"/>
    </row>
    <row r="797">
      <c r="A797" s="100" t="s">
        <v>69</v>
      </c>
      <c r="B797" s="100" t="b">
        <v>0</v>
      </c>
      <c r="C797" s="100" t="b">
        <v>0</v>
      </c>
      <c r="D797" s="42"/>
      <c r="E797" s="43"/>
      <c r="F797" s="101"/>
      <c r="G797" s="102"/>
      <c r="H797" s="103"/>
      <c r="I797" s="103"/>
      <c r="J797" s="104"/>
      <c r="K797" s="102"/>
      <c r="L797" s="102"/>
      <c r="M797" s="105"/>
      <c r="N797" s="105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  <c r="AK797" s="70"/>
      <c r="AL797" s="70"/>
      <c r="AM797" s="70"/>
      <c r="AN797" s="70"/>
      <c r="AO797" s="70"/>
      <c r="AP797" s="70"/>
      <c r="AQ797" s="77"/>
      <c r="AR797" s="77"/>
      <c r="AS797" s="77"/>
      <c r="AT797" s="77"/>
      <c r="AU797" s="77"/>
      <c r="AV797" s="77"/>
      <c r="AW797" s="77"/>
      <c r="AX797" s="77"/>
      <c r="AY797" s="77"/>
      <c r="AZ797" s="77"/>
      <c r="BA797" s="77"/>
      <c r="BB797" s="77"/>
      <c r="BC797" s="77"/>
      <c r="BD797" s="77"/>
      <c r="BE797" s="77"/>
      <c r="BF797" s="77"/>
      <c r="BG797" s="77"/>
      <c r="BH797" s="77"/>
      <c r="BI797" s="77"/>
      <c r="BJ797" s="77"/>
      <c r="BK797" s="77"/>
      <c r="BL797" s="77"/>
      <c r="BM797" s="77"/>
    </row>
    <row r="798">
      <c r="A798" s="99" t="s">
        <v>69</v>
      </c>
      <c r="B798" s="99" t="b">
        <v>0</v>
      </c>
      <c r="C798" s="99" t="b">
        <v>0</v>
      </c>
      <c r="D798" s="80"/>
      <c r="E798" s="81"/>
      <c r="F798" s="106"/>
      <c r="G798" s="107"/>
      <c r="H798" s="108"/>
      <c r="I798" s="108"/>
      <c r="J798" s="109"/>
      <c r="K798" s="107"/>
      <c r="L798" s="107"/>
      <c r="M798" s="110"/>
      <c r="N798" s="110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  <c r="AK798" s="70"/>
      <c r="AL798" s="70"/>
      <c r="AM798" s="70"/>
      <c r="AN798" s="70"/>
      <c r="AO798" s="70"/>
      <c r="AP798" s="70"/>
      <c r="AQ798" s="77"/>
      <c r="AR798" s="77"/>
      <c r="AS798" s="77"/>
      <c r="AT798" s="77"/>
      <c r="AU798" s="77"/>
      <c r="AV798" s="77"/>
      <c r="AW798" s="77"/>
      <c r="AX798" s="77"/>
      <c r="AY798" s="77"/>
      <c r="AZ798" s="77"/>
      <c r="BA798" s="77"/>
      <c r="BB798" s="77"/>
      <c r="BC798" s="77"/>
      <c r="BD798" s="77"/>
      <c r="BE798" s="77"/>
      <c r="BF798" s="77"/>
      <c r="BG798" s="77"/>
      <c r="BH798" s="77"/>
      <c r="BI798" s="77"/>
      <c r="BJ798" s="77"/>
      <c r="BK798" s="77"/>
      <c r="BL798" s="77"/>
      <c r="BM798" s="77"/>
    </row>
    <row r="799">
      <c r="A799" s="100" t="s">
        <v>69</v>
      </c>
      <c r="B799" s="100" t="b">
        <v>0</v>
      </c>
      <c r="C799" s="100" t="b">
        <v>0</v>
      </c>
      <c r="D799" s="42"/>
      <c r="E799" s="43"/>
      <c r="F799" s="101"/>
      <c r="G799" s="102"/>
      <c r="H799" s="103"/>
      <c r="I799" s="103"/>
      <c r="J799" s="104"/>
      <c r="K799" s="102"/>
      <c r="L799" s="102"/>
      <c r="M799" s="105"/>
      <c r="N799" s="105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  <c r="AK799" s="70"/>
      <c r="AL799" s="70"/>
      <c r="AM799" s="70"/>
      <c r="AN799" s="70"/>
      <c r="AO799" s="70"/>
      <c r="AP799" s="70"/>
      <c r="AQ799" s="77"/>
      <c r="AR799" s="77"/>
      <c r="AS799" s="77"/>
      <c r="AT799" s="77"/>
      <c r="AU799" s="77"/>
      <c r="AV799" s="77"/>
      <c r="AW799" s="77"/>
      <c r="AX799" s="77"/>
      <c r="AY799" s="77"/>
      <c r="AZ799" s="77"/>
      <c r="BA799" s="77"/>
      <c r="BB799" s="77"/>
      <c r="BC799" s="77"/>
      <c r="BD799" s="77"/>
      <c r="BE799" s="77"/>
      <c r="BF799" s="77"/>
      <c r="BG799" s="77"/>
      <c r="BH799" s="77"/>
      <c r="BI799" s="77"/>
      <c r="BJ799" s="77"/>
      <c r="BK799" s="77"/>
      <c r="BL799" s="77"/>
      <c r="BM799" s="77"/>
    </row>
    <row r="800">
      <c r="A800" s="99" t="s">
        <v>69</v>
      </c>
      <c r="B800" s="99" t="b">
        <v>0</v>
      </c>
      <c r="C800" s="99" t="b">
        <v>0</v>
      </c>
      <c r="D800" s="80"/>
      <c r="E800" s="81"/>
      <c r="F800" s="106"/>
      <c r="G800" s="107"/>
      <c r="H800" s="108"/>
      <c r="I800" s="108"/>
      <c r="J800" s="109"/>
      <c r="K800" s="107"/>
      <c r="L800" s="107"/>
      <c r="M800" s="110"/>
      <c r="N800" s="110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  <c r="AK800" s="70"/>
      <c r="AL800" s="70"/>
      <c r="AM800" s="70"/>
      <c r="AN800" s="70"/>
      <c r="AO800" s="70"/>
      <c r="AP800" s="70"/>
      <c r="AQ800" s="77"/>
      <c r="AR800" s="77"/>
      <c r="AS800" s="77"/>
      <c r="AT800" s="77"/>
      <c r="AU800" s="77"/>
      <c r="AV800" s="77"/>
      <c r="AW800" s="77"/>
      <c r="AX800" s="77"/>
      <c r="AY800" s="77"/>
      <c r="AZ800" s="77"/>
      <c r="BA800" s="77"/>
      <c r="BB800" s="77"/>
      <c r="BC800" s="77"/>
      <c r="BD800" s="77"/>
      <c r="BE800" s="77"/>
      <c r="BF800" s="77"/>
      <c r="BG800" s="77"/>
      <c r="BH800" s="77"/>
      <c r="BI800" s="77"/>
      <c r="BJ800" s="77"/>
      <c r="BK800" s="77"/>
      <c r="BL800" s="77"/>
      <c r="BM800" s="77"/>
    </row>
    <row r="801">
      <c r="A801" s="100" t="s">
        <v>69</v>
      </c>
      <c r="B801" s="100" t="b">
        <v>0</v>
      </c>
      <c r="C801" s="100" t="b">
        <v>0</v>
      </c>
      <c r="D801" s="42"/>
      <c r="E801" s="43"/>
      <c r="F801" s="101"/>
      <c r="G801" s="102"/>
      <c r="H801" s="103"/>
      <c r="I801" s="103"/>
      <c r="J801" s="104"/>
      <c r="K801" s="102"/>
      <c r="L801" s="102"/>
      <c r="M801" s="105"/>
      <c r="N801" s="105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  <c r="AL801" s="70"/>
      <c r="AM801" s="70"/>
      <c r="AN801" s="70"/>
      <c r="AO801" s="70"/>
      <c r="AP801" s="70"/>
      <c r="AQ801" s="77"/>
      <c r="AR801" s="77"/>
      <c r="AS801" s="77"/>
      <c r="AT801" s="77"/>
      <c r="AU801" s="77"/>
      <c r="AV801" s="77"/>
      <c r="AW801" s="77"/>
      <c r="AX801" s="77"/>
      <c r="AY801" s="77"/>
      <c r="AZ801" s="77"/>
      <c r="BA801" s="77"/>
      <c r="BB801" s="77"/>
      <c r="BC801" s="77"/>
      <c r="BD801" s="77"/>
      <c r="BE801" s="77"/>
      <c r="BF801" s="77"/>
      <c r="BG801" s="77"/>
      <c r="BH801" s="77"/>
      <c r="BI801" s="77"/>
      <c r="BJ801" s="77"/>
      <c r="BK801" s="77"/>
      <c r="BL801" s="77"/>
      <c r="BM801" s="77"/>
    </row>
    <row r="802">
      <c r="A802" s="99" t="s">
        <v>69</v>
      </c>
      <c r="B802" s="99" t="b">
        <v>0</v>
      </c>
      <c r="C802" s="99" t="b">
        <v>0</v>
      </c>
      <c r="D802" s="80"/>
      <c r="E802" s="81"/>
      <c r="F802" s="106"/>
      <c r="G802" s="107"/>
      <c r="H802" s="108"/>
      <c r="I802" s="108"/>
      <c r="J802" s="109"/>
      <c r="K802" s="107"/>
      <c r="L802" s="107"/>
      <c r="M802" s="110"/>
      <c r="N802" s="110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  <c r="AK802" s="70"/>
      <c r="AL802" s="70"/>
      <c r="AM802" s="70"/>
      <c r="AN802" s="70"/>
      <c r="AO802" s="70"/>
      <c r="AP802" s="70"/>
      <c r="AQ802" s="77"/>
      <c r="AR802" s="77"/>
      <c r="AS802" s="77"/>
      <c r="AT802" s="77"/>
      <c r="AU802" s="77"/>
      <c r="AV802" s="77"/>
      <c r="AW802" s="77"/>
      <c r="AX802" s="77"/>
      <c r="AY802" s="77"/>
      <c r="AZ802" s="77"/>
      <c r="BA802" s="77"/>
      <c r="BB802" s="77"/>
      <c r="BC802" s="77"/>
      <c r="BD802" s="77"/>
      <c r="BE802" s="77"/>
      <c r="BF802" s="77"/>
      <c r="BG802" s="77"/>
      <c r="BH802" s="77"/>
      <c r="BI802" s="77"/>
      <c r="BJ802" s="77"/>
      <c r="BK802" s="77"/>
      <c r="BL802" s="77"/>
      <c r="BM802" s="77"/>
    </row>
    <row r="803">
      <c r="A803" s="100" t="s">
        <v>69</v>
      </c>
      <c r="B803" s="100" t="b">
        <v>0</v>
      </c>
      <c r="C803" s="100" t="b">
        <v>0</v>
      </c>
      <c r="D803" s="42"/>
      <c r="E803" s="43"/>
      <c r="F803" s="101"/>
      <c r="G803" s="102"/>
      <c r="H803" s="103"/>
      <c r="I803" s="103"/>
      <c r="J803" s="104"/>
      <c r="K803" s="102"/>
      <c r="L803" s="102"/>
      <c r="M803" s="105"/>
      <c r="N803" s="105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  <c r="AK803" s="70"/>
      <c r="AL803" s="70"/>
      <c r="AM803" s="70"/>
      <c r="AN803" s="70"/>
      <c r="AO803" s="70"/>
      <c r="AP803" s="70"/>
      <c r="AQ803" s="77"/>
      <c r="AR803" s="77"/>
      <c r="AS803" s="77"/>
      <c r="AT803" s="77"/>
      <c r="AU803" s="77"/>
      <c r="AV803" s="77"/>
      <c r="AW803" s="77"/>
      <c r="AX803" s="77"/>
      <c r="AY803" s="77"/>
      <c r="AZ803" s="77"/>
      <c r="BA803" s="77"/>
      <c r="BB803" s="77"/>
      <c r="BC803" s="77"/>
      <c r="BD803" s="77"/>
      <c r="BE803" s="77"/>
      <c r="BF803" s="77"/>
      <c r="BG803" s="77"/>
      <c r="BH803" s="77"/>
      <c r="BI803" s="77"/>
      <c r="BJ803" s="77"/>
      <c r="BK803" s="77"/>
      <c r="BL803" s="77"/>
      <c r="BM803" s="77"/>
    </row>
    <row r="804">
      <c r="A804" s="99" t="s">
        <v>69</v>
      </c>
      <c r="B804" s="99" t="b">
        <v>0</v>
      </c>
      <c r="C804" s="99" t="b">
        <v>0</v>
      </c>
      <c r="D804" s="80"/>
      <c r="E804" s="81"/>
      <c r="F804" s="106"/>
      <c r="G804" s="107"/>
      <c r="H804" s="108"/>
      <c r="I804" s="108"/>
      <c r="J804" s="109"/>
      <c r="K804" s="107"/>
      <c r="L804" s="107"/>
      <c r="M804" s="110"/>
      <c r="N804" s="110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  <c r="AK804" s="70"/>
      <c r="AL804" s="70"/>
      <c r="AM804" s="70"/>
      <c r="AN804" s="70"/>
      <c r="AO804" s="70"/>
      <c r="AP804" s="70"/>
      <c r="AQ804" s="77"/>
      <c r="AR804" s="77"/>
      <c r="AS804" s="77"/>
      <c r="AT804" s="77"/>
      <c r="AU804" s="77"/>
      <c r="AV804" s="77"/>
      <c r="AW804" s="77"/>
      <c r="AX804" s="77"/>
      <c r="AY804" s="77"/>
      <c r="AZ804" s="77"/>
      <c r="BA804" s="77"/>
      <c r="BB804" s="77"/>
      <c r="BC804" s="77"/>
      <c r="BD804" s="77"/>
      <c r="BE804" s="77"/>
      <c r="BF804" s="77"/>
      <c r="BG804" s="77"/>
      <c r="BH804" s="77"/>
      <c r="BI804" s="77"/>
      <c r="BJ804" s="77"/>
      <c r="BK804" s="77"/>
      <c r="BL804" s="77"/>
      <c r="BM804" s="77"/>
    </row>
    <row r="805">
      <c r="A805" s="100" t="s">
        <v>69</v>
      </c>
      <c r="B805" s="100" t="b">
        <v>0</v>
      </c>
      <c r="C805" s="100" t="b">
        <v>0</v>
      </c>
      <c r="D805" s="42"/>
      <c r="E805" s="43"/>
      <c r="F805" s="101"/>
      <c r="G805" s="102"/>
      <c r="H805" s="103"/>
      <c r="I805" s="103"/>
      <c r="J805" s="104"/>
      <c r="K805" s="102"/>
      <c r="L805" s="102"/>
      <c r="M805" s="105"/>
      <c r="N805" s="105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  <c r="AK805" s="70"/>
      <c r="AL805" s="70"/>
      <c r="AM805" s="70"/>
      <c r="AN805" s="70"/>
      <c r="AO805" s="70"/>
      <c r="AP805" s="70"/>
      <c r="AQ805" s="77"/>
      <c r="AR805" s="77"/>
      <c r="AS805" s="77"/>
      <c r="AT805" s="77"/>
      <c r="AU805" s="77"/>
      <c r="AV805" s="77"/>
      <c r="AW805" s="77"/>
      <c r="AX805" s="77"/>
      <c r="AY805" s="77"/>
      <c r="AZ805" s="77"/>
      <c r="BA805" s="77"/>
      <c r="BB805" s="77"/>
      <c r="BC805" s="77"/>
      <c r="BD805" s="77"/>
      <c r="BE805" s="77"/>
      <c r="BF805" s="77"/>
      <c r="BG805" s="77"/>
      <c r="BH805" s="77"/>
      <c r="BI805" s="77"/>
      <c r="BJ805" s="77"/>
      <c r="BK805" s="77"/>
      <c r="BL805" s="77"/>
      <c r="BM805" s="77"/>
    </row>
    <row r="806">
      <c r="A806" s="99" t="s">
        <v>69</v>
      </c>
      <c r="B806" s="99" t="b">
        <v>0</v>
      </c>
      <c r="C806" s="99" t="b">
        <v>0</v>
      </c>
      <c r="D806" s="80"/>
      <c r="E806" s="81"/>
      <c r="F806" s="106"/>
      <c r="G806" s="107"/>
      <c r="H806" s="108"/>
      <c r="I806" s="108"/>
      <c r="J806" s="109"/>
      <c r="K806" s="107"/>
      <c r="L806" s="107"/>
      <c r="M806" s="110"/>
      <c r="N806" s="110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  <c r="AK806" s="70"/>
      <c r="AL806" s="70"/>
      <c r="AM806" s="70"/>
      <c r="AN806" s="70"/>
      <c r="AO806" s="70"/>
      <c r="AP806" s="70"/>
      <c r="AQ806" s="77"/>
      <c r="AR806" s="77"/>
      <c r="AS806" s="77"/>
      <c r="AT806" s="77"/>
      <c r="AU806" s="77"/>
      <c r="AV806" s="77"/>
      <c r="AW806" s="77"/>
      <c r="AX806" s="77"/>
      <c r="AY806" s="77"/>
      <c r="AZ806" s="77"/>
      <c r="BA806" s="77"/>
      <c r="BB806" s="77"/>
      <c r="BC806" s="77"/>
      <c r="BD806" s="77"/>
      <c r="BE806" s="77"/>
      <c r="BF806" s="77"/>
      <c r="BG806" s="77"/>
      <c r="BH806" s="77"/>
      <c r="BI806" s="77"/>
      <c r="BJ806" s="77"/>
      <c r="BK806" s="77"/>
      <c r="BL806" s="77"/>
      <c r="BM806" s="77"/>
    </row>
    <row r="807">
      <c r="A807" s="100" t="s">
        <v>69</v>
      </c>
      <c r="B807" s="100" t="b">
        <v>0</v>
      </c>
      <c r="C807" s="100" t="b">
        <v>0</v>
      </c>
      <c r="D807" s="42"/>
      <c r="E807" s="43"/>
      <c r="F807" s="101"/>
      <c r="G807" s="102"/>
      <c r="H807" s="103"/>
      <c r="I807" s="103"/>
      <c r="J807" s="104"/>
      <c r="K807" s="102"/>
      <c r="L807" s="102"/>
      <c r="M807" s="105"/>
      <c r="N807" s="105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  <c r="AL807" s="70"/>
      <c r="AM807" s="70"/>
      <c r="AN807" s="70"/>
      <c r="AO807" s="70"/>
      <c r="AP807" s="70"/>
      <c r="AQ807" s="77"/>
      <c r="AR807" s="77"/>
      <c r="AS807" s="77"/>
      <c r="AT807" s="77"/>
      <c r="AU807" s="77"/>
      <c r="AV807" s="77"/>
      <c r="AW807" s="77"/>
      <c r="AX807" s="77"/>
      <c r="AY807" s="77"/>
      <c r="AZ807" s="77"/>
      <c r="BA807" s="77"/>
      <c r="BB807" s="77"/>
      <c r="BC807" s="77"/>
      <c r="BD807" s="77"/>
      <c r="BE807" s="77"/>
      <c r="BF807" s="77"/>
      <c r="BG807" s="77"/>
      <c r="BH807" s="77"/>
      <c r="BI807" s="77"/>
      <c r="BJ807" s="77"/>
      <c r="BK807" s="77"/>
      <c r="BL807" s="77"/>
      <c r="BM807" s="77"/>
    </row>
    <row r="808">
      <c r="A808" s="99" t="s">
        <v>69</v>
      </c>
      <c r="B808" s="99" t="b">
        <v>0</v>
      </c>
      <c r="C808" s="99" t="b">
        <v>0</v>
      </c>
      <c r="D808" s="80"/>
      <c r="E808" s="81"/>
      <c r="F808" s="106"/>
      <c r="G808" s="107"/>
      <c r="H808" s="108"/>
      <c r="I808" s="108"/>
      <c r="J808" s="109"/>
      <c r="K808" s="107"/>
      <c r="L808" s="107"/>
      <c r="M808" s="110"/>
      <c r="N808" s="110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  <c r="AL808" s="70"/>
      <c r="AM808" s="70"/>
      <c r="AN808" s="70"/>
      <c r="AO808" s="70"/>
      <c r="AP808" s="70"/>
      <c r="AQ808" s="77"/>
      <c r="AR808" s="77"/>
      <c r="AS808" s="77"/>
      <c r="AT808" s="77"/>
      <c r="AU808" s="77"/>
      <c r="AV808" s="77"/>
      <c r="AW808" s="77"/>
      <c r="AX808" s="77"/>
      <c r="AY808" s="77"/>
      <c r="AZ808" s="77"/>
      <c r="BA808" s="77"/>
      <c r="BB808" s="77"/>
      <c r="BC808" s="77"/>
      <c r="BD808" s="77"/>
      <c r="BE808" s="77"/>
      <c r="BF808" s="77"/>
      <c r="BG808" s="77"/>
      <c r="BH808" s="77"/>
      <c r="BI808" s="77"/>
      <c r="BJ808" s="77"/>
      <c r="BK808" s="77"/>
      <c r="BL808" s="77"/>
      <c r="BM808" s="77"/>
    </row>
    <row r="809">
      <c r="A809" s="100" t="s">
        <v>69</v>
      </c>
      <c r="B809" s="100" t="b">
        <v>0</v>
      </c>
      <c r="C809" s="100" t="b">
        <v>0</v>
      </c>
      <c r="D809" s="42"/>
      <c r="E809" s="43"/>
      <c r="F809" s="101"/>
      <c r="G809" s="102"/>
      <c r="H809" s="103"/>
      <c r="I809" s="103"/>
      <c r="J809" s="104"/>
      <c r="K809" s="102"/>
      <c r="L809" s="102"/>
      <c r="M809" s="105"/>
      <c r="N809" s="105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  <c r="AK809" s="70"/>
      <c r="AL809" s="70"/>
      <c r="AM809" s="70"/>
      <c r="AN809" s="70"/>
      <c r="AO809" s="70"/>
      <c r="AP809" s="70"/>
      <c r="AQ809" s="77"/>
      <c r="AR809" s="77"/>
      <c r="AS809" s="77"/>
      <c r="AT809" s="77"/>
      <c r="AU809" s="77"/>
      <c r="AV809" s="77"/>
      <c r="AW809" s="77"/>
      <c r="AX809" s="77"/>
      <c r="AY809" s="77"/>
      <c r="AZ809" s="77"/>
      <c r="BA809" s="77"/>
      <c r="BB809" s="77"/>
      <c r="BC809" s="77"/>
      <c r="BD809" s="77"/>
      <c r="BE809" s="77"/>
      <c r="BF809" s="77"/>
      <c r="BG809" s="77"/>
      <c r="BH809" s="77"/>
      <c r="BI809" s="77"/>
      <c r="BJ809" s="77"/>
      <c r="BK809" s="77"/>
      <c r="BL809" s="77"/>
      <c r="BM809" s="77"/>
    </row>
    <row r="810">
      <c r="A810" s="99" t="s">
        <v>69</v>
      </c>
      <c r="B810" s="99" t="b">
        <v>0</v>
      </c>
      <c r="C810" s="99" t="b">
        <v>0</v>
      </c>
      <c r="D810" s="80"/>
      <c r="E810" s="81"/>
      <c r="F810" s="106"/>
      <c r="G810" s="107"/>
      <c r="H810" s="108"/>
      <c r="I810" s="108"/>
      <c r="J810" s="109"/>
      <c r="K810" s="107"/>
      <c r="L810" s="107"/>
      <c r="M810" s="110"/>
      <c r="N810" s="110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  <c r="AK810" s="70"/>
      <c r="AL810" s="70"/>
      <c r="AM810" s="70"/>
      <c r="AN810" s="70"/>
      <c r="AO810" s="70"/>
      <c r="AP810" s="70"/>
      <c r="AQ810" s="77"/>
      <c r="AR810" s="77"/>
      <c r="AS810" s="77"/>
      <c r="AT810" s="77"/>
      <c r="AU810" s="77"/>
      <c r="AV810" s="77"/>
      <c r="AW810" s="77"/>
      <c r="AX810" s="77"/>
      <c r="AY810" s="77"/>
      <c r="AZ810" s="77"/>
      <c r="BA810" s="77"/>
      <c r="BB810" s="77"/>
      <c r="BC810" s="77"/>
      <c r="BD810" s="77"/>
      <c r="BE810" s="77"/>
      <c r="BF810" s="77"/>
      <c r="BG810" s="77"/>
      <c r="BH810" s="77"/>
      <c r="BI810" s="77"/>
      <c r="BJ810" s="77"/>
      <c r="BK810" s="77"/>
      <c r="BL810" s="77"/>
      <c r="BM810" s="77"/>
    </row>
    <row r="811">
      <c r="A811" s="100" t="s">
        <v>69</v>
      </c>
      <c r="B811" s="100" t="b">
        <v>0</v>
      </c>
      <c r="C811" s="100" t="b">
        <v>0</v>
      </c>
      <c r="D811" s="42"/>
      <c r="E811" s="43"/>
      <c r="F811" s="101"/>
      <c r="G811" s="102"/>
      <c r="H811" s="103"/>
      <c r="I811" s="103"/>
      <c r="J811" s="104"/>
      <c r="K811" s="102"/>
      <c r="L811" s="102"/>
      <c r="M811" s="105"/>
      <c r="N811" s="105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  <c r="AK811" s="70"/>
      <c r="AL811" s="70"/>
      <c r="AM811" s="70"/>
      <c r="AN811" s="70"/>
      <c r="AO811" s="70"/>
      <c r="AP811" s="70"/>
      <c r="AQ811" s="77"/>
      <c r="AR811" s="77"/>
      <c r="AS811" s="77"/>
      <c r="AT811" s="77"/>
      <c r="AU811" s="77"/>
      <c r="AV811" s="77"/>
      <c r="AW811" s="77"/>
      <c r="AX811" s="77"/>
      <c r="AY811" s="77"/>
      <c r="AZ811" s="77"/>
      <c r="BA811" s="77"/>
      <c r="BB811" s="77"/>
      <c r="BC811" s="77"/>
      <c r="BD811" s="77"/>
      <c r="BE811" s="77"/>
      <c r="BF811" s="77"/>
      <c r="BG811" s="77"/>
      <c r="BH811" s="77"/>
      <c r="BI811" s="77"/>
      <c r="BJ811" s="77"/>
      <c r="BK811" s="77"/>
      <c r="BL811" s="77"/>
      <c r="BM811" s="77"/>
    </row>
    <row r="812">
      <c r="A812" s="99" t="s">
        <v>69</v>
      </c>
      <c r="B812" s="99" t="b">
        <v>0</v>
      </c>
      <c r="C812" s="99" t="b">
        <v>0</v>
      </c>
      <c r="D812" s="80"/>
      <c r="E812" s="81"/>
      <c r="F812" s="106"/>
      <c r="G812" s="107"/>
      <c r="H812" s="108"/>
      <c r="I812" s="108"/>
      <c r="J812" s="109"/>
      <c r="K812" s="107"/>
      <c r="L812" s="107"/>
      <c r="M812" s="110"/>
      <c r="N812" s="110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  <c r="AK812" s="70"/>
      <c r="AL812" s="70"/>
      <c r="AM812" s="70"/>
      <c r="AN812" s="70"/>
      <c r="AO812" s="70"/>
      <c r="AP812" s="70"/>
      <c r="AQ812" s="77"/>
      <c r="AR812" s="77"/>
      <c r="AS812" s="77"/>
      <c r="AT812" s="77"/>
      <c r="AU812" s="77"/>
      <c r="AV812" s="77"/>
      <c r="AW812" s="77"/>
      <c r="AX812" s="77"/>
      <c r="AY812" s="77"/>
      <c r="AZ812" s="77"/>
      <c r="BA812" s="77"/>
      <c r="BB812" s="77"/>
      <c r="BC812" s="77"/>
      <c r="BD812" s="77"/>
      <c r="BE812" s="77"/>
      <c r="BF812" s="77"/>
      <c r="BG812" s="77"/>
      <c r="BH812" s="77"/>
      <c r="BI812" s="77"/>
      <c r="BJ812" s="77"/>
      <c r="BK812" s="77"/>
      <c r="BL812" s="77"/>
      <c r="BM812" s="77"/>
    </row>
    <row r="813">
      <c r="A813" s="100" t="s">
        <v>69</v>
      </c>
      <c r="B813" s="100" t="b">
        <v>0</v>
      </c>
      <c r="C813" s="100" t="b">
        <v>0</v>
      </c>
      <c r="D813" s="42"/>
      <c r="E813" s="43"/>
      <c r="F813" s="101"/>
      <c r="G813" s="102"/>
      <c r="H813" s="103"/>
      <c r="I813" s="103"/>
      <c r="J813" s="104"/>
      <c r="K813" s="102"/>
      <c r="L813" s="102"/>
      <c r="M813" s="105"/>
      <c r="N813" s="105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  <c r="AL813" s="70"/>
      <c r="AM813" s="70"/>
      <c r="AN813" s="70"/>
      <c r="AO813" s="70"/>
      <c r="AP813" s="70"/>
      <c r="AQ813" s="77"/>
      <c r="AR813" s="77"/>
      <c r="AS813" s="77"/>
      <c r="AT813" s="77"/>
      <c r="AU813" s="77"/>
      <c r="AV813" s="77"/>
      <c r="AW813" s="77"/>
      <c r="AX813" s="77"/>
      <c r="AY813" s="77"/>
      <c r="AZ813" s="77"/>
      <c r="BA813" s="77"/>
      <c r="BB813" s="77"/>
      <c r="BC813" s="77"/>
      <c r="BD813" s="77"/>
      <c r="BE813" s="77"/>
      <c r="BF813" s="77"/>
      <c r="BG813" s="77"/>
      <c r="BH813" s="77"/>
      <c r="BI813" s="77"/>
      <c r="BJ813" s="77"/>
      <c r="BK813" s="77"/>
      <c r="BL813" s="77"/>
      <c r="BM813" s="77"/>
    </row>
    <row r="814">
      <c r="A814" s="99" t="s">
        <v>69</v>
      </c>
      <c r="B814" s="99" t="b">
        <v>0</v>
      </c>
      <c r="C814" s="99" t="b">
        <v>0</v>
      </c>
      <c r="D814" s="80"/>
      <c r="E814" s="81"/>
      <c r="F814" s="106"/>
      <c r="G814" s="107"/>
      <c r="H814" s="108"/>
      <c r="I814" s="108"/>
      <c r="J814" s="109"/>
      <c r="K814" s="107"/>
      <c r="L814" s="107"/>
      <c r="M814" s="110"/>
      <c r="N814" s="110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  <c r="AL814" s="70"/>
      <c r="AM814" s="70"/>
      <c r="AN814" s="70"/>
      <c r="AO814" s="70"/>
      <c r="AP814" s="70"/>
      <c r="AQ814" s="77"/>
      <c r="AR814" s="77"/>
      <c r="AS814" s="77"/>
      <c r="AT814" s="77"/>
      <c r="AU814" s="77"/>
      <c r="AV814" s="77"/>
      <c r="AW814" s="77"/>
      <c r="AX814" s="77"/>
      <c r="AY814" s="77"/>
      <c r="AZ814" s="77"/>
      <c r="BA814" s="77"/>
      <c r="BB814" s="77"/>
      <c r="BC814" s="77"/>
      <c r="BD814" s="77"/>
      <c r="BE814" s="77"/>
      <c r="BF814" s="77"/>
      <c r="BG814" s="77"/>
      <c r="BH814" s="77"/>
      <c r="BI814" s="77"/>
      <c r="BJ814" s="77"/>
      <c r="BK814" s="77"/>
      <c r="BL814" s="77"/>
      <c r="BM814" s="77"/>
    </row>
    <row r="815">
      <c r="A815" s="100" t="s">
        <v>69</v>
      </c>
      <c r="B815" s="100" t="b">
        <v>0</v>
      </c>
      <c r="C815" s="100" t="b">
        <v>0</v>
      </c>
      <c r="D815" s="42"/>
      <c r="E815" s="43"/>
      <c r="F815" s="101"/>
      <c r="G815" s="102"/>
      <c r="H815" s="103"/>
      <c r="I815" s="103"/>
      <c r="J815" s="104"/>
      <c r="K815" s="102"/>
      <c r="L815" s="102"/>
      <c r="M815" s="105"/>
      <c r="N815" s="105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  <c r="AK815" s="70"/>
      <c r="AL815" s="70"/>
      <c r="AM815" s="70"/>
      <c r="AN815" s="70"/>
      <c r="AO815" s="70"/>
      <c r="AP815" s="70"/>
      <c r="AQ815" s="77"/>
      <c r="AR815" s="77"/>
      <c r="AS815" s="77"/>
      <c r="AT815" s="77"/>
      <c r="AU815" s="77"/>
      <c r="AV815" s="77"/>
      <c r="AW815" s="77"/>
      <c r="AX815" s="77"/>
      <c r="AY815" s="77"/>
      <c r="AZ815" s="77"/>
      <c r="BA815" s="77"/>
      <c r="BB815" s="77"/>
      <c r="BC815" s="77"/>
      <c r="BD815" s="77"/>
      <c r="BE815" s="77"/>
      <c r="BF815" s="77"/>
      <c r="BG815" s="77"/>
      <c r="BH815" s="77"/>
      <c r="BI815" s="77"/>
      <c r="BJ815" s="77"/>
      <c r="BK815" s="77"/>
      <c r="BL815" s="77"/>
      <c r="BM815" s="77"/>
    </row>
    <row r="816">
      <c r="A816" s="99" t="s">
        <v>69</v>
      </c>
      <c r="B816" s="99" t="b">
        <v>0</v>
      </c>
      <c r="C816" s="99" t="b">
        <v>0</v>
      </c>
      <c r="D816" s="80"/>
      <c r="E816" s="81"/>
      <c r="F816" s="106"/>
      <c r="G816" s="107"/>
      <c r="H816" s="108"/>
      <c r="I816" s="108"/>
      <c r="J816" s="109"/>
      <c r="K816" s="107"/>
      <c r="L816" s="107"/>
      <c r="M816" s="110"/>
      <c r="N816" s="110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  <c r="AL816" s="70"/>
      <c r="AM816" s="70"/>
      <c r="AN816" s="70"/>
      <c r="AO816" s="70"/>
      <c r="AP816" s="70"/>
      <c r="AQ816" s="77"/>
      <c r="AR816" s="77"/>
      <c r="AS816" s="77"/>
      <c r="AT816" s="77"/>
      <c r="AU816" s="77"/>
      <c r="AV816" s="77"/>
      <c r="AW816" s="77"/>
      <c r="AX816" s="77"/>
      <c r="AY816" s="77"/>
      <c r="AZ816" s="77"/>
      <c r="BA816" s="77"/>
      <c r="BB816" s="77"/>
      <c r="BC816" s="77"/>
      <c r="BD816" s="77"/>
      <c r="BE816" s="77"/>
      <c r="BF816" s="77"/>
      <c r="BG816" s="77"/>
      <c r="BH816" s="77"/>
      <c r="BI816" s="77"/>
      <c r="BJ816" s="77"/>
      <c r="BK816" s="77"/>
      <c r="BL816" s="77"/>
      <c r="BM816" s="77"/>
    </row>
    <row r="817">
      <c r="A817" s="100" t="s">
        <v>69</v>
      </c>
      <c r="B817" s="100" t="b">
        <v>0</v>
      </c>
      <c r="C817" s="100" t="b">
        <v>0</v>
      </c>
      <c r="D817" s="42"/>
      <c r="E817" s="43"/>
      <c r="F817" s="101"/>
      <c r="G817" s="102"/>
      <c r="H817" s="103"/>
      <c r="I817" s="103"/>
      <c r="J817" s="104"/>
      <c r="K817" s="102"/>
      <c r="L817" s="102"/>
      <c r="M817" s="105"/>
      <c r="N817" s="105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  <c r="AK817" s="70"/>
      <c r="AL817" s="70"/>
      <c r="AM817" s="70"/>
      <c r="AN817" s="70"/>
      <c r="AO817" s="70"/>
      <c r="AP817" s="70"/>
      <c r="AQ817" s="77"/>
      <c r="AR817" s="77"/>
      <c r="AS817" s="77"/>
      <c r="AT817" s="77"/>
      <c r="AU817" s="77"/>
      <c r="AV817" s="77"/>
      <c r="AW817" s="77"/>
      <c r="AX817" s="77"/>
      <c r="AY817" s="77"/>
      <c r="AZ817" s="77"/>
      <c r="BA817" s="77"/>
      <c r="BB817" s="77"/>
      <c r="BC817" s="77"/>
      <c r="BD817" s="77"/>
      <c r="BE817" s="77"/>
      <c r="BF817" s="77"/>
      <c r="BG817" s="77"/>
      <c r="BH817" s="77"/>
      <c r="BI817" s="77"/>
      <c r="BJ817" s="77"/>
      <c r="BK817" s="77"/>
      <c r="BL817" s="77"/>
      <c r="BM817" s="77"/>
    </row>
    <row r="818">
      <c r="A818" s="99" t="s">
        <v>69</v>
      </c>
      <c r="B818" s="99" t="b">
        <v>0</v>
      </c>
      <c r="C818" s="99" t="b">
        <v>0</v>
      </c>
      <c r="D818" s="80"/>
      <c r="E818" s="81"/>
      <c r="F818" s="106"/>
      <c r="G818" s="107"/>
      <c r="H818" s="108"/>
      <c r="I818" s="108"/>
      <c r="J818" s="109"/>
      <c r="K818" s="107"/>
      <c r="L818" s="107"/>
      <c r="M818" s="110"/>
      <c r="N818" s="110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  <c r="AK818" s="70"/>
      <c r="AL818" s="70"/>
      <c r="AM818" s="70"/>
      <c r="AN818" s="70"/>
      <c r="AO818" s="70"/>
      <c r="AP818" s="70"/>
      <c r="AQ818" s="77"/>
      <c r="AR818" s="77"/>
      <c r="AS818" s="77"/>
      <c r="AT818" s="77"/>
      <c r="AU818" s="77"/>
      <c r="AV818" s="77"/>
      <c r="AW818" s="77"/>
      <c r="AX818" s="77"/>
      <c r="AY818" s="77"/>
      <c r="AZ818" s="77"/>
      <c r="BA818" s="77"/>
      <c r="BB818" s="77"/>
      <c r="BC818" s="77"/>
      <c r="BD818" s="77"/>
      <c r="BE818" s="77"/>
      <c r="BF818" s="77"/>
      <c r="BG818" s="77"/>
      <c r="BH818" s="77"/>
      <c r="BI818" s="77"/>
      <c r="BJ818" s="77"/>
      <c r="BK818" s="77"/>
      <c r="BL818" s="77"/>
      <c r="BM818" s="77"/>
    </row>
    <row r="819">
      <c r="A819" s="100" t="s">
        <v>69</v>
      </c>
      <c r="B819" s="100" t="b">
        <v>0</v>
      </c>
      <c r="C819" s="100" t="b">
        <v>0</v>
      </c>
      <c r="D819" s="42"/>
      <c r="E819" s="43"/>
      <c r="F819" s="101"/>
      <c r="G819" s="102"/>
      <c r="H819" s="103"/>
      <c r="I819" s="103"/>
      <c r="J819" s="104"/>
      <c r="K819" s="102"/>
      <c r="L819" s="102"/>
      <c r="M819" s="105"/>
      <c r="N819" s="105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  <c r="AK819" s="70"/>
      <c r="AL819" s="70"/>
      <c r="AM819" s="70"/>
      <c r="AN819" s="70"/>
      <c r="AO819" s="70"/>
      <c r="AP819" s="70"/>
      <c r="AQ819" s="77"/>
      <c r="AR819" s="77"/>
      <c r="AS819" s="77"/>
      <c r="AT819" s="77"/>
      <c r="AU819" s="77"/>
      <c r="AV819" s="77"/>
      <c r="AW819" s="77"/>
      <c r="AX819" s="77"/>
      <c r="AY819" s="77"/>
      <c r="AZ819" s="77"/>
      <c r="BA819" s="77"/>
      <c r="BB819" s="77"/>
      <c r="BC819" s="77"/>
      <c r="BD819" s="77"/>
      <c r="BE819" s="77"/>
      <c r="BF819" s="77"/>
      <c r="BG819" s="77"/>
      <c r="BH819" s="77"/>
      <c r="BI819" s="77"/>
      <c r="BJ819" s="77"/>
      <c r="BK819" s="77"/>
      <c r="BL819" s="77"/>
      <c r="BM819" s="77"/>
    </row>
    <row r="820">
      <c r="A820" s="99" t="s">
        <v>69</v>
      </c>
      <c r="B820" s="99" t="b">
        <v>0</v>
      </c>
      <c r="C820" s="99" t="b">
        <v>0</v>
      </c>
      <c r="D820" s="80"/>
      <c r="E820" s="81"/>
      <c r="F820" s="106"/>
      <c r="G820" s="107"/>
      <c r="H820" s="108"/>
      <c r="I820" s="108"/>
      <c r="J820" s="109"/>
      <c r="K820" s="107"/>
      <c r="L820" s="107"/>
      <c r="M820" s="110"/>
      <c r="N820" s="110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/>
      <c r="AL820" s="70"/>
      <c r="AM820" s="70"/>
      <c r="AN820" s="70"/>
      <c r="AO820" s="70"/>
      <c r="AP820" s="70"/>
      <c r="AQ820" s="77"/>
      <c r="AR820" s="77"/>
      <c r="AS820" s="77"/>
      <c r="AT820" s="77"/>
      <c r="AU820" s="77"/>
      <c r="AV820" s="77"/>
      <c r="AW820" s="77"/>
      <c r="AX820" s="77"/>
      <c r="AY820" s="77"/>
      <c r="AZ820" s="77"/>
      <c r="BA820" s="77"/>
      <c r="BB820" s="77"/>
      <c r="BC820" s="77"/>
      <c r="BD820" s="77"/>
      <c r="BE820" s="77"/>
      <c r="BF820" s="77"/>
      <c r="BG820" s="77"/>
      <c r="BH820" s="77"/>
      <c r="BI820" s="77"/>
      <c r="BJ820" s="77"/>
      <c r="BK820" s="77"/>
      <c r="BL820" s="77"/>
      <c r="BM820" s="77"/>
    </row>
    <row r="821">
      <c r="A821" s="100" t="s">
        <v>69</v>
      </c>
      <c r="B821" s="100" t="b">
        <v>0</v>
      </c>
      <c r="C821" s="100" t="b">
        <v>0</v>
      </c>
      <c r="D821" s="42"/>
      <c r="E821" s="43"/>
      <c r="F821" s="101"/>
      <c r="G821" s="102"/>
      <c r="H821" s="103"/>
      <c r="I821" s="103"/>
      <c r="J821" s="104"/>
      <c r="K821" s="102"/>
      <c r="L821" s="102"/>
      <c r="M821" s="105"/>
      <c r="N821" s="105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  <c r="AK821" s="70"/>
      <c r="AL821" s="70"/>
      <c r="AM821" s="70"/>
      <c r="AN821" s="70"/>
      <c r="AO821" s="70"/>
      <c r="AP821" s="70"/>
      <c r="AQ821" s="77"/>
      <c r="AR821" s="77"/>
      <c r="AS821" s="77"/>
      <c r="AT821" s="77"/>
      <c r="AU821" s="77"/>
      <c r="AV821" s="77"/>
      <c r="AW821" s="77"/>
      <c r="AX821" s="77"/>
      <c r="AY821" s="77"/>
      <c r="AZ821" s="77"/>
      <c r="BA821" s="77"/>
      <c r="BB821" s="77"/>
      <c r="BC821" s="77"/>
      <c r="BD821" s="77"/>
      <c r="BE821" s="77"/>
      <c r="BF821" s="77"/>
      <c r="BG821" s="77"/>
      <c r="BH821" s="77"/>
      <c r="BI821" s="77"/>
      <c r="BJ821" s="77"/>
      <c r="BK821" s="77"/>
      <c r="BL821" s="77"/>
      <c r="BM821" s="77"/>
    </row>
    <row r="822">
      <c r="A822" s="99" t="s">
        <v>69</v>
      </c>
      <c r="B822" s="99" t="b">
        <v>0</v>
      </c>
      <c r="C822" s="99" t="b">
        <v>0</v>
      </c>
      <c r="D822" s="80"/>
      <c r="E822" s="81"/>
      <c r="F822" s="106"/>
      <c r="G822" s="107"/>
      <c r="H822" s="108"/>
      <c r="I822" s="108"/>
      <c r="J822" s="109"/>
      <c r="K822" s="107"/>
      <c r="L822" s="107"/>
      <c r="M822" s="110"/>
      <c r="N822" s="110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  <c r="AK822" s="70"/>
      <c r="AL822" s="70"/>
      <c r="AM822" s="70"/>
      <c r="AN822" s="70"/>
      <c r="AO822" s="70"/>
      <c r="AP822" s="70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/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</row>
    <row r="823">
      <c r="A823" s="100" t="s">
        <v>69</v>
      </c>
      <c r="B823" s="100" t="b">
        <v>0</v>
      </c>
      <c r="C823" s="100" t="b">
        <v>0</v>
      </c>
      <c r="D823" s="42"/>
      <c r="E823" s="43"/>
      <c r="F823" s="101"/>
      <c r="G823" s="102"/>
      <c r="H823" s="103"/>
      <c r="I823" s="103"/>
      <c r="J823" s="104"/>
      <c r="K823" s="102"/>
      <c r="L823" s="102"/>
      <c r="M823" s="105"/>
      <c r="N823" s="105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  <c r="AK823" s="70"/>
      <c r="AL823" s="70"/>
      <c r="AM823" s="70"/>
      <c r="AN823" s="70"/>
      <c r="AO823" s="70"/>
      <c r="AP823" s="70"/>
      <c r="AQ823" s="77"/>
      <c r="AR823" s="77"/>
      <c r="AS823" s="77"/>
      <c r="AT823" s="77"/>
      <c r="AU823" s="77"/>
      <c r="AV823" s="77"/>
      <c r="AW823" s="77"/>
      <c r="AX823" s="77"/>
      <c r="AY823" s="77"/>
      <c r="AZ823" s="77"/>
      <c r="BA823" s="77"/>
      <c r="BB823" s="77"/>
      <c r="BC823" s="77"/>
      <c r="BD823" s="77"/>
      <c r="BE823" s="77"/>
      <c r="BF823" s="77"/>
      <c r="BG823" s="77"/>
      <c r="BH823" s="77"/>
      <c r="BI823" s="77"/>
      <c r="BJ823" s="77"/>
      <c r="BK823" s="77"/>
      <c r="BL823" s="77"/>
      <c r="BM823" s="77"/>
    </row>
    <row r="824">
      <c r="A824" s="99" t="s">
        <v>69</v>
      </c>
      <c r="B824" s="99" t="b">
        <v>0</v>
      </c>
      <c r="C824" s="99" t="b">
        <v>0</v>
      </c>
      <c r="D824" s="80"/>
      <c r="E824" s="81"/>
      <c r="F824" s="106"/>
      <c r="G824" s="107"/>
      <c r="H824" s="108"/>
      <c r="I824" s="108"/>
      <c r="J824" s="109"/>
      <c r="K824" s="107"/>
      <c r="L824" s="107"/>
      <c r="M824" s="110"/>
      <c r="N824" s="110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  <c r="AL824" s="70"/>
      <c r="AM824" s="70"/>
      <c r="AN824" s="70"/>
      <c r="AO824" s="70"/>
      <c r="AP824" s="70"/>
      <c r="AQ824" s="77"/>
      <c r="AR824" s="77"/>
      <c r="AS824" s="77"/>
      <c r="AT824" s="77"/>
      <c r="AU824" s="77"/>
      <c r="AV824" s="77"/>
      <c r="AW824" s="77"/>
      <c r="AX824" s="77"/>
      <c r="AY824" s="77"/>
      <c r="AZ824" s="77"/>
      <c r="BA824" s="77"/>
      <c r="BB824" s="77"/>
      <c r="BC824" s="77"/>
      <c r="BD824" s="77"/>
      <c r="BE824" s="77"/>
      <c r="BF824" s="77"/>
      <c r="BG824" s="77"/>
      <c r="BH824" s="77"/>
      <c r="BI824" s="77"/>
      <c r="BJ824" s="77"/>
      <c r="BK824" s="77"/>
      <c r="BL824" s="77"/>
      <c r="BM824" s="77"/>
    </row>
    <row r="825">
      <c r="A825" s="100" t="s">
        <v>69</v>
      </c>
      <c r="B825" s="100" t="b">
        <v>0</v>
      </c>
      <c r="C825" s="100" t="b">
        <v>0</v>
      </c>
      <c r="D825" s="42"/>
      <c r="E825" s="43"/>
      <c r="F825" s="101"/>
      <c r="G825" s="102"/>
      <c r="H825" s="103"/>
      <c r="I825" s="103"/>
      <c r="J825" s="104"/>
      <c r="K825" s="102"/>
      <c r="L825" s="102"/>
      <c r="M825" s="105"/>
      <c r="N825" s="105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  <c r="AL825" s="70"/>
      <c r="AM825" s="70"/>
      <c r="AN825" s="70"/>
      <c r="AO825" s="70"/>
      <c r="AP825" s="70"/>
      <c r="AQ825" s="77"/>
      <c r="AR825" s="77"/>
      <c r="AS825" s="77"/>
      <c r="AT825" s="77"/>
      <c r="AU825" s="77"/>
      <c r="AV825" s="77"/>
      <c r="AW825" s="77"/>
      <c r="AX825" s="77"/>
      <c r="AY825" s="77"/>
      <c r="AZ825" s="77"/>
      <c r="BA825" s="77"/>
      <c r="BB825" s="77"/>
      <c r="BC825" s="77"/>
      <c r="BD825" s="77"/>
      <c r="BE825" s="77"/>
      <c r="BF825" s="77"/>
      <c r="BG825" s="77"/>
      <c r="BH825" s="77"/>
      <c r="BI825" s="77"/>
      <c r="BJ825" s="77"/>
      <c r="BK825" s="77"/>
      <c r="BL825" s="77"/>
      <c r="BM825" s="77"/>
    </row>
    <row r="826">
      <c r="A826" s="99" t="s">
        <v>69</v>
      </c>
      <c r="B826" s="99" t="b">
        <v>0</v>
      </c>
      <c r="C826" s="99" t="b">
        <v>0</v>
      </c>
      <c r="D826" s="80"/>
      <c r="E826" s="81"/>
      <c r="F826" s="106"/>
      <c r="G826" s="107"/>
      <c r="H826" s="108"/>
      <c r="I826" s="108"/>
      <c r="J826" s="109"/>
      <c r="K826" s="107"/>
      <c r="L826" s="107"/>
      <c r="M826" s="110"/>
      <c r="N826" s="110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  <c r="AL826" s="70"/>
      <c r="AM826" s="70"/>
      <c r="AN826" s="70"/>
      <c r="AO826" s="70"/>
      <c r="AP826" s="70"/>
      <c r="AQ826" s="77"/>
      <c r="AR826" s="77"/>
      <c r="AS826" s="77"/>
      <c r="AT826" s="77"/>
      <c r="AU826" s="77"/>
      <c r="AV826" s="77"/>
      <c r="AW826" s="77"/>
      <c r="AX826" s="77"/>
      <c r="AY826" s="77"/>
      <c r="AZ826" s="77"/>
      <c r="BA826" s="77"/>
      <c r="BB826" s="77"/>
      <c r="BC826" s="77"/>
      <c r="BD826" s="77"/>
      <c r="BE826" s="77"/>
      <c r="BF826" s="77"/>
      <c r="BG826" s="77"/>
      <c r="BH826" s="77"/>
      <c r="BI826" s="77"/>
      <c r="BJ826" s="77"/>
      <c r="BK826" s="77"/>
      <c r="BL826" s="77"/>
      <c r="BM826" s="77"/>
    </row>
    <row r="827">
      <c r="A827" s="100" t="s">
        <v>69</v>
      </c>
      <c r="B827" s="100" t="b">
        <v>0</v>
      </c>
      <c r="C827" s="100" t="b">
        <v>0</v>
      </c>
      <c r="D827" s="42"/>
      <c r="E827" s="43"/>
      <c r="F827" s="101"/>
      <c r="G827" s="102"/>
      <c r="H827" s="103"/>
      <c r="I827" s="103"/>
      <c r="J827" s="104"/>
      <c r="K827" s="102"/>
      <c r="L827" s="102"/>
      <c r="M827" s="105"/>
      <c r="N827" s="105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  <c r="AK827" s="70"/>
      <c r="AL827" s="70"/>
      <c r="AM827" s="70"/>
      <c r="AN827" s="70"/>
      <c r="AO827" s="70"/>
      <c r="AP827" s="70"/>
      <c r="AQ827" s="77"/>
      <c r="AR827" s="77"/>
      <c r="AS827" s="77"/>
      <c r="AT827" s="77"/>
      <c r="AU827" s="77"/>
      <c r="AV827" s="77"/>
      <c r="AW827" s="77"/>
      <c r="AX827" s="77"/>
      <c r="AY827" s="77"/>
      <c r="AZ827" s="77"/>
      <c r="BA827" s="77"/>
      <c r="BB827" s="77"/>
      <c r="BC827" s="77"/>
      <c r="BD827" s="77"/>
      <c r="BE827" s="77"/>
      <c r="BF827" s="77"/>
      <c r="BG827" s="77"/>
      <c r="BH827" s="77"/>
      <c r="BI827" s="77"/>
      <c r="BJ827" s="77"/>
      <c r="BK827" s="77"/>
      <c r="BL827" s="77"/>
      <c r="BM827" s="77"/>
    </row>
    <row r="828">
      <c r="A828" s="99" t="s">
        <v>69</v>
      </c>
      <c r="B828" s="99" t="b">
        <v>0</v>
      </c>
      <c r="C828" s="99" t="b">
        <v>0</v>
      </c>
      <c r="D828" s="80"/>
      <c r="E828" s="81"/>
      <c r="F828" s="106"/>
      <c r="G828" s="107"/>
      <c r="H828" s="108"/>
      <c r="I828" s="108"/>
      <c r="J828" s="109"/>
      <c r="K828" s="107"/>
      <c r="L828" s="107"/>
      <c r="M828" s="110"/>
      <c r="N828" s="110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  <c r="AK828" s="70"/>
      <c r="AL828" s="70"/>
      <c r="AM828" s="70"/>
      <c r="AN828" s="70"/>
      <c r="AO828" s="70"/>
      <c r="AP828" s="70"/>
      <c r="AQ828" s="77"/>
      <c r="AR828" s="77"/>
      <c r="AS828" s="77"/>
      <c r="AT828" s="77"/>
      <c r="AU828" s="77"/>
      <c r="AV828" s="77"/>
      <c r="AW828" s="77"/>
      <c r="AX828" s="77"/>
      <c r="AY828" s="77"/>
      <c r="AZ828" s="77"/>
      <c r="BA828" s="77"/>
      <c r="BB828" s="77"/>
      <c r="BC828" s="77"/>
      <c r="BD828" s="77"/>
      <c r="BE828" s="77"/>
      <c r="BF828" s="77"/>
      <c r="BG828" s="77"/>
      <c r="BH828" s="77"/>
      <c r="BI828" s="77"/>
      <c r="BJ828" s="77"/>
      <c r="BK828" s="77"/>
      <c r="BL828" s="77"/>
      <c r="BM828" s="77"/>
    </row>
    <row r="829">
      <c r="A829" s="100" t="s">
        <v>69</v>
      </c>
      <c r="B829" s="100" t="b">
        <v>0</v>
      </c>
      <c r="C829" s="100" t="b">
        <v>0</v>
      </c>
      <c r="D829" s="42"/>
      <c r="E829" s="43"/>
      <c r="F829" s="101"/>
      <c r="G829" s="102"/>
      <c r="H829" s="103"/>
      <c r="I829" s="103"/>
      <c r="J829" s="104"/>
      <c r="K829" s="102"/>
      <c r="L829" s="102"/>
      <c r="M829" s="105"/>
      <c r="N829" s="105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  <c r="AK829" s="70"/>
      <c r="AL829" s="70"/>
      <c r="AM829" s="70"/>
      <c r="AN829" s="70"/>
      <c r="AO829" s="70"/>
      <c r="AP829" s="70"/>
      <c r="AQ829" s="77"/>
      <c r="AR829" s="77"/>
      <c r="AS829" s="77"/>
      <c r="AT829" s="77"/>
      <c r="AU829" s="77"/>
      <c r="AV829" s="77"/>
      <c r="AW829" s="77"/>
      <c r="AX829" s="77"/>
      <c r="AY829" s="77"/>
      <c r="AZ829" s="77"/>
      <c r="BA829" s="77"/>
      <c r="BB829" s="77"/>
      <c r="BC829" s="77"/>
      <c r="BD829" s="77"/>
      <c r="BE829" s="77"/>
      <c r="BF829" s="77"/>
      <c r="BG829" s="77"/>
      <c r="BH829" s="77"/>
      <c r="BI829" s="77"/>
      <c r="BJ829" s="77"/>
      <c r="BK829" s="77"/>
      <c r="BL829" s="77"/>
      <c r="BM829" s="77"/>
    </row>
    <row r="830">
      <c r="A830" s="99" t="s">
        <v>69</v>
      </c>
      <c r="B830" s="99" t="b">
        <v>0</v>
      </c>
      <c r="C830" s="99" t="b">
        <v>0</v>
      </c>
      <c r="D830" s="80"/>
      <c r="E830" s="81"/>
      <c r="F830" s="106"/>
      <c r="G830" s="107"/>
      <c r="H830" s="108"/>
      <c r="I830" s="108"/>
      <c r="J830" s="109"/>
      <c r="K830" s="107"/>
      <c r="L830" s="107"/>
      <c r="M830" s="110"/>
      <c r="N830" s="110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  <c r="AK830" s="70"/>
      <c r="AL830" s="70"/>
      <c r="AM830" s="70"/>
      <c r="AN830" s="70"/>
      <c r="AO830" s="70"/>
      <c r="AP830" s="70"/>
      <c r="AQ830" s="77"/>
      <c r="AR830" s="77"/>
      <c r="AS830" s="77"/>
      <c r="AT830" s="77"/>
      <c r="AU830" s="77"/>
      <c r="AV830" s="77"/>
      <c r="AW830" s="77"/>
      <c r="AX830" s="77"/>
      <c r="AY830" s="77"/>
      <c r="AZ830" s="77"/>
      <c r="BA830" s="77"/>
      <c r="BB830" s="77"/>
      <c r="BC830" s="77"/>
      <c r="BD830" s="77"/>
      <c r="BE830" s="77"/>
      <c r="BF830" s="77"/>
      <c r="BG830" s="77"/>
      <c r="BH830" s="77"/>
      <c r="BI830" s="77"/>
      <c r="BJ830" s="77"/>
      <c r="BK830" s="77"/>
      <c r="BL830" s="77"/>
      <c r="BM830" s="77"/>
    </row>
    <row r="831">
      <c r="A831" s="100" t="s">
        <v>69</v>
      </c>
      <c r="B831" s="100" t="b">
        <v>0</v>
      </c>
      <c r="C831" s="100" t="b">
        <v>0</v>
      </c>
      <c r="D831" s="42"/>
      <c r="E831" s="43"/>
      <c r="F831" s="101"/>
      <c r="G831" s="102"/>
      <c r="H831" s="103"/>
      <c r="I831" s="103"/>
      <c r="J831" s="104"/>
      <c r="K831" s="102"/>
      <c r="L831" s="102"/>
      <c r="M831" s="105"/>
      <c r="N831" s="105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  <c r="AK831" s="70"/>
      <c r="AL831" s="70"/>
      <c r="AM831" s="70"/>
      <c r="AN831" s="70"/>
      <c r="AO831" s="70"/>
      <c r="AP831" s="70"/>
      <c r="AQ831" s="77"/>
      <c r="AR831" s="77"/>
      <c r="AS831" s="77"/>
      <c r="AT831" s="77"/>
      <c r="AU831" s="77"/>
      <c r="AV831" s="77"/>
      <c r="AW831" s="77"/>
      <c r="AX831" s="77"/>
      <c r="AY831" s="77"/>
      <c r="AZ831" s="77"/>
      <c r="BA831" s="77"/>
      <c r="BB831" s="77"/>
      <c r="BC831" s="77"/>
      <c r="BD831" s="77"/>
      <c r="BE831" s="77"/>
      <c r="BF831" s="77"/>
      <c r="BG831" s="77"/>
      <c r="BH831" s="77"/>
      <c r="BI831" s="77"/>
      <c r="BJ831" s="77"/>
      <c r="BK831" s="77"/>
      <c r="BL831" s="77"/>
      <c r="BM831" s="77"/>
    </row>
    <row r="832">
      <c r="A832" s="99" t="s">
        <v>69</v>
      </c>
      <c r="B832" s="99" t="b">
        <v>0</v>
      </c>
      <c r="C832" s="99" t="b">
        <v>0</v>
      </c>
      <c r="D832" s="80"/>
      <c r="E832" s="81"/>
      <c r="F832" s="106"/>
      <c r="G832" s="107"/>
      <c r="H832" s="108"/>
      <c r="I832" s="108"/>
      <c r="J832" s="109"/>
      <c r="K832" s="107"/>
      <c r="L832" s="107"/>
      <c r="M832" s="110"/>
      <c r="N832" s="110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  <c r="AK832" s="70"/>
      <c r="AL832" s="70"/>
      <c r="AM832" s="70"/>
      <c r="AN832" s="70"/>
      <c r="AO832" s="70"/>
      <c r="AP832" s="70"/>
      <c r="AQ832" s="77"/>
      <c r="AR832" s="77"/>
      <c r="AS832" s="77"/>
      <c r="AT832" s="77"/>
      <c r="AU832" s="77"/>
      <c r="AV832" s="77"/>
      <c r="AW832" s="77"/>
      <c r="AX832" s="77"/>
      <c r="AY832" s="77"/>
      <c r="AZ832" s="77"/>
      <c r="BA832" s="77"/>
      <c r="BB832" s="77"/>
      <c r="BC832" s="77"/>
      <c r="BD832" s="77"/>
      <c r="BE832" s="77"/>
      <c r="BF832" s="77"/>
      <c r="BG832" s="77"/>
      <c r="BH832" s="77"/>
      <c r="BI832" s="77"/>
      <c r="BJ832" s="77"/>
      <c r="BK832" s="77"/>
      <c r="BL832" s="77"/>
      <c r="BM832" s="77"/>
    </row>
    <row r="833">
      <c r="A833" s="100" t="s">
        <v>69</v>
      </c>
      <c r="B833" s="100" t="b">
        <v>0</v>
      </c>
      <c r="C833" s="100" t="b">
        <v>0</v>
      </c>
      <c r="D833" s="42"/>
      <c r="E833" s="43"/>
      <c r="F833" s="101"/>
      <c r="G833" s="102"/>
      <c r="H833" s="103"/>
      <c r="I833" s="103"/>
      <c r="J833" s="104"/>
      <c r="K833" s="102"/>
      <c r="L833" s="102"/>
      <c r="M833" s="105"/>
      <c r="N833" s="105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  <c r="AK833" s="70"/>
      <c r="AL833" s="70"/>
      <c r="AM833" s="70"/>
      <c r="AN833" s="70"/>
      <c r="AO833" s="70"/>
      <c r="AP833" s="70"/>
      <c r="AQ833" s="77"/>
      <c r="AR833" s="77"/>
      <c r="AS833" s="77"/>
      <c r="AT833" s="77"/>
      <c r="AU833" s="77"/>
      <c r="AV833" s="77"/>
      <c r="AW833" s="77"/>
      <c r="AX833" s="77"/>
      <c r="AY833" s="77"/>
      <c r="AZ833" s="77"/>
      <c r="BA833" s="77"/>
      <c r="BB833" s="77"/>
      <c r="BC833" s="77"/>
      <c r="BD833" s="77"/>
      <c r="BE833" s="77"/>
      <c r="BF833" s="77"/>
      <c r="BG833" s="77"/>
      <c r="BH833" s="77"/>
      <c r="BI833" s="77"/>
      <c r="BJ833" s="77"/>
      <c r="BK833" s="77"/>
      <c r="BL833" s="77"/>
      <c r="BM833" s="77"/>
    </row>
    <row r="834">
      <c r="A834" s="99" t="s">
        <v>69</v>
      </c>
      <c r="B834" s="99" t="b">
        <v>0</v>
      </c>
      <c r="C834" s="99" t="b">
        <v>0</v>
      </c>
      <c r="D834" s="80"/>
      <c r="E834" s="81"/>
      <c r="F834" s="106"/>
      <c r="G834" s="107"/>
      <c r="H834" s="108"/>
      <c r="I834" s="108"/>
      <c r="J834" s="109"/>
      <c r="K834" s="107"/>
      <c r="L834" s="107"/>
      <c r="M834" s="110"/>
      <c r="N834" s="110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  <c r="AK834" s="70"/>
      <c r="AL834" s="70"/>
      <c r="AM834" s="70"/>
      <c r="AN834" s="70"/>
      <c r="AO834" s="70"/>
      <c r="AP834" s="70"/>
      <c r="AQ834" s="77"/>
      <c r="AR834" s="77"/>
      <c r="AS834" s="77"/>
      <c r="AT834" s="77"/>
      <c r="AU834" s="77"/>
      <c r="AV834" s="77"/>
      <c r="AW834" s="77"/>
      <c r="AX834" s="77"/>
      <c r="AY834" s="77"/>
      <c r="AZ834" s="77"/>
      <c r="BA834" s="77"/>
      <c r="BB834" s="77"/>
      <c r="BC834" s="77"/>
      <c r="BD834" s="77"/>
      <c r="BE834" s="77"/>
      <c r="BF834" s="77"/>
      <c r="BG834" s="77"/>
      <c r="BH834" s="77"/>
      <c r="BI834" s="77"/>
      <c r="BJ834" s="77"/>
      <c r="BK834" s="77"/>
      <c r="BL834" s="77"/>
      <c r="BM834" s="77"/>
    </row>
    <row r="835">
      <c r="A835" s="100" t="s">
        <v>69</v>
      </c>
      <c r="B835" s="100" t="b">
        <v>0</v>
      </c>
      <c r="C835" s="100" t="b">
        <v>0</v>
      </c>
      <c r="D835" s="42"/>
      <c r="E835" s="43"/>
      <c r="F835" s="101"/>
      <c r="G835" s="102"/>
      <c r="H835" s="103"/>
      <c r="I835" s="103"/>
      <c r="J835" s="104"/>
      <c r="K835" s="102"/>
      <c r="L835" s="102"/>
      <c r="M835" s="105"/>
      <c r="N835" s="105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  <c r="AK835" s="70"/>
      <c r="AL835" s="70"/>
      <c r="AM835" s="70"/>
      <c r="AN835" s="70"/>
      <c r="AO835" s="70"/>
      <c r="AP835" s="70"/>
      <c r="AQ835" s="77"/>
      <c r="AR835" s="77"/>
      <c r="AS835" s="77"/>
      <c r="AT835" s="77"/>
      <c r="AU835" s="77"/>
      <c r="AV835" s="77"/>
      <c r="AW835" s="77"/>
      <c r="AX835" s="77"/>
      <c r="AY835" s="77"/>
      <c r="AZ835" s="77"/>
      <c r="BA835" s="77"/>
      <c r="BB835" s="77"/>
      <c r="BC835" s="77"/>
      <c r="BD835" s="77"/>
      <c r="BE835" s="77"/>
      <c r="BF835" s="77"/>
      <c r="BG835" s="77"/>
      <c r="BH835" s="77"/>
      <c r="BI835" s="77"/>
      <c r="BJ835" s="77"/>
      <c r="BK835" s="77"/>
      <c r="BL835" s="77"/>
      <c r="BM835" s="77"/>
    </row>
    <row r="836">
      <c r="A836" s="99" t="s">
        <v>69</v>
      </c>
      <c r="B836" s="99" t="b">
        <v>0</v>
      </c>
      <c r="C836" s="99" t="b">
        <v>0</v>
      </c>
      <c r="D836" s="80"/>
      <c r="E836" s="81"/>
      <c r="F836" s="106"/>
      <c r="G836" s="107"/>
      <c r="H836" s="108"/>
      <c r="I836" s="108"/>
      <c r="J836" s="109"/>
      <c r="K836" s="107"/>
      <c r="L836" s="107"/>
      <c r="M836" s="110"/>
      <c r="N836" s="110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  <c r="AK836" s="70"/>
      <c r="AL836" s="70"/>
      <c r="AM836" s="70"/>
      <c r="AN836" s="70"/>
      <c r="AO836" s="70"/>
      <c r="AP836" s="70"/>
      <c r="AQ836" s="77"/>
      <c r="AR836" s="77"/>
      <c r="AS836" s="77"/>
      <c r="AT836" s="77"/>
      <c r="AU836" s="77"/>
      <c r="AV836" s="77"/>
      <c r="AW836" s="77"/>
      <c r="AX836" s="77"/>
      <c r="AY836" s="77"/>
      <c r="AZ836" s="77"/>
      <c r="BA836" s="77"/>
      <c r="BB836" s="77"/>
      <c r="BC836" s="77"/>
      <c r="BD836" s="77"/>
      <c r="BE836" s="77"/>
      <c r="BF836" s="77"/>
      <c r="BG836" s="77"/>
      <c r="BH836" s="77"/>
      <c r="BI836" s="77"/>
      <c r="BJ836" s="77"/>
      <c r="BK836" s="77"/>
      <c r="BL836" s="77"/>
      <c r="BM836" s="77"/>
    </row>
    <row r="837">
      <c r="A837" s="100" t="s">
        <v>69</v>
      </c>
      <c r="B837" s="100" t="b">
        <v>0</v>
      </c>
      <c r="C837" s="100" t="b">
        <v>0</v>
      </c>
      <c r="D837" s="42"/>
      <c r="E837" s="43"/>
      <c r="F837" s="101"/>
      <c r="G837" s="102"/>
      <c r="H837" s="103"/>
      <c r="I837" s="103"/>
      <c r="J837" s="104"/>
      <c r="K837" s="102"/>
      <c r="L837" s="102"/>
      <c r="M837" s="105"/>
      <c r="N837" s="105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  <c r="AL837" s="70"/>
      <c r="AM837" s="70"/>
      <c r="AN837" s="70"/>
      <c r="AO837" s="70"/>
      <c r="AP837" s="70"/>
      <c r="AQ837" s="77"/>
      <c r="AR837" s="77"/>
      <c r="AS837" s="77"/>
      <c r="AT837" s="77"/>
      <c r="AU837" s="77"/>
      <c r="AV837" s="77"/>
      <c r="AW837" s="77"/>
      <c r="AX837" s="77"/>
      <c r="AY837" s="77"/>
      <c r="AZ837" s="77"/>
      <c r="BA837" s="77"/>
      <c r="BB837" s="77"/>
      <c r="BC837" s="77"/>
      <c r="BD837" s="77"/>
      <c r="BE837" s="77"/>
      <c r="BF837" s="77"/>
      <c r="BG837" s="77"/>
      <c r="BH837" s="77"/>
      <c r="BI837" s="77"/>
      <c r="BJ837" s="77"/>
      <c r="BK837" s="77"/>
      <c r="BL837" s="77"/>
      <c r="BM837" s="77"/>
    </row>
    <row r="838">
      <c r="A838" s="99" t="s">
        <v>69</v>
      </c>
      <c r="B838" s="99" t="b">
        <v>0</v>
      </c>
      <c r="C838" s="99" t="b">
        <v>0</v>
      </c>
      <c r="D838" s="80"/>
      <c r="E838" s="81"/>
      <c r="F838" s="106"/>
      <c r="G838" s="107"/>
      <c r="H838" s="108"/>
      <c r="I838" s="108"/>
      <c r="J838" s="109"/>
      <c r="K838" s="107"/>
      <c r="L838" s="107"/>
      <c r="M838" s="110"/>
      <c r="N838" s="110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  <c r="AL838" s="70"/>
      <c r="AM838" s="70"/>
      <c r="AN838" s="70"/>
      <c r="AO838" s="70"/>
      <c r="AP838" s="70"/>
      <c r="AQ838" s="77"/>
      <c r="AR838" s="77"/>
      <c r="AS838" s="77"/>
      <c r="AT838" s="77"/>
      <c r="AU838" s="77"/>
      <c r="AV838" s="77"/>
      <c r="AW838" s="77"/>
      <c r="AX838" s="77"/>
      <c r="AY838" s="77"/>
      <c r="AZ838" s="77"/>
      <c r="BA838" s="77"/>
      <c r="BB838" s="77"/>
      <c r="BC838" s="77"/>
      <c r="BD838" s="77"/>
      <c r="BE838" s="77"/>
      <c r="BF838" s="77"/>
      <c r="BG838" s="77"/>
      <c r="BH838" s="77"/>
      <c r="BI838" s="77"/>
      <c r="BJ838" s="77"/>
      <c r="BK838" s="77"/>
      <c r="BL838" s="77"/>
      <c r="BM838" s="77"/>
    </row>
    <row r="839">
      <c r="A839" s="100" t="s">
        <v>69</v>
      </c>
      <c r="B839" s="100" t="b">
        <v>0</v>
      </c>
      <c r="C839" s="100" t="b">
        <v>0</v>
      </c>
      <c r="D839" s="42"/>
      <c r="E839" s="43"/>
      <c r="F839" s="101"/>
      <c r="G839" s="102"/>
      <c r="H839" s="103"/>
      <c r="I839" s="103"/>
      <c r="J839" s="104"/>
      <c r="K839" s="102"/>
      <c r="L839" s="102"/>
      <c r="M839" s="105"/>
      <c r="N839" s="105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  <c r="AK839" s="70"/>
      <c r="AL839" s="70"/>
      <c r="AM839" s="70"/>
      <c r="AN839" s="70"/>
      <c r="AO839" s="70"/>
      <c r="AP839" s="70"/>
      <c r="AQ839" s="77"/>
      <c r="AR839" s="77"/>
      <c r="AS839" s="77"/>
      <c r="AT839" s="77"/>
      <c r="AU839" s="77"/>
      <c r="AV839" s="77"/>
      <c r="AW839" s="77"/>
      <c r="AX839" s="77"/>
      <c r="AY839" s="77"/>
      <c r="AZ839" s="77"/>
      <c r="BA839" s="77"/>
      <c r="BB839" s="77"/>
      <c r="BC839" s="77"/>
      <c r="BD839" s="77"/>
      <c r="BE839" s="77"/>
      <c r="BF839" s="77"/>
      <c r="BG839" s="77"/>
      <c r="BH839" s="77"/>
      <c r="BI839" s="77"/>
      <c r="BJ839" s="77"/>
      <c r="BK839" s="77"/>
      <c r="BL839" s="77"/>
      <c r="BM839" s="77"/>
    </row>
    <row r="840">
      <c r="A840" s="99" t="s">
        <v>69</v>
      </c>
      <c r="B840" s="99" t="b">
        <v>0</v>
      </c>
      <c r="C840" s="99" t="b">
        <v>0</v>
      </c>
      <c r="D840" s="80"/>
      <c r="E840" s="81"/>
      <c r="F840" s="106"/>
      <c r="G840" s="107"/>
      <c r="H840" s="108"/>
      <c r="I840" s="108"/>
      <c r="J840" s="109"/>
      <c r="K840" s="107"/>
      <c r="L840" s="107"/>
      <c r="M840" s="110"/>
      <c r="N840" s="110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  <c r="AL840" s="70"/>
      <c r="AM840" s="70"/>
      <c r="AN840" s="70"/>
      <c r="AO840" s="70"/>
      <c r="AP840" s="70"/>
      <c r="AQ840" s="77"/>
      <c r="AR840" s="77"/>
      <c r="AS840" s="77"/>
      <c r="AT840" s="77"/>
      <c r="AU840" s="77"/>
      <c r="AV840" s="77"/>
      <c r="AW840" s="77"/>
      <c r="AX840" s="77"/>
      <c r="AY840" s="77"/>
      <c r="AZ840" s="77"/>
      <c r="BA840" s="77"/>
      <c r="BB840" s="77"/>
      <c r="BC840" s="77"/>
      <c r="BD840" s="77"/>
      <c r="BE840" s="77"/>
      <c r="BF840" s="77"/>
      <c r="BG840" s="77"/>
      <c r="BH840" s="77"/>
      <c r="BI840" s="77"/>
      <c r="BJ840" s="77"/>
      <c r="BK840" s="77"/>
      <c r="BL840" s="77"/>
      <c r="BM840" s="77"/>
    </row>
    <row r="841">
      <c r="A841" s="100" t="s">
        <v>69</v>
      </c>
      <c r="B841" s="100" t="b">
        <v>0</v>
      </c>
      <c r="C841" s="100" t="b">
        <v>0</v>
      </c>
      <c r="D841" s="42"/>
      <c r="E841" s="43"/>
      <c r="F841" s="101"/>
      <c r="G841" s="102"/>
      <c r="H841" s="103"/>
      <c r="I841" s="103"/>
      <c r="J841" s="104"/>
      <c r="K841" s="102"/>
      <c r="L841" s="102"/>
      <c r="M841" s="105"/>
      <c r="N841" s="105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  <c r="AL841" s="70"/>
      <c r="AM841" s="70"/>
      <c r="AN841" s="70"/>
      <c r="AO841" s="70"/>
      <c r="AP841" s="70"/>
      <c r="AQ841" s="77"/>
      <c r="AR841" s="77"/>
      <c r="AS841" s="77"/>
      <c r="AT841" s="77"/>
      <c r="AU841" s="77"/>
      <c r="AV841" s="77"/>
      <c r="AW841" s="77"/>
      <c r="AX841" s="77"/>
      <c r="AY841" s="77"/>
      <c r="AZ841" s="77"/>
      <c r="BA841" s="77"/>
      <c r="BB841" s="77"/>
      <c r="BC841" s="77"/>
      <c r="BD841" s="77"/>
      <c r="BE841" s="77"/>
      <c r="BF841" s="77"/>
      <c r="BG841" s="77"/>
      <c r="BH841" s="77"/>
      <c r="BI841" s="77"/>
      <c r="BJ841" s="77"/>
      <c r="BK841" s="77"/>
      <c r="BL841" s="77"/>
      <c r="BM841" s="77"/>
    </row>
    <row r="842">
      <c r="A842" s="99" t="s">
        <v>69</v>
      </c>
      <c r="B842" s="99" t="b">
        <v>0</v>
      </c>
      <c r="C842" s="99" t="b">
        <v>0</v>
      </c>
      <c r="D842" s="80"/>
      <c r="E842" s="81"/>
      <c r="F842" s="106"/>
      <c r="G842" s="107"/>
      <c r="H842" s="108"/>
      <c r="I842" s="108"/>
      <c r="J842" s="109"/>
      <c r="K842" s="107"/>
      <c r="L842" s="107"/>
      <c r="M842" s="110"/>
      <c r="N842" s="110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  <c r="AK842" s="70"/>
      <c r="AL842" s="70"/>
      <c r="AM842" s="70"/>
      <c r="AN842" s="70"/>
      <c r="AO842" s="70"/>
      <c r="AP842" s="70"/>
      <c r="AQ842" s="77"/>
      <c r="AR842" s="77"/>
      <c r="AS842" s="77"/>
      <c r="AT842" s="77"/>
      <c r="AU842" s="77"/>
      <c r="AV842" s="77"/>
      <c r="AW842" s="77"/>
      <c r="AX842" s="77"/>
      <c r="AY842" s="77"/>
      <c r="AZ842" s="77"/>
      <c r="BA842" s="77"/>
      <c r="BB842" s="77"/>
      <c r="BC842" s="77"/>
      <c r="BD842" s="77"/>
      <c r="BE842" s="77"/>
      <c r="BF842" s="77"/>
      <c r="BG842" s="77"/>
      <c r="BH842" s="77"/>
      <c r="BI842" s="77"/>
      <c r="BJ842" s="77"/>
      <c r="BK842" s="77"/>
      <c r="BL842" s="77"/>
      <c r="BM842" s="77"/>
    </row>
    <row r="843">
      <c r="A843" s="100" t="s">
        <v>69</v>
      </c>
      <c r="B843" s="100" t="b">
        <v>0</v>
      </c>
      <c r="C843" s="100" t="b">
        <v>0</v>
      </c>
      <c r="D843" s="42"/>
      <c r="E843" s="43"/>
      <c r="F843" s="101"/>
      <c r="G843" s="102"/>
      <c r="H843" s="103"/>
      <c r="I843" s="103"/>
      <c r="J843" s="104"/>
      <c r="K843" s="102"/>
      <c r="L843" s="102"/>
      <c r="M843" s="105"/>
      <c r="N843" s="105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  <c r="AL843" s="70"/>
      <c r="AM843" s="70"/>
      <c r="AN843" s="70"/>
      <c r="AO843" s="70"/>
      <c r="AP843" s="70"/>
      <c r="AQ843" s="77"/>
      <c r="AR843" s="77"/>
      <c r="AS843" s="77"/>
      <c r="AT843" s="77"/>
      <c r="AU843" s="77"/>
      <c r="AV843" s="77"/>
      <c r="AW843" s="77"/>
      <c r="AX843" s="77"/>
      <c r="AY843" s="77"/>
      <c r="AZ843" s="77"/>
      <c r="BA843" s="77"/>
      <c r="BB843" s="77"/>
      <c r="BC843" s="77"/>
      <c r="BD843" s="77"/>
      <c r="BE843" s="77"/>
      <c r="BF843" s="77"/>
      <c r="BG843" s="77"/>
      <c r="BH843" s="77"/>
      <c r="BI843" s="77"/>
      <c r="BJ843" s="77"/>
      <c r="BK843" s="77"/>
      <c r="BL843" s="77"/>
      <c r="BM843" s="77"/>
    </row>
    <row r="844">
      <c r="A844" s="99" t="s">
        <v>69</v>
      </c>
      <c r="B844" s="99" t="b">
        <v>0</v>
      </c>
      <c r="C844" s="99" t="b">
        <v>0</v>
      </c>
      <c r="D844" s="80"/>
      <c r="E844" s="81"/>
      <c r="F844" s="106"/>
      <c r="G844" s="107"/>
      <c r="H844" s="108"/>
      <c r="I844" s="108"/>
      <c r="J844" s="109"/>
      <c r="K844" s="107"/>
      <c r="L844" s="107"/>
      <c r="M844" s="110"/>
      <c r="N844" s="110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  <c r="AL844" s="70"/>
      <c r="AM844" s="70"/>
      <c r="AN844" s="70"/>
      <c r="AO844" s="70"/>
      <c r="AP844" s="70"/>
      <c r="AQ844" s="77"/>
      <c r="AR844" s="77"/>
      <c r="AS844" s="77"/>
      <c r="AT844" s="77"/>
      <c r="AU844" s="77"/>
      <c r="AV844" s="77"/>
      <c r="AW844" s="77"/>
      <c r="AX844" s="77"/>
      <c r="AY844" s="77"/>
      <c r="AZ844" s="77"/>
      <c r="BA844" s="77"/>
      <c r="BB844" s="77"/>
      <c r="BC844" s="77"/>
      <c r="BD844" s="77"/>
      <c r="BE844" s="77"/>
      <c r="BF844" s="77"/>
      <c r="BG844" s="77"/>
      <c r="BH844" s="77"/>
      <c r="BI844" s="77"/>
      <c r="BJ844" s="77"/>
      <c r="BK844" s="77"/>
      <c r="BL844" s="77"/>
      <c r="BM844" s="77"/>
    </row>
    <row r="845">
      <c r="A845" s="100" t="s">
        <v>69</v>
      </c>
      <c r="B845" s="100" t="b">
        <v>0</v>
      </c>
      <c r="C845" s="100" t="b">
        <v>0</v>
      </c>
      <c r="D845" s="42"/>
      <c r="E845" s="43"/>
      <c r="F845" s="101"/>
      <c r="G845" s="102"/>
      <c r="H845" s="103"/>
      <c r="I845" s="103"/>
      <c r="J845" s="104"/>
      <c r="K845" s="102"/>
      <c r="L845" s="102"/>
      <c r="M845" s="105"/>
      <c r="N845" s="105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  <c r="AK845" s="70"/>
      <c r="AL845" s="70"/>
      <c r="AM845" s="70"/>
      <c r="AN845" s="70"/>
      <c r="AO845" s="70"/>
      <c r="AP845" s="70"/>
      <c r="AQ845" s="77"/>
      <c r="AR845" s="77"/>
      <c r="AS845" s="77"/>
      <c r="AT845" s="77"/>
      <c r="AU845" s="77"/>
      <c r="AV845" s="77"/>
      <c r="AW845" s="77"/>
      <c r="AX845" s="77"/>
      <c r="AY845" s="77"/>
      <c r="AZ845" s="77"/>
      <c r="BA845" s="77"/>
      <c r="BB845" s="77"/>
      <c r="BC845" s="77"/>
      <c r="BD845" s="77"/>
      <c r="BE845" s="77"/>
      <c r="BF845" s="77"/>
      <c r="BG845" s="77"/>
      <c r="BH845" s="77"/>
      <c r="BI845" s="77"/>
      <c r="BJ845" s="77"/>
      <c r="BK845" s="77"/>
      <c r="BL845" s="77"/>
      <c r="BM845" s="77"/>
    </row>
    <row r="846">
      <c r="A846" s="99" t="s">
        <v>69</v>
      </c>
      <c r="B846" s="99" t="b">
        <v>0</v>
      </c>
      <c r="C846" s="99" t="b">
        <v>0</v>
      </c>
      <c r="D846" s="80"/>
      <c r="E846" s="81"/>
      <c r="F846" s="106"/>
      <c r="G846" s="107"/>
      <c r="H846" s="108"/>
      <c r="I846" s="108"/>
      <c r="J846" s="109"/>
      <c r="K846" s="107"/>
      <c r="L846" s="107"/>
      <c r="M846" s="110"/>
      <c r="N846" s="110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  <c r="AL846" s="70"/>
      <c r="AM846" s="70"/>
      <c r="AN846" s="70"/>
      <c r="AO846" s="70"/>
      <c r="AP846" s="70"/>
      <c r="AQ846" s="77"/>
      <c r="AR846" s="77"/>
      <c r="AS846" s="77"/>
      <c r="AT846" s="77"/>
      <c r="AU846" s="77"/>
      <c r="AV846" s="77"/>
      <c r="AW846" s="77"/>
      <c r="AX846" s="77"/>
      <c r="AY846" s="77"/>
      <c r="AZ846" s="77"/>
      <c r="BA846" s="77"/>
      <c r="BB846" s="77"/>
      <c r="BC846" s="77"/>
      <c r="BD846" s="77"/>
      <c r="BE846" s="77"/>
      <c r="BF846" s="77"/>
      <c r="BG846" s="77"/>
      <c r="BH846" s="77"/>
      <c r="BI846" s="77"/>
      <c r="BJ846" s="77"/>
      <c r="BK846" s="77"/>
      <c r="BL846" s="77"/>
      <c r="BM846" s="77"/>
    </row>
    <row r="847">
      <c r="A847" s="100" t="s">
        <v>69</v>
      </c>
      <c r="B847" s="100" t="b">
        <v>0</v>
      </c>
      <c r="C847" s="100" t="b">
        <v>0</v>
      </c>
      <c r="D847" s="42"/>
      <c r="E847" s="43"/>
      <c r="F847" s="101"/>
      <c r="G847" s="102"/>
      <c r="H847" s="103"/>
      <c r="I847" s="103"/>
      <c r="J847" s="104"/>
      <c r="K847" s="102"/>
      <c r="L847" s="102"/>
      <c r="M847" s="105"/>
      <c r="N847" s="105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  <c r="AL847" s="70"/>
      <c r="AM847" s="70"/>
      <c r="AN847" s="70"/>
      <c r="AO847" s="70"/>
      <c r="AP847" s="70"/>
      <c r="AQ847" s="77"/>
      <c r="AR847" s="77"/>
      <c r="AS847" s="77"/>
      <c r="AT847" s="77"/>
      <c r="AU847" s="77"/>
      <c r="AV847" s="77"/>
      <c r="AW847" s="77"/>
      <c r="AX847" s="77"/>
      <c r="AY847" s="77"/>
      <c r="AZ847" s="77"/>
      <c r="BA847" s="77"/>
      <c r="BB847" s="77"/>
      <c r="BC847" s="77"/>
      <c r="BD847" s="77"/>
      <c r="BE847" s="77"/>
      <c r="BF847" s="77"/>
      <c r="BG847" s="77"/>
      <c r="BH847" s="77"/>
      <c r="BI847" s="77"/>
      <c r="BJ847" s="77"/>
      <c r="BK847" s="77"/>
      <c r="BL847" s="77"/>
      <c r="BM847" s="77"/>
    </row>
    <row r="848">
      <c r="A848" s="99" t="s">
        <v>69</v>
      </c>
      <c r="B848" s="99" t="b">
        <v>0</v>
      </c>
      <c r="C848" s="99" t="b">
        <v>0</v>
      </c>
      <c r="D848" s="80"/>
      <c r="E848" s="81"/>
      <c r="F848" s="106"/>
      <c r="G848" s="107"/>
      <c r="H848" s="108"/>
      <c r="I848" s="108"/>
      <c r="J848" s="109"/>
      <c r="K848" s="107"/>
      <c r="L848" s="107"/>
      <c r="M848" s="110"/>
      <c r="N848" s="110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  <c r="AL848" s="70"/>
      <c r="AM848" s="70"/>
      <c r="AN848" s="70"/>
      <c r="AO848" s="70"/>
      <c r="AP848" s="70"/>
      <c r="AQ848" s="77"/>
      <c r="AR848" s="77"/>
      <c r="AS848" s="77"/>
      <c r="AT848" s="77"/>
      <c r="AU848" s="77"/>
      <c r="AV848" s="77"/>
      <c r="AW848" s="77"/>
      <c r="AX848" s="77"/>
      <c r="AY848" s="77"/>
      <c r="AZ848" s="77"/>
      <c r="BA848" s="77"/>
      <c r="BB848" s="77"/>
      <c r="BC848" s="77"/>
      <c r="BD848" s="77"/>
      <c r="BE848" s="77"/>
      <c r="BF848" s="77"/>
      <c r="BG848" s="77"/>
      <c r="BH848" s="77"/>
      <c r="BI848" s="77"/>
      <c r="BJ848" s="77"/>
      <c r="BK848" s="77"/>
      <c r="BL848" s="77"/>
      <c r="BM848" s="77"/>
    </row>
    <row r="849">
      <c r="A849" s="100" t="s">
        <v>69</v>
      </c>
      <c r="B849" s="100" t="b">
        <v>0</v>
      </c>
      <c r="C849" s="100" t="b">
        <v>0</v>
      </c>
      <c r="D849" s="42"/>
      <c r="E849" s="43"/>
      <c r="F849" s="101"/>
      <c r="G849" s="102"/>
      <c r="H849" s="103"/>
      <c r="I849" s="103"/>
      <c r="J849" s="104"/>
      <c r="K849" s="102"/>
      <c r="L849" s="102"/>
      <c r="M849" s="105"/>
      <c r="N849" s="105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  <c r="AL849" s="70"/>
      <c r="AM849" s="70"/>
      <c r="AN849" s="70"/>
      <c r="AO849" s="70"/>
      <c r="AP849" s="70"/>
      <c r="AQ849" s="77"/>
      <c r="AR849" s="77"/>
      <c r="AS849" s="77"/>
      <c r="AT849" s="77"/>
      <c r="AU849" s="77"/>
      <c r="AV849" s="77"/>
      <c r="AW849" s="77"/>
      <c r="AX849" s="77"/>
      <c r="AY849" s="77"/>
      <c r="AZ849" s="77"/>
      <c r="BA849" s="77"/>
      <c r="BB849" s="77"/>
      <c r="BC849" s="77"/>
      <c r="BD849" s="77"/>
      <c r="BE849" s="77"/>
      <c r="BF849" s="77"/>
      <c r="BG849" s="77"/>
      <c r="BH849" s="77"/>
      <c r="BI849" s="77"/>
      <c r="BJ849" s="77"/>
      <c r="BK849" s="77"/>
      <c r="BL849" s="77"/>
      <c r="BM849" s="77"/>
    </row>
    <row r="850">
      <c r="A850" s="99" t="s">
        <v>69</v>
      </c>
      <c r="B850" s="99" t="b">
        <v>0</v>
      </c>
      <c r="C850" s="99" t="b">
        <v>0</v>
      </c>
      <c r="D850" s="80"/>
      <c r="E850" s="81"/>
      <c r="F850" s="106"/>
      <c r="G850" s="107"/>
      <c r="H850" s="108"/>
      <c r="I850" s="108"/>
      <c r="J850" s="109"/>
      <c r="K850" s="107"/>
      <c r="L850" s="107"/>
      <c r="M850" s="110"/>
      <c r="N850" s="110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  <c r="AL850" s="70"/>
      <c r="AM850" s="70"/>
      <c r="AN850" s="70"/>
      <c r="AO850" s="70"/>
      <c r="AP850" s="70"/>
      <c r="AQ850" s="77"/>
      <c r="AR850" s="77"/>
      <c r="AS850" s="77"/>
      <c r="AT850" s="77"/>
      <c r="AU850" s="77"/>
      <c r="AV850" s="77"/>
      <c r="AW850" s="77"/>
      <c r="AX850" s="77"/>
      <c r="AY850" s="77"/>
      <c r="AZ850" s="77"/>
      <c r="BA850" s="77"/>
      <c r="BB850" s="77"/>
      <c r="BC850" s="77"/>
      <c r="BD850" s="77"/>
      <c r="BE850" s="77"/>
      <c r="BF850" s="77"/>
      <c r="BG850" s="77"/>
      <c r="BH850" s="77"/>
      <c r="BI850" s="77"/>
      <c r="BJ850" s="77"/>
      <c r="BK850" s="77"/>
      <c r="BL850" s="77"/>
      <c r="BM850" s="77"/>
    </row>
    <row r="851">
      <c r="A851" s="100" t="s">
        <v>69</v>
      </c>
      <c r="B851" s="100" t="b">
        <v>0</v>
      </c>
      <c r="C851" s="100" t="b">
        <v>0</v>
      </c>
      <c r="D851" s="42"/>
      <c r="E851" s="43"/>
      <c r="F851" s="101"/>
      <c r="G851" s="102"/>
      <c r="H851" s="103"/>
      <c r="I851" s="103"/>
      <c r="J851" s="104"/>
      <c r="K851" s="102"/>
      <c r="L851" s="102"/>
      <c r="M851" s="105"/>
      <c r="N851" s="105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  <c r="AK851" s="70"/>
      <c r="AL851" s="70"/>
      <c r="AM851" s="70"/>
      <c r="AN851" s="70"/>
      <c r="AO851" s="70"/>
      <c r="AP851" s="70"/>
      <c r="AQ851" s="77"/>
      <c r="AR851" s="77"/>
      <c r="AS851" s="77"/>
      <c r="AT851" s="77"/>
      <c r="AU851" s="77"/>
      <c r="AV851" s="77"/>
      <c r="AW851" s="77"/>
      <c r="AX851" s="77"/>
      <c r="AY851" s="77"/>
      <c r="AZ851" s="77"/>
      <c r="BA851" s="77"/>
      <c r="BB851" s="77"/>
      <c r="BC851" s="77"/>
      <c r="BD851" s="77"/>
      <c r="BE851" s="77"/>
      <c r="BF851" s="77"/>
      <c r="BG851" s="77"/>
      <c r="BH851" s="77"/>
      <c r="BI851" s="77"/>
      <c r="BJ851" s="77"/>
      <c r="BK851" s="77"/>
      <c r="BL851" s="77"/>
      <c r="BM851" s="77"/>
    </row>
    <row r="852">
      <c r="A852" s="99" t="s">
        <v>69</v>
      </c>
      <c r="B852" s="99" t="b">
        <v>0</v>
      </c>
      <c r="C852" s="99" t="b">
        <v>0</v>
      </c>
      <c r="D852" s="80"/>
      <c r="E852" s="81"/>
      <c r="F852" s="106"/>
      <c r="G852" s="107"/>
      <c r="H852" s="108"/>
      <c r="I852" s="108"/>
      <c r="J852" s="109"/>
      <c r="K852" s="107"/>
      <c r="L852" s="107"/>
      <c r="M852" s="110"/>
      <c r="N852" s="110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  <c r="AL852" s="70"/>
      <c r="AM852" s="70"/>
      <c r="AN852" s="70"/>
      <c r="AO852" s="70"/>
      <c r="AP852" s="70"/>
      <c r="AQ852" s="77"/>
      <c r="AR852" s="77"/>
      <c r="AS852" s="77"/>
      <c r="AT852" s="77"/>
      <c r="AU852" s="77"/>
      <c r="AV852" s="77"/>
      <c r="AW852" s="77"/>
      <c r="AX852" s="77"/>
      <c r="AY852" s="77"/>
      <c r="AZ852" s="77"/>
      <c r="BA852" s="77"/>
      <c r="BB852" s="77"/>
      <c r="BC852" s="77"/>
      <c r="BD852" s="77"/>
      <c r="BE852" s="77"/>
      <c r="BF852" s="77"/>
      <c r="BG852" s="77"/>
      <c r="BH852" s="77"/>
      <c r="BI852" s="77"/>
      <c r="BJ852" s="77"/>
      <c r="BK852" s="77"/>
      <c r="BL852" s="77"/>
      <c r="BM852" s="77"/>
    </row>
    <row r="853">
      <c r="A853" s="100" t="s">
        <v>69</v>
      </c>
      <c r="B853" s="100" t="b">
        <v>0</v>
      </c>
      <c r="C853" s="100" t="b">
        <v>0</v>
      </c>
      <c r="D853" s="42"/>
      <c r="E853" s="43"/>
      <c r="F853" s="101"/>
      <c r="G853" s="102"/>
      <c r="H853" s="103"/>
      <c r="I853" s="103"/>
      <c r="J853" s="104"/>
      <c r="K853" s="102"/>
      <c r="L853" s="102"/>
      <c r="M853" s="105"/>
      <c r="N853" s="105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  <c r="AL853" s="70"/>
      <c r="AM853" s="70"/>
      <c r="AN853" s="70"/>
      <c r="AO853" s="70"/>
      <c r="AP853" s="70"/>
      <c r="AQ853" s="77"/>
      <c r="AR853" s="77"/>
      <c r="AS853" s="77"/>
      <c r="AT853" s="77"/>
      <c r="AU853" s="77"/>
      <c r="AV853" s="77"/>
      <c r="AW853" s="77"/>
      <c r="AX853" s="77"/>
      <c r="AY853" s="77"/>
      <c r="AZ853" s="77"/>
      <c r="BA853" s="77"/>
      <c r="BB853" s="77"/>
      <c r="BC853" s="77"/>
      <c r="BD853" s="77"/>
      <c r="BE853" s="77"/>
      <c r="BF853" s="77"/>
      <c r="BG853" s="77"/>
      <c r="BH853" s="77"/>
      <c r="BI853" s="77"/>
      <c r="BJ853" s="77"/>
      <c r="BK853" s="77"/>
      <c r="BL853" s="77"/>
      <c r="BM853" s="77"/>
    </row>
    <row r="854">
      <c r="A854" s="99" t="s">
        <v>69</v>
      </c>
      <c r="B854" s="99" t="b">
        <v>0</v>
      </c>
      <c r="C854" s="99" t="b">
        <v>0</v>
      </c>
      <c r="D854" s="80"/>
      <c r="E854" s="81"/>
      <c r="F854" s="106"/>
      <c r="G854" s="107"/>
      <c r="H854" s="108"/>
      <c r="I854" s="108"/>
      <c r="J854" s="109"/>
      <c r="K854" s="107"/>
      <c r="L854" s="107"/>
      <c r="M854" s="110"/>
      <c r="N854" s="110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  <c r="AL854" s="70"/>
      <c r="AM854" s="70"/>
      <c r="AN854" s="70"/>
      <c r="AO854" s="70"/>
      <c r="AP854" s="70"/>
      <c r="AQ854" s="77"/>
      <c r="AR854" s="77"/>
      <c r="AS854" s="77"/>
      <c r="AT854" s="77"/>
      <c r="AU854" s="77"/>
      <c r="AV854" s="77"/>
      <c r="AW854" s="77"/>
      <c r="AX854" s="77"/>
      <c r="AY854" s="77"/>
      <c r="AZ854" s="77"/>
      <c r="BA854" s="77"/>
      <c r="BB854" s="77"/>
      <c r="BC854" s="77"/>
      <c r="BD854" s="77"/>
      <c r="BE854" s="77"/>
      <c r="BF854" s="77"/>
      <c r="BG854" s="77"/>
      <c r="BH854" s="77"/>
      <c r="BI854" s="77"/>
      <c r="BJ854" s="77"/>
      <c r="BK854" s="77"/>
      <c r="BL854" s="77"/>
      <c r="BM854" s="77"/>
    </row>
    <row r="855">
      <c r="A855" s="100" t="s">
        <v>69</v>
      </c>
      <c r="B855" s="100" t="b">
        <v>0</v>
      </c>
      <c r="C855" s="100" t="b">
        <v>0</v>
      </c>
      <c r="D855" s="42"/>
      <c r="E855" s="43"/>
      <c r="F855" s="101"/>
      <c r="G855" s="102"/>
      <c r="H855" s="103"/>
      <c r="I855" s="103"/>
      <c r="J855" s="104"/>
      <c r="K855" s="102"/>
      <c r="L855" s="102"/>
      <c r="M855" s="105"/>
      <c r="N855" s="105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  <c r="AK855" s="70"/>
      <c r="AL855" s="70"/>
      <c r="AM855" s="70"/>
      <c r="AN855" s="70"/>
      <c r="AO855" s="70"/>
      <c r="AP855" s="70"/>
      <c r="AQ855" s="77"/>
      <c r="AR855" s="77"/>
      <c r="AS855" s="77"/>
      <c r="AT855" s="77"/>
      <c r="AU855" s="77"/>
      <c r="AV855" s="77"/>
      <c r="AW855" s="77"/>
      <c r="AX855" s="77"/>
      <c r="AY855" s="77"/>
      <c r="AZ855" s="77"/>
      <c r="BA855" s="77"/>
      <c r="BB855" s="77"/>
      <c r="BC855" s="77"/>
      <c r="BD855" s="77"/>
      <c r="BE855" s="77"/>
      <c r="BF855" s="77"/>
      <c r="BG855" s="77"/>
      <c r="BH855" s="77"/>
      <c r="BI855" s="77"/>
      <c r="BJ855" s="77"/>
      <c r="BK855" s="77"/>
      <c r="BL855" s="77"/>
      <c r="BM855" s="77"/>
    </row>
    <row r="856">
      <c r="A856" s="99" t="s">
        <v>69</v>
      </c>
      <c r="B856" s="99" t="b">
        <v>0</v>
      </c>
      <c r="C856" s="99" t="b">
        <v>0</v>
      </c>
      <c r="D856" s="80"/>
      <c r="E856" s="81"/>
      <c r="F856" s="106"/>
      <c r="G856" s="107"/>
      <c r="H856" s="108"/>
      <c r="I856" s="108"/>
      <c r="J856" s="109"/>
      <c r="K856" s="107"/>
      <c r="L856" s="107"/>
      <c r="M856" s="110"/>
      <c r="N856" s="110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  <c r="AL856" s="70"/>
      <c r="AM856" s="70"/>
      <c r="AN856" s="70"/>
      <c r="AO856" s="70"/>
      <c r="AP856" s="70"/>
      <c r="AQ856" s="77"/>
      <c r="AR856" s="77"/>
      <c r="AS856" s="77"/>
      <c r="AT856" s="77"/>
      <c r="AU856" s="77"/>
      <c r="AV856" s="77"/>
      <c r="AW856" s="77"/>
      <c r="AX856" s="77"/>
      <c r="AY856" s="77"/>
      <c r="AZ856" s="77"/>
      <c r="BA856" s="77"/>
      <c r="BB856" s="77"/>
      <c r="BC856" s="77"/>
      <c r="BD856" s="77"/>
      <c r="BE856" s="77"/>
      <c r="BF856" s="77"/>
      <c r="BG856" s="77"/>
      <c r="BH856" s="77"/>
      <c r="BI856" s="77"/>
      <c r="BJ856" s="77"/>
      <c r="BK856" s="77"/>
      <c r="BL856" s="77"/>
      <c r="BM856" s="77"/>
    </row>
    <row r="857">
      <c r="A857" s="100" t="s">
        <v>69</v>
      </c>
      <c r="B857" s="100" t="b">
        <v>0</v>
      </c>
      <c r="C857" s="100" t="b">
        <v>0</v>
      </c>
      <c r="D857" s="42"/>
      <c r="E857" s="43"/>
      <c r="F857" s="101"/>
      <c r="G857" s="102"/>
      <c r="H857" s="103"/>
      <c r="I857" s="103"/>
      <c r="J857" s="104"/>
      <c r="K857" s="102"/>
      <c r="L857" s="102"/>
      <c r="M857" s="105"/>
      <c r="N857" s="105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  <c r="AL857" s="70"/>
      <c r="AM857" s="70"/>
      <c r="AN857" s="70"/>
      <c r="AO857" s="70"/>
      <c r="AP857" s="70"/>
      <c r="AQ857" s="77"/>
      <c r="AR857" s="77"/>
      <c r="AS857" s="77"/>
      <c r="AT857" s="77"/>
      <c r="AU857" s="77"/>
      <c r="AV857" s="77"/>
      <c r="AW857" s="77"/>
      <c r="AX857" s="77"/>
      <c r="AY857" s="77"/>
      <c r="AZ857" s="77"/>
      <c r="BA857" s="77"/>
      <c r="BB857" s="77"/>
      <c r="BC857" s="77"/>
      <c r="BD857" s="77"/>
      <c r="BE857" s="77"/>
      <c r="BF857" s="77"/>
      <c r="BG857" s="77"/>
      <c r="BH857" s="77"/>
      <c r="BI857" s="77"/>
      <c r="BJ857" s="77"/>
      <c r="BK857" s="77"/>
      <c r="BL857" s="77"/>
      <c r="BM857" s="77"/>
    </row>
    <row r="858">
      <c r="A858" s="99" t="s">
        <v>69</v>
      </c>
      <c r="B858" s="99" t="b">
        <v>0</v>
      </c>
      <c r="C858" s="99" t="b">
        <v>0</v>
      </c>
      <c r="D858" s="80"/>
      <c r="E858" s="81"/>
      <c r="F858" s="106"/>
      <c r="G858" s="107"/>
      <c r="H858" s="108"/>
      <c r="I858" s="108"/>
      <c r="J858" s="109"/>
      <c r="K858" s="107"/>
      <c r="L858" s="107"/>
      <c r="M858" s="110"/>
      <c r="N858" s="110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  <c r="AL858" s="70"/>
      <c r="AM858" s="70"/>
      <c r="AN858" s="70"/>
      <c r="AO858" s="70"/>
      <c r="AP858" s="70"/>
      <c r="AQ858" s="77"/>
      <c r="AR858" s="77"/>
      <c r="AS858" s="77"/>
      <c r="AT858" s="77"/>
      <c r="AU858" s="77"/>
      <c r="AV858" s="77"/>
      <c r="AW858" s="77"/>
      <c r="AX858" s="77"/>
      <c r="AY858" s="77"/>
      <c r="AZ858" s="77"/>
      <c r="BA858" s="77"/>
      <c r="BB858" s="77"/>
      <c r="BC858" s="77"/>
      <c r="BD858" s="77"/>
      <c r="BE858" s="77"/>
      <c r="BF858" s="77"/>
      <c r="BG858" s="77"/>
      <c r="BH858" s="77"/>
      <c r="BI858" s="77"/>
      <c r="BJ858" s="77"/>
      <c r="BK858" s="77"/>
      <c r="BL858" s="77"/>
      <c r="BM858" s="77"/>
    </row>
    <row r="859">
      <c r="A859" s="100" t="s">
        <v>69</v>
      </c>
      <c r="B859" s="100" t="b">
        <v>0</v>
      </c>
      <c r="C859" s="100" t="b">
        <v>0</v>
      </c>
      <c r="D859" s="42"/>
      <c r="E859" s="43"/>
      <c r="F859" s="101"/>
      <c r="G859" s="102"/>
      <c r="H859" s="103"/>
      <c r="I859" s="103"/>
      <c r="J859" s="104"/>
      <c r="K859" s="102"/>
      <c r="L859" s="102"/>
      <c r="M859" s="105"/>
      <c r="N859" s="105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  <c r="AL859" s="70"/>
      <c r="AM859" s="70"/>
      <c r="AN859" s="70"/>
      <c r="AO859" s="70"/>
      <c r="AP859" s="70"/>
      <c r="AQ859" s="77"/>
      <c r="AR859" s="77"/>
      <c r="AS859" s="77"/>
      <c r="AT859" s="77"/>
      <c r="AU859" s="77"/>
      <c r="AV859" s="77"/>
      <c r="AW859" s="77"/>
      <c r="AX859" s="77"/>
      <c r="AY859" s="77"/>
      <c r="AZ859" s="77"/>
      <c r="BA859" s="77"/>
      <c r="BB859" s="77"/>
      <c r="BC859" s="77"/>
      <c r="BD859" s="77"/>
      <c r="BE859" s="77"/>
      <c r="BF859" s="77"/>
      <c r="BG859" s="77"/>
      <c r="BH859" s="77"/>
      <c r="BI859" s="77"/>
      <c r="BJ859" s="77"/>
      <c r="BK859" s="77"/>
      <c r="BL859" s="77"/>
      <c r="BM859" s="77"/>
    </row>
    <row r="860">
      <c r="A860" s="99" t="s">
        <v>69</v>
      </c>
      <c r="B860" s="99" t="b">
        <v>0</v>
      </c>
      <c r="C860" s="99" t="b">
        <v>0</v>
      </c>
      <c r="D860" s="80"/>
      <c r="E860" s="81"/>
      <c r="F860" s="106"/>
      <c r="G860" s="107"/>
      <c r="H860" s="108"/>
      <c r="I860" s="108"/>
      <c r="J860" s="109"/>
      <c r="K860" s="107"/>
      <c r="L860" s="107"/>
      <c r="M860" s="110"/>
      <c r="N860" s="110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  <c r="AL860" s="70"/>
      <c r="AM860" s="70"/>
      <c r="AN860" s="70"/>
      <c r="AO860" s="70"/>
      <c r="AP860" s="70"/>
      <c r="AQ860" s="77"/>
      <c r="AR860" s="77"/>
      <c r="AS860" s="77"/>
      <c r="AT860" s="77"/>
      <c r="AU860" s="77"/>
      <c r="AV860" s="77"/>
      <c r="AW860" s="77"/>
      <c r="AX860" s="77"/>
      <c r="AY860" s="77"/>
      <c r="AZ860" s="77"/>
      <c r="BA860" s="77"/>
      <c r="BB860" s="77"/>
      <c r="BC860" s="77"/>
      <c r="BD860" s="77"/>
      <c r="BE860" s="77"/>
      <c r="BF860" s="77"/>
      <c r="BG860" s="77"/>
      <c r="BH860" s="77"/>
      <c r="BI860" s="77"/>
      <c r="BJ860" s="77"/>
      <c r="BK860" s="77"/>
      <c r="BL860" s="77"/>
      <c r="BM860" s="77"/>
    </row>
    <row r="861">
      <c r="A861" s="100" t="s">
        <v>69</v>
      </c>
      <c r="B861" s="100" t="b">
        <v>0</v>
      </c>
      <c r="C861" s="100" t="b">
        <v>0</v>
      </c>
      <c r="D861" s="42"/>
      <c r="E861" s="43"/>
      <c r="F861" s="101"/>
      <c r="G861" s="102"/>
      <c r="H861" s="103"/>
      <c r="I861" s="103"/>
      <c r="J861" s="104"/>
      <c r="K861" s="102"/>
      <c r="L861" s="102"/>
      <c r="M861" s="105"/>
      <c r="N861" s="105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7"/>
      <c r="AR861" s="77"/>
      <c r="AS861" s="77"/>
      <c r="AT861" s="77"/>
      <c r="AU861" s="77"/>
      <c r="AV861" s="77"/>
      <c r="AW861" s="77"/>
      <c r="AX861" s="77"/>
      <c r="AY861" s="77"/>
      <c r="AZ861" s="77"/>
      <c r="BA861" s="77"/>
      <c r="BB861" s="77"/>
      <c r="BC861" s="77"/>
      <c r="BD861" s="77"/>
      <c r="BE861" s="77"/>
      <c r="BF861" s="77"/>
      <c r="BG861" s="77"/>
      <c r="BH861" s="77"/>
      <c r="BI861" s="77"/>
      <c r="BJ861" s="77"/>
      <c r="BK861" s="77"/>
      <c r="BL861" s="77"/>
      <c r="BM861" s="77"/>
    </row>
    <row r="862">
      <c r="A862" s="99" t="s">
        <v>69</v>
      </c>
      <c r="B862" s="99" t="b">
        <v>0</v>
      </c>
      <c r="C862" s="99" t="b">
        <v>0</v>
      </c>
      <c r="D862" s="80"/>
      <c r="E862" s="81"/>
      <c r="F862" s="106"/>
      <c r="G862" s="107"/>
      <c r="H862" s="108"/>
      <c r="I862" s="108"/>
      <c r="J862" s="109"/>
      <c r="K862" s="107"/>
      <c r="L862" s="107"/>
      <c r="M862" s="110"/>
      <c r="N862" s="110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7"/>
      <c r="AR862" s="77"/>
      <c r="AS862" s="77"/>
      <c r="AT862" s="77"/>
      <c r="AU862" s="77"/>
      <c r="AV862" s="77"/>
      <c r="AW862" s="77"/>
      <c r="AX862" s="77"/>
      <c r="AY862" s="77"/>
      <c r="AZ862" s="77"/>
      <c r="BA862" s="77"/>
      <c r="BB862" s="77"/>
      <c r="BC862" s="77"/>
      <c r="BD862" s="77"/>
      <c r="BE862" s="77"/>
      <c r="BF862" s="77"/>
      <c r="BG862" s="77"/>
      <c r="BH862" s="77"/>
      <c r="BI862" s="77"/>
      <c r="BJ862" s="77"/>
      <c r="BK862" s="77"/>
      <c r="BL862" s="77"/>
      <c r="BM862" s="77"/>
    </row>
    <row r="863">
      <c r="A863" s="100" t="s">
        <v>69</v>
      </c>
      <c r="B863" s="100" t="b">
        <v>0</v>
      </c>
      <c r="C863" s="100" t="b">
        <v>0</v>
      </c>
      <c r="D863" s="42"/>
      <c r="E863" s="43"/>
      <c r="F863" s="101"/>
      <c r="G863" s="102"/>
      <c r="H863" s="103"/>
      <c r="I863" s="103"/>
      <c r="J863" s="104"/>
      <c r="K863" s="102"/>
      <c r="L863" s="102"/>
      <c r="M863" s="105"/>
      <c r="N863" s="105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  <c r="AL863" s="70"/>
      <c r="AM863" s="70"/>
      <c r="AN863" s="70"/>
      <c r="AO863" s="70"/>
      <c r="AP863" s="70"/>
      <c r="AQ863" s="77"/>
      <c r="AR863" s="77"/>
      <c r="AS863" s="77"/>
      <c r="AT863" s="77"/>
      <c r="AU863" s="77"/>
      <c r="AV863" s="77"/>
      <c r="AW863" s="77"/>
      <c r="AX863" s="77"/>
      <c r="AY863" s="77"/>
      <c r="AZ863" s="77"/>
      <c r="BA863" s="77"/>
      <c r="BB863" s="77"/>
      <c r="BC863" s="77"/>
      <c r="BD863" s="77"/>
      <c r="BE863" s="77"/>
      <c r="BF863" s="77"/>
      <c r="BG863" s="77"/>
      <c r="BH863" s="77"/>
      <c r="BI863" s="77"/>
      <c r="BJ863" s="77"/>
      <c r="BK863" s="77"/>
      <c r="BL863" s="77"/>
      <c r="BM863" s="77"/>
    </row>
    <row r="864">
      <c r="A864" s="99" t="s">
        <v>69</v>
      </c>
      <c r="B864" s="99" t="b">
        <v>0</v>
      </c>
      <c r="C864" s="99" t="b">
        <v>0</v>
      </c>
      <c r="D864" s="80"/>
      <c r="E864" s="81"/>
      <c r="F864" s="106"/>
      <c r="G864" s="107"/>
      <c r="H864" s="108"/>
      <c r="I864" s="108"/>
      <c r="J864" s="109"/>
      <c r="K864" s="107"/>
      <c r="L864" s="107"/>
      <c r="M864" s="110"/>
      <c r="N864" s="110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7"/>
      <c r="AR864" s="77"/>
      <c r="AS864" s="77"/>
      <c r="AT864" s="77"/>
      <c r="AU864" s="77"/>
      <c r="AV864" s="77"/>
      <c r="AW864" s="77"/>
      <c r="AX864" s="77"/>
      <c r="AY864" s="77"/>
      <c r="AZ864" s="77"/>
      <c r="BA864" s="77"/>
      <c r="BB864" s="77"/>
      <c r="BC864" s="77"/>
      <c r="BD864" s="77"/>
      <c r="BE864" s="77"/>
      <c r="BF864" s="77"/>
      <c r="BG864" s="77"/>
      <c r="BH864" s="77"/>
      <c r="BI864" s="77"/>
      <c r="BJ864" s="77"/>
      <c r="BK864" s="77"/>
      <c r="BL864" s="77"/>
      <c r="BM864" s="77"/>
    </row>
    <row r="865">
      <c r="A865" s="100" t="s">
        <v>69</v>
      </c>
      <c r="B865" s="100" t="b">
        <v>0</v>
      </c>
      <c r="C865" s="100" t="b">
        <v>0</v>
      </c>
      <c r="D865" s="42"/>
      <c r="E865" s="43"/>
      <c r="F865" s="101"/>
      <c r="G865" s="102"/>
      <c r="H865" s="103"/>
      <c r="I865" s="103"/>
      <c r="J865" s="104"/>
      <c r="K865" s="102"/>
      <c r="L865" s="102"/>
      <c r="M865" s="105"/>
      <c r="N865" s="105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  <c r="AL865" s="70"/>
      <c r="AM865" s="70"/>
      <c r="AN865" s="70"/>
      <c r="AO865" s="70"/>
      <c r="AP865" s="70"/>
      <c r="AQ865" s="77"/>
      <c r="AR865" s="77"/>
      <c r="AS865" s="77"/>
      <c r="AT865" s="77"/>
      <c r="AU865" s="77"/>
      <c r="AV865" s="77"/>
      <c r="AW865" s="77"/>
      <c r="AX865" s="77"/>
      <c r="AY865" s="77"/>
      <c r="AZ865" s="77"/>
      <c r="BA865" s="77"/>
      <c r="BB865" s="77"/>
      <c r="BC865" s="77"/>
      <c r="BD865" s="77"/>
      <c r="BE865" s="77"/>
      <c r="BF865" s="77"/>
      <c r="BG865" s="77"/>
      <c r="BH865" s="77"/>
      <c r="BI865" s="77"/>
      <c r="BJ865" s="77"/>
      <c r="BK865" s="77"/>
      <c r="BL865" s="77"/>
      <c r="BM865" s="77"/>
    </row>
    <row r="866">
      <c r="A866" s="99" t="s">
        <v>69</v>
      </c>
      <c r="B866" s="99" t="b">
        <v>0</v>
      </c>
      <c r="C866" s="99" t="b">
        <v>0</v>
      </c>
      <c r="D866" s="80"/>
      <c r="E866" s="81"/>
      <c r="F866" s="106"/>
      <c r="G866" s="107"/>
      <c r="H866" s="108"/>
      <c r="I866" s="108"/>
      <c r="J866" s="109"/>
      <c r="K866" s="107"/>
      <c r="L866" s="107"/>
      <c r="M866" s="110"/>
      <c r="N866" s="110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  <c r="AL866" s="70"/>
      <c r="AM866" s="70"/>
      <c r="AN866" s="70"/>
      <c r="AO866" s="70"/>
      <c r="AP866" s="70"/>
      <c r="AQ866" s="77"/>
      <c r="AR866" s="77"/>
      <c r="AS866" s="77"/>
      <c r="AT866" s="77"/>
      <c r="AU866" s="77"/>
      <c r="AV866" s="77"/>
      <c r="AW866" s="77"/>
      <c r="AX866" s="77"/>
      <c r="AY866" s="77"/>
      <c r="AZ866" s="77"/>
      <c r="BA866" s="77"/>
      <c r="BB866" s="77"/>
      <c r="BC866" s="77"/>
      <c r="BD866" s="77"/>
      <c r="BE866" s="77"/>
      <c r="BF866" s="77"/>
      <c r="BG866" s="77"/>
      <c r="BH866" s="77"/>
      <c r="BI866" s="77"/>
      <c r="BJ866" s="77"/>
      <c r="BK866" s="77"/>
      <c r="BL866" s="77"/>
      <c r="BM866" s="77"/>
    </row>
    <row r="867">
      <c r="A867" s="100" t="s">
        <v>69</v>
      </c>
      <c r="B867" s="100" t="b">
        <v>0</v>
      </c>
      <c r="C867" s="100" t="b">
        <v>0</v>
      </c>
      <c r="D867" s="42"/>
      <c r="E867" s="43"/>
      <c r="F867" s="101"/>
      <c r="G867" s="102"/>
      <c r="H867" s="103"/>
      <c r="I867" s="103"/>
      <c r="J867" s="104"/>
      <c r="K867" s="102"/>
      <c r="L867" s="102"/>
      <c r="M867" s="105"/>
      <c r="N867" s="105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  <c r="AL867" s="70"/>
      <c r="AM867" s="70"/>
      <c r="AN867" s="70"/>
      <c r="AO867" s="70"/>
      <c r="AP867" s="70"/>
      <c r="AQ867" s="77"/>
      <c r="AR867" s="77"/>
      <c r="AS867" s="77"/>
      <c r="AT867" s="77"/>
      <c r="AU867" s="77"/>
      <c r="AV867" s="77"/>
      <c r="AW867" s="77"/>
      <c r="AX867" s="77"/>
      <c r="AY867" s="77"/>
      <c r="AZ867" s="77"/>
      <c r="BA867" s="77"/>
      <c r="BB867" s="77"/>
      <c r="BC867" s="77"/>
      <c r="BD867" s="77"/>
      <c r="BE867" s="77"/>
      <c r="BF867" s="77"/>
      <c r="BG867" s="77"/>
      <c r="BH867" s="77"/>
      <c r="BI867" s="77"/>
      <c r="BJ867" s="77"/>
      <c r="BK867" s="77"/>
      <c r="BL867" s="77"/>
      <c r="BM867" s="77"/>
    </row>
    <row r="868">
      <c r="A868" s="99" t="s">
        <v>69</v>
      </c>
      <c r="B868" s="99" t="b">
        <v>0</v>
      </c>
      <c r="C868" s="99" t="b">
        <v>0</v>
      </c>
      <c r="D868" s="80"/>
      <c r="E868" s="81"/>
      <c r="F868" s="106"/>
      <c r="G868" s="107"/>
      <c r="H868" s="108"/>
      <c r="I868" s="108"/>
      <c r="J868" s="109"/>
      <c r="K868" s="107"/>
      <c r="L868" s="107"/>
      <c r="M868" s="110"/>
      <c r="N868" s="110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  <c r="AL868" s="70"/>
      <c r="AM868" s="70"/>
      <c r="AN868" s="70"/>
      <c r="AO868" s="70"/>
      <c r="AP868" s="70"/>
      <c r="AQ868" s="77"/>
      <c r="AR868" s="77"/>
      <c r="AS868" s="77"/>
      <c r="AT868" s="77"/>
      <c r="AU868" s="77"/>
      <c r="AV868" s="77"/>
      <c r="AW868" s="77"/>
      <c r="AX868" s="77"/>
      <c r="AY868" s="77"/>
      <c r="AZ868" s="77"/>
      <c r="BA868" s="77"/>
      <c r="BB868" s="77"/>
      <c r="BC868" s="77"/>
      <c r="BD868" s="77"/>
      <c r="BE868" s="77"/>
      <c r="BF868" s="77"/>
      <c r="BG868" s="77"/>
      <c r="BH868" s="77"/>
      <c r="BI868" s="77"/>
      <c r="BJ868" s="77"/>
      <c r="BK868" s="77"/>
      <c r="BL868" s="77"/>
      <c r="BM868" s="77"/>
    </row>
    <row r="869">
      <c r="A869" s="100" t="s">
        <v>69</v>
      </c>
      <c r="B869" s="100" t="b">
        <v>0</v>
      </c>
      <c r="C869" s="100" t="b">
        <v>0</v>
      </c>
      <c r="D869" s="42"/>
      <c r="E869" s="43"/>
      <c r="F869" s="101"/>
      <c r="G869" s="102"/>
      <c r="H869" s="103"/>
      <c r="I869" s="103"/>
      <c r="J869" s="104"/>
      <c r="K869" s="102"/>
      <c r="L869" s="102"/>
      <c r="M869" s="105"/>
      <c r="N869" s="105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  <c r="AL869" s="70"/>
      <c r="AM869" s="70"/>
      <c r="AN869" s="70"/>
      <c r="AO869" s="70"/>
      <c r="AP869" s="70"/>
      <c r="AQ869" s="77"/>
      <c r="AR869" s="77"/>
      <c r="AS869" s="77"/>
      <c r="AT869" s="77"/>
      <c r="AU869" s="77"/>
      <c r="AV869" s="77"/>
      <c r="AW869" s="77"/>
      <c r="AX869" s="77"/>
      <c r="AY869" s="77"/>
      <c r="AZ869" s="77"/>
      <c r="BA869" s="77"/>
      <c r="BB869" s="77"/>
      <c r="BC869" s="77"/>
      <c r="BD869" s="77"/>
      <c r="BE869" s="77"/>
      <c r="BF869" s="77"/>
      <c r="BG869" s="77"/>
      <c r="BH869" s="77"/>
      <c r="BI869" s="77"/>
      <c r="BJ869" s="77"/>
      <c r="BK869" s="77"/>
      <c r="BL869" s="77"/>
      <c r="BM869" s="77"/>
    </row>
    <row r="870">
      <c r="A870" s="99" t="s">
        <v>69</v>
      </c>
      <c r="B870" s="99" t="b">
        <v>0</v>
      </c>
      <c r="C870" s="99" t="b">
        <v>0</v>
      </c>
      <c r="D870" s="80"/>
      <c r="E870" s="81"/>
      <c r="F870" s="106"/>
      <c r="G870" s="107"/>
      <c r="H870" s="108"/>
      <c r="I870" s="108"/>
      <c r="J870" s="109"/>
      <c r="K870" s="107"/>
      <c r="L870" s="107"/>
      <c r="M870" s="110"/>
      <c r="N870" s="110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  <c r="AL870" s="70"/>
      <c r="AM870" s="70"/>
      <c r="AN870" s="70"/>
      <c r="AO870" s="70"/>
      <c r="AP870" s="70"/>
      <c r="AQ870" s="77"/>
      <c r="AR870" s="77"/>
      <c r="AS870" s="77"/>
      <c r="AT870" s="77"/>
      <c r="AU870" s="77"/>
      <c r="AV870" s="77"/>
      <c r="AW870" s="77"/>
      <c r="AX870" s="77"/>
      <c r="AY870" s="77"/>
      <c r="AZ870" s="77"/>
      <c r="BA870" s="77"/>
      <c r="BB870" s="77"/>
      <c r="BC870" s="77"/>
      <c r="BD870" s="77"/>
      <c r="BE870" s="77"/>
      <c r="BF870" s="77"/>
      <c r="BG870" s="77"/>
      <c r="BH870" s="77"/>
      <c r="BI870" s="77"/>
      <c r="BJ870" s="77"/>
      <c r="BK870" s="77"/>
      <c r="BL870" s="77"/>
      <c r="BM870" s="77"/>
    </row>
    <row r="871">
      <c r="A871" s="100" t="s">
        <v>69</v>
      </c>
      <c r="B871" s="100" t="b">
        <v>0</v>
      </c>
      <c r="C871" s="100" t="b">
        <v>0</v>
      </c>
      <c r="D871" s="42"/>
      <c r="E871" s="43"/>
      <c r="F871" s="101"/>
      <c r="G871" s="102"/>
      <c r="H871" s="103"/>
      <c r="I871" s="103"/>
      <c r="J871" s="104"/>
      <c r="K871" s="102"/>
      <c r="L871" s="102"/>
      <c r="M871" s="105"/>
      <c r="N871" s="105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  <c r="AL871" s="70"/>
      <c r="AM871" s="70"/>
      <c r="AN871" s="70"/>
      <c r="AO871" s="70"/>
      <c r="AP871" s="70"/>
      <c r="AQ871" s="77"/>
      <c r="AR871" s="77"/>
      <c r="AS871" s="77"/>
      <c r="AT871" s="77"/>
      <c r="AU871" s="77"/>
      <c r="AV871" s="77"/>
      <c r="AW871" s="77"/>
      <c r="AX871" s="77"/>
      <c r="AY871" s="77"/>
      <c r="AZ871" s="77"/>
      <c r="BA871" s="77"/>
      <c r="BB871" s="77"/>
      <c r="BC871" s="77"/>
      <c r="BD871" s="77"/>
      <c r="BE871" s="77"/>
      <c r="BF871" s="77"/>
      <c r="BG871" s="77"/>
      <c r="BH871" s="77"/>
      <c r="BI871" s="77"/>
      <c r="BJ871" s="77"/>
      <c r="BK871" s="77"/>
      <c r="BL871" s="77"/>
      <c r="BM871" s="77"/>
    </row>
    <row r="872">
      <c r="A872" s="99" t="s">
        <v>69</v>
      </c>
      <c r="B872" s="99" t="b">
        <v>0</v>
      </c>
      <c r="C872" s="99" t="b">
        <v>0</v>
      </c>
      <c r="D872" s="80"/>
      <c r="E872" s="81"/>
      <c r="F872" s="106"/>
      <c r="G872" s="107"/>
      <c r="H872" s="108"/>
      <c r="I872" s="108"/>
      <c r="J872" s="109"/>
      <c r="K872" s="107"/>
      <c r="L872" s="107"/>
      <c r="M872" s="110"/>
      <c r="N872" s="110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  <c r="AL872" s="70"/>
      <c r="AM872" s="70"/>
      <c r="AN872" s="70"/>
      <c r="AO872" s="70"/>
      <c r="AP872" s="70"/>
      <c r="AQ872" s="77"/>
      <c r="AR872" s="77"/>
      <c r="AS872" s="77"/>
      <c r="AT872" s="77"/>
      <c r="AU872" s="77"/>
      <c r="AV872" s="77"/>
      <c r="AW872" s="77"/>
      <c r="AX872" s="77"/>
      <c r="AY872" s="77"/>
      <c r="AZ872" s="77"/>
      <c r="BA872" s="77"/>
      <c r="BB872" s="77"/>
      <c r="BC872" s="77"/>
      <c r="BD872" s="77"/>
      <c r="BE872" s="77"/>
      <c r="BF872" s="77"/>
      <c r="BG872" s="77"/>
      <c r="BH872" s="77"/>
      <c r="BI872" s="77"/>
      <c r="BJ872" s="77"/>
      <c r="BK872" s="77"/>
      <c r="BL872" s="77"/>
      <c r="BM872" s="77"/>
    </row>
    <row r="873">
      <c r="A873" s="100" t="s">
        <v>69</v>
      </c>
      <c r="B873" s="100" t="b">
        <v>0</v>
      </c>
      <c r="C873" s="100" t="b">
        <v>0</v>
      </c>
      <c r="D873" s="42"/>
      <c r="E873" s="43"/>
      <c r="F873" s="101"/>
      <c r="G873" s="102"/>
      <c r="H873" s="103"/>
      <c r="I873" s="103"/>
      <c r="J873" s="104"/>
      <c r="K873" s="102"/>
      <c r="L873" s="102"/>
      <c r="M873" s="105"/>
      <c r="N873" s="105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  <c r="AL873" s="70"/>
      <c r="AM873" s="70"/>
      <c r="AN873" s="70"/>
      <c r="AO873" s="70"/>
      <c r="AP873" s="70"/>
      <c r="AQ873" s="77"/>
      <c r="AR873" s="77"/>
      <c r="AS873" s="77"/>
      <c r="AT873" s="77"/>
      <c r="AU873" s="77"/>
      <c r="AV873" s="77"/>
      <c r="AW873" s="77"/>
      <c r="AX873" s="77"/>
      <c r="AY873" s="77"/>
      <c r="AZ873" s="77"/>
      <c r="BA873" s="77"/>
      <c r="BB873" s="77"/>
      <c r="BC873" s="77"/>
      <c r="BD873" s="77"/>
      <c r="BE873" s="77"/>
      <c r="BF873" s="77"/>
      <c r="BG873" s="77"/>
      <c r="BH873" s="77"/>
      <c r="BI873" s="77"/>
      <c r="BJ873" s="77"/>
      <c r="BK873" s="77"/>
      <c r="BL873" s="77"/>
      <c r="BM873" s="77"/>
    </row>
    <row r="874">
      <c r="A874" s="99" t="s">
        <v>69</v>
      </c>
      <c r="B874" s="99" t="b">
        <v>0</v>
      </c>
      <c r="C874" s="99" t="b">
        <v>0</v>
      </c>
      <c r="D874" s="80"/>
      <c r="E874" s="81"/>
      <c r="F874" s="106"/>
      <c r="G874" s="107"/>
      <c r="H874" s="108"/>
      <c r="I874" s="108"/>
      <c r="J874" s="109"/>
      <c r="K874" s="107"/>
      <c r="L874" s="107"/>
      <c r="M874" s="110"/>
      <c r="N874" s="110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  <c r="AL874" s="70"/>
      <c r="AM874" s="70"/>
      <c r="AN874" s="70"/>
      <c r="AO874" s="70"/>
      <c r="AP874" s="70"/>
      <c r="AQ874" s="77"/>
      <c r="AR874" s="77"/>
      <c r="AS874" s="77"/>
      <c r="AT874" s="77"/>
      <c r="AU874" s="77"/>
      <c r="AV874" s="77"/>
      <c r="AW874" s="77"/>
      <c r="AX874" s="77"/>
      <c r="AY874" s="77"/>
      <c r="AZ874" s="77"/>
      <c r="BA874" s="77"/>
      <c r="BB874" s="77"/>
      <c r="BC874" s="77"/>
      <c r="BD874" s="77"/>
      <c r="BE874" s="77"/>
      <c r="BF874" s="77"/>
      <c r="BG874" s="77"/>
      <c r="BH874" s="77"/>
      <c r="BI874" s="77"/>
      <c r="BJ874" s="77"/>
      <c r="BK874" s="77"/>
      <c r="BL874" s="77"/>
      <c r="BM874" s="77"/>
    </row>
    <row r="875">
      <c r="A875" s="100" t="s">
        <v>69</v>
      </c>
      <c r="B875" s="100" t="b">
        <v>0</v>
      </c>
      <c r="C875" s="100" t="b">
        <v>0</v>
      </c>
      <c r="D875" s="42"/>
      <c r="E875" s="43"/>
      <c r="F875" s="101"/>
      <c r="G875" s="102"/>
      <c r="H875" s="103"/>
      <c r="I875" s="103"/>
      <c r="J875" s="104"/>
      <c r="K875" s="102"/>
      <c r="L875" s="102"/>
      <c r="M875" s="105"/>
      <c r="N875" s="105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  <c r="AL875" s="70"/>
      <c r="AM875" s="70"/>
      <c r="AN875" s="70"/>
      <c r="AO875" s="70"/>
      <c r="AP875" s="70"/>
      <c r="AQ875" s="77"/>
      <c r="AR875" s="77"/>
      <c r="AS875" s="77"/>
      <c r="AT875" s="77"/>
      <c r="AU875" s="77"/>
      <c r="AV875" s="77"/>
      <c r="AW875" s="77"/>
      <c r="AX875" s="77"/>
      <c r="AY875" s="77"/>
      <c r="AZ875" s="77"/>
      <c r="BA875" s="77"/>
      <c r="BB875" s="77"/>
      <c r="BC875" s="77"/>
      <c r="BD875" s="77"/>
      <c r="BE875" s="77"/>
      <c r="BF875" s="77"/>
      <c r="BG875" s="77"/>
      <c r="BH875" s="77"/>
      <c r="BI875" s="77"/>
      <c r="BJ875" s="77"/>
      <c r="BK875" s="77"/>
      <c r="BL875" s="77"/>
      <c r="BM875" s="77"/>
    </row>
    <row r="876">
      <c r="A876" s="99" t="s">
        <v>69</v>
      </c>
      <c r="B876" s="99" t="b">
        <v>0</v>
      </c>
      <c r="C876" s="99" t="b">
        <v>0</v>
      </c>
      <c r="D876" s="80"/>
      <c r="E876" s="81"/>
      <c r="F876" s="106"/>
      <c r="G876" s="107"/>
      <c r="H876" s="108"/>
      <c r="I876" s="108"/>
      <c r="J876" s="109"/>
      <c r="K876" s="107"/>
      <c r="L876" s="107"/>
      <c r="M876" s="110"/>
      <c r="N876" s="110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  <c r="AL876" s="70"/>
      <c r="AM876" s="70"/>
      <c r="AN876" s="70"/>
      <c r="AO876" s="70"/>
      <c r="AP876" s="70"/>
      <c r="AQ876" s="77"/>
      <c r="AR876" s="77"/>
      <c r="AS876" s="77"/>
      <c r="AT876" s="77"/>
      <c r="AU876" s="77"/>
      <c r="AV876" s="77"/>
      <c r="AW876" s="77"/>
      <c r="AX876" s="77"/>
      <c r="AY876" s="77"/>
      <c r="AZ876" s="77"/>
      <c r="BA876" s="77"/>
      <c r="BB876" s="77"/>
      <c r="BC876" s="77"/>
      <c r="BD876" s="77"/>
      <c r="BE876" s="77"/>
      <c r="BF876" s="77"/>
      <c r="BG876" s="77"/>
      <c r="BH876" s="77"/>
      <c r="BI876" s="77"/>
      <c r="BJ876" s="77"/>
      <c r="BK876" s="77"/>
      <c r="BL876" s="77"/>
      <c r="BM876" s="77"/>
    </row>
    <row r="877">
      <c r="A877" s="100" t="s">
        <v>69</v>
      </c>
      <c r="B877" s="100" t="b">
        <v>0</v>
      </c>
      <c r="C877" s="100" t="b">
        <v>0</v>
      </c>
      <c r="D877" s="42"/>
      <c r="E877" s="43"/>
      <c r="F877" s="101"/>
      <c r="G877" s="102"/>
      <c r="H877" s="103"/>
      <c r="I877" s="103"/>
      <c r="J877" s="104"/>
      <c r="K877" s="102"/>
      <c r="L877" s="102"/>
      <c r="M877" s="105"/>
      <c r="N877" s="105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  <c r="AL877" s="70"/>
      <c r="AM877" s="70"/>
      <c r="AN877" s="70"/>
      <c r="AO877" s="70"/>
      <c r="AP877" s="70"/>
      <c r="AQ877" s="77"/>
      <c r="AR877" s="77"/>
      <c r="AS877" s="77"/>
      <c r="AT877" s="77"/>
      <c r="AU877" s="77"/>
      <c r="AV877" s="77"/>
      <c r="AW877" s="77"/>
      <c r="AX877" s="77"/>
      <c r="AY877" s="77"/>
      <c r="AZ877" s="77"/>
      <c r="BA877" s="77"/>
      <c r="BB877" s="77"/>
      <c r="BC877" s="77"/>
      <c r="BD877" s="77"/>
      <c r="BE877" s="77"/>
      <c r="BF877" s="77"/>
      <c r="BG877" s="77"/>
      <c r="BH877" s="77"/>
      <c r="BI877" s="77"/>
      <c r="BJ877" s="77"/>
      <c r="BK877" s="77"/>
      <c r="BL877" s="77"/>
      <c r="BM877" s="77"/>
    </row>
    <row r="878">
      <c r="A878" s="99" t="s">
        <v>69</v>
      </c>
      <c r="B878" s="99" t="b">
        <v>0</v>
      </c>
      <c r="C878" s="99" t="b">
        <v>0</v>
      </c>
      <c r="D878" s="80"/>
      <c r="E878" s="81"/>
      <c r="F878" s="106"/>
      <c r="G878" s="107"/>
      <c r="H878" s="108"/>
      <c r="I878" s="108"/>
      <c r="J878" s="109"/>
      <c r="K878" s="107"/>
      <c r="L878" s="107"/>
      <c r="M878" s="110"/>
      <c r="N878" s="110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7"/>
      <c r="AR878" s="77"/>
      <c r="AS878" s="77"/>
      <c r="AT878" s="77"/>
      <c r="AU878" s="77"/>
      <c r="AV878" s="77"/>
      <c r="AW878" s="77"/>
      <c r="AX878" s="77"/>
      <c r="AY878" s="77"/>
      <c r="AZ878" s="77"/>
      <c r="BA878" s="77"/>
      <c r="BB878" s="77"/>
      <c r="BC878" s="77"/>
      <c r="BD878" s="77"/>
      <c r="BE878" s="77"/>
      <c r="BF878" s="77"/>
      <c r="BG878" s="77"/>
      <c r="BH878" s="77"/>
      <c r="BI878" s="77"/>
      <c r="BJ878" s="77"/>
      <c r="BK878" s="77"/>
      <c r="BL878" s="77"/>
      <c r="BM878" s="77"/>
    </row>
    <row r="879">
      <c r="A879" s="100" t="s">
        <v>69</v>
      </c>
      <c r="B879" s="100" t="b">
        <v>0</v>
      </c>
      <c r="C879" s="100" t="b">
        <v>0</v>
      </c>
      <c r="D879" s="42"/>
      <c r="E879" s="43"/>
      <c r="F879" s="101"/>
      <c r="G879" s="102"/>
      <c r="H879" s="103"/>
      <c r="I879" s="103"/>
      <c r="J879" s="104"/>
      <c r="K879" s="102"/>
      <c r="L879" s="102"/>
      <c r="M879" s="105"/>
      <c r="N879" s="105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7"/>
      <c r="AR879" s="77"/>
      <c r="AS879" s="77"/>
      <c r="AT879" s="77"/>
      <c r="AU879" s="77"/>
      <c r="AV879" s="77"/>
      <c r="AW879" s="77"/>
      <c r="AX879" s="77"/>
      <c r="AY879" s="77"/>
      <c r="AZ879" s="77"/>
      <c r="BA879" s="77"/>
      <c r="BB879" s="77"/>
      <c r="BC879" s="77"/>
      <c r="BD879" s="77"/>
      <c r="BE879" s="77"/>
      <c r="BF879" s="77"/>
      <c r="BG879" s="77"/>
      <c r="BH879" s="77"/>
      <c r="BI879" s="77"/>
      <c r="BJ879" s="77"/>
      <c r="BK879" s="77"/>
      <c r="BL879" s="77"/>
      <c r="BM879" s="77"/>
    </row>
    <row r="880">
      <c r="A880" s="99" t="s">
        <v>69</v>
      </c>
      <c r="B880" s="99" t="b">
        <v>0</v>
      </c>
      <c r="C880" s="99" t="b">
        <v>0</v>
      </c>
      <c r="D880" s="80"/>
      <c r="E880" s="81"/>
      <c r="F880" s="106"/>
      <c r="G880" s="107"/>
      <c r="H880" s="108"/>
      <c r="I880" s="108"/>
      <c r="J880" s="109"/>
      <c r="K880" s="107"/>
      <c r="L880" s="107"/>
      <c r="M880" s="110"/>
      <c r="N880" s="110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7"/>
      <c r="AR880" s="77"/>
      <c r="AS880" s="77"/>
      <c r="AT880" s="77"/>
      <c r="AU880" s="77"/>
      <c r="AV880" s="77"/>
      <c r="AW880" s="77"/>
      <c r="AX880" s="77"/>
      <c r="AY880" s="77"/>
      <c r="AZ880" s="77"/>
      <c r="BA880" s="77"/>
      <c r="BB880" s="77"/>
      <c r="BC880" s="77"/>
      <c r="BD880" s="77"/>
      <c r="BE880" s="77"/>
      <c r="BF880" s="77"/>
      <c r="BG880" s="77"/>
      <c r="BH880" s="77"/>
      <c r="BI880" s="77"/>
      <c r="BJ880" s="77"/>
      <c r="BK880" s="77"/>
      <c r="BL880" s="77"/>
      <c r="BM880" s="77"/>
    </row>
    <row r="881">
      <c r="A881" s="100" t="s">
        <v>69</v>
      </c>
      <c r="B881" s="100" t="b">
        <v>0</v>
      </c>
      <c r="C881" s="100" t="b">
        <v>0</v>
      </c>
      <c r="D881" s="42"/>
      <c r="E881" s="43"/>
      <c r="F881" s="101"/>
      <c r="G881" s="102"/>
      <c r="H881" s="103"/>
      <c r="I881" s="103"/>
      <c r="J881" s="104"/>
      <c r="K881" s="102"/>
      <c r="L881" s="102"/>
      <c r="M881" s="105"/>
      <c r="N881" s="105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/>
      <c r="AM881" s="70"/>
      <c r="AN881" s="70"/>
      <c r="AO881" s="70"/>
      <c r="AP881" s="70"/>
      <c r="AQ881" s="77"/>
      <c r="AR881" s="77"/>
      <c r="AS881" s="77"/>
      <c r="AT881" s="77"/>
      <c r="AU881" s="77"/>
      <c r="AV881" s="77"/>
      <c r="AW881" s="77"/>
      <c r="AX881" s="77"/>
      <c r="AY881" s="77"/>
      <c r="AZ881" s="77"/>
      <c r="BA881" s="77"/>
      <c r="BB881" s="77"/>
      <c r="BC881" s="77"/>
      <c r="BD881" s="77"/>
      <c r="BE881" s="77"/>
      <c r="BF881" s="77"/>
      <c r="BG881" s="77"/>
      <c r="BH881" s="77"/>
      <c r="BI881" s="77"/>
      <c r="BJ881" s="77"/>
      <c r="BK881" s="77"/>
      <c r="BL881" s="77"/>
      <c r="BM881" s="77"/>
    </row>
    <row r="882">
      <c r="A882" s="99" t="s">
        <v>69</v>
      </c>
      <c r="B882" s="99" t="b">
        <v>0</v>
      </c>
      <c r="C882" s="99" t="b">
        <v>0</v>
      </c>
      <c r="D882" s="80"/>
      <c r="E882" s="81"/>
      <c r="F882" s="106"/>
      <c r="G882" s="107"/>
      <c r="H882" s="108"/>
      <c r="I882" s="108"/>
      <c r="J882" s="109"/>
      <c r="K882" s="107"/>
      <c r="L882" s="107"/>
      <c r="M882" s="110"/>
      <c r="N882" s="110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  <c r="AL882" s="70"/>
      <c r="AM882" s="70"/>
      <c r="AN882" s="70"/>
      <c r="AO882" s="70"/>
      <c r="AP882" s="70"/>
      <c r="AQ882" s="77"/>
      <c r="AR882" s="77"/>
      <c r="AS882" s="77"/>
      <c r="AT882" s="77"/>
      <c r="AU882" s="77"/>
      <c r="AV882" s="77"/>
      <c r="AW882" s="77"/>
      <c r="AX882" s="77"/>
      <c r="AY882" s="77"/>
      <c r="AZ882" s="77"/>
      <c r="BA882" s="77"/>
      <c r="BB882" s="77"/>
      <c r="BC882" s="77"/>
      <c r="BD882" s="77"/>
      <c r="BE882" s="77"/>
      <c r="BF882" s="77"/>
      <c r="BG882" s="77"/>
      <c r="BH882" s="77"/>
      <c r="BI882" s="77"/>
      <c r="BJ882" s="77"/>
      <c r="BK882" s="77"/>
      <c r="BL882" s="77"/>
      <c r="BM882" s="77"/>
    </row>
    <row r="883">
      <c r="A883" s="100" t="s">
        <v>69</v>
      </c>
      <c r="B883" s="100" t="b">
        <v>0</v>
      </c>
      <c r="C883" s="100" t="b">
        <v>0</v>
      </c>
      <c r="D883" s="42"/>
      <c r="E883" s="43"/>
      <c r="F883" s="101"/>
      <c r="G883" s="102"/>
      <c r="H883" s="103"/>
      <c r="I883" s="103"/>
      <c r="J883" s="104"/>
      <c r="K883" s="102"/>
      <c r="L883" s="102"/>
      <c r="M883" s="105"/>
      <c r="N883" s="105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  <c r="AL883" s="70"/>
      <c r="AM883" s="70"/>
      <c r="AN883" s="70"/>
      <c r="AO883" s="70"/>
      <c r="AP883" s="70"/>
      <c r="AQ883" s="77"/>
      <c r="AR883" s="77"/>
      <c r="AS883" s="77"/>
      <c r="AT883" s="77"/>
      <c r="AU883" s="77"/>
      <c r="AV883" s="77"/>
      <c r="AW883" s="77"/>
      <c r="AX883" s="77"/>
      <c r="AY883" s="77"/>
      <c r="AZ883" s="77"/>
      <c r="BA883" s="77"/>
      <c r="BB883" s="77"/>
      <c r="BC883" s="77"/>
      <c r="BD883" s="77"/>
      <c r="BE883" s="77"/>
      <c r="BF883" s="77"/>
      <c r="BG883" s="77"/>
      <c r="BH883" s="77"/>
      <c r="BI883" s="77"/>
      <c r="BJ883" s="77"/>
      <c r="BK883" s="77"/>
      <c r="BL883" s="77"/>
      <c r="BM883" s="77"/>
    </row>
    <row r="884">
      <c r="A884" s="99" t="s">
        <v>69</v>
      </c>
      <c r="B884" s="99" t="b">
        <v>0</v>
      </c>
      <c r="C884" s="99" t="b">
        <v>0</v>
      </c>
      <c r="D884" s="80"/>
      <c r="E884" s="81"/>
      <c r="F884" s="106"/>
      <c r="G884" s="107"/>
      <c r="H884" s="108"/>
      <c r="I884" s="108"/>
      <c r="J884" s="109"/>
      <c r="K884" s="107"/>
      <c r="L884" s="107"/>
      <c r="M884" s="110"/>
      <c r="N884" s="110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  <c r="AL884" s="70"/>
      <c r="AM884" s="70"/>
      <c r="AN884" s="70"/>
      <c r="AO884" s="70"/>
      <c r="AP884" s="70"/>
      <c r="AQ884" s="77"/>
      <c r="AR884" s="77"/>
      <c r="AS884" s="77"/>
      <c r="AT884" s="77"/>
      <c r="AU884" s="77"/>
      <c r="AV884" s="77"/>
      <c r="AW884" s="77"/>
      <c r="AX884" s="77"/>
      <c r="AY884" s="77"/>
      <c r="AZ884" s="77"/>
      <c r="BA884" s="77"/>
      <c r="BB884" s="77"/>
      <c r="BC884" s="77"/>
      <c r="BD884" s="77"/>
      <c r="BE884" s="77"/>
      <c r="BF884" s="77"/>
      <c r="BG884" s="77"/>
      <c r="BH884" s="77"/>
      <c r="BI884" s="77"/>
      <c r="BJ884" s="77"/>
      <c r="BK884" s="77"/>
      <c r="BL884" s="77"/>
      <c r="BM884" s="77"/>
    </row>
    <row r="885">
      <c r="A885" s="100" t="s">
        <v>69</v>
      </c>
      <c r="B885" s="100" t="b">
        <v>0</v>
      </c>
      <c r="C885" s="100" t="b">
        <v>0</v>
      </c>
      <c r="D885" s="42"/>
      <c r="E885" s="43"/>
      <c r="F885" s="101"/>
      <c r="G885" s="102"/>
      <c r="H885" s="103"/>
      <c r="I885" s="103"/>
      <c r="J885" s="104"/>
      <c r="K885" s="102"/>
      <c r="L885" s="102"/>
      <c r="M885" s="105"/>
      <c r="N885" s="105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  <c r="AL885" s="70"/>
      <c r="AM885" s="70"/>
      <c r="AN885" s="70"/>
      <c r="AO885" s="70"/>
      <c r="AP885" s="70"/>
      <c r="AQ885" s="77"/>
      <c r="AR885" s="77"/>
      <c r="AS885" s="77"/>
      <c r="AT885" s="77"/>
      <c r="AU885" s="77"/>
      <c r="AV885" s="77"/>
      <c r="AW885" s="77"/>
      <c r="AX885" s="77"/>
      <c r="AY885" s="77"/>
      <c r="AZ885" s="77"/>
      <c r="BA885" s="77"/>
      <c r="BB885" s="77"/>
      <c r="BC885" s="77"/>
      <c r="BD885" s="77"/>
      <c r="BE885" s="77"/>
      <c r="BF885" s="77"/>
      <c r="BG885" s="77"/>
      <c r="BH885" s="77"/>
      <c r="BI885" s="77"/>
      <c r="BJ885" s="77"/>
      <c r="BK885" s="77"/>
      <c r="BL885" s="77"/>
      <c r="BM885" s="77"/>
    </row>
    <row r="886">
      <c r="A886" s="99" t="s">
        <v>69</v>
      </c>
      <c r="B886" s="99" t="b">
        <v>0</v>
      </c>
      <c r="C886" s="99" t="b">
        <v>0</v>
      </c>
      <c r="D886" s="80"/>
      <c r="E886" s="81"/>
      <c r="F886" s="106"/>
      <c r="G886" s="107"/>
      <c r="H886" s="108"/>
      <c r="I886" s="108"/>
      <c r="J886" s="109"/>
      <c r="K886" s="107"/>
      <c r="L886" s="107"/>
      <c r="M886" s="110"/>
      <c r="N886" s="110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  <c r="AL886" s="70"/>
      <c r="AM886" s="70"/>
      <c r="AN886" s="70"/>
      <c r="AO886" s="70"/>
      <c r="AP886" s="70"/>
      <c r="AQ886" s="77"/>
      <c r="AR886" s="77"/>
      <c r="AS886" s="77"/>
      <c r="AT886" s="77"/>
      <c r="AU886" s="77"/>
      <c r="AV886" s="77"/>
      <c r="AW886" s="77"/>
      <c r="AX886" s="77"/>
      <c r="AY886" s="77"/>
      <c r="AZ886" s="77"/>
      <c r="BA886" s="77"/>
      <c r="BB886" s="77"/>
      <c r="BC886" s="77"/>
      <c r="BD886" s="77"/>
      <c r="BE886" s="77"/>
      <c r="BF886" s="77"/>
      <c r="BG886" s="77"/>
      <c r="BH886" s="77"/>
      <c r="BI886" s="77"/>
      <c r="BJ886" s="77"/>
      <c r="BK886" s="77"/>
      <c r="BL886" s="77"/>
      <c r="BM886" s="77"/>
    </row>
    <row r="887">
      <c r="A887" s="100" t="s">
        <v>69</v>
      </c>
      <c r="B887" s="100" t="b">
        <v>0</v>
      </c>
      <c r="C887" s="100" t="b">
        <v>0</v>
      </c>
      <c r="D887" s="42"/>
      <c r="E887" s="43"/>
      <c r="F887" s="101"/>
      <c r="G887" s="102"/>
      <c r="H887" s="103"/>
      <c r="I887" s="103"/>
      <c r="J887" s="104"/>
      <c r="K887" s="102"/>
      <c r="L887" s="102"/>
      <c r="M887" s="105"/>
      <c r="N887" s="105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  <c r="AL887" s="70"/>
      <c r="AM887" s="70"/>
      <c r="AN887" s="70"/>
      <c r="AO887" s="70"/>
      <c r="AP887" s="70"/>
      <c r="AQ887" s="77"/>
      <c r="AR887" s="77"/>
      <c r="AS887" s="77"/>
      <c r="AT887" s="77"/>
      <c r="AU887" s="77"/>
      <c r="AV887" s="77"/>
      <c r="AW887" s="77"/>
      <c r="AX887" s="77"/>
      <c r="AY887" s="77"/>
      <c r="AZ887" s="77"/>
      <c r="BA887" s="77"/>
      <c r="BB887" s="77"/>
      <c r="BC887" s="77"/>
      <c r="BD887" s="77"/>
      <c r="BE887" s="77"/>
      <c r="BF887" s="77"/>
      <c r="BG887" s="77"/>
      <c r="BH887" s="77"/>
      <c r="BI887" s="77"/>
      <c r="BJ887" s="77"/>
      <c r="BK887" s="77"/>
      <c r="BL887" s="77"/>
      <c r="BM887" s="77"/>
    </row>
    <row r="888">
      <c r="A888" s="99" t="s">
        <v>69</v>
      </c>
      <c r="B888" s="99" t="b">
        <v>0</v>
      </c>
      <c r="C888" s="99" t="b">
        <v>0</v>
      </c>
      <c r="D888" s="80"/>
      <c r="E888" s="81"/>
      <c r="F888" s="106"/>
      <c r="G888" s="107"/>
      <c r="H888" s="108"/>
      <c r="I888" s="108"/>
      <c r="J888" s="109"/>
      <c r="K888" s="107"/>
      <c r="L888" s="107"/>
      <c r="M888" s="110"/>
      <c r="N888" s="110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  <c r="AL888" s="70"/>
      <c r="AM888" s="70"/>
      <c r="AN888" s="70"/>
      <c r="AO888" s="70"/>
      <c r="AP888" s="70"/>
      <c r="AQ888" s="77"/>
      <c r="AR888" s="77"/>
      <c r="AS888" s="77"/>
      <c r="AT888" s="77"/>
      <c r="AU888" s="77"/>
      <c r="AV888" s="77"/>
      <c r="AW888" s="77"/>
      <c r="AX888" s="77"/>
      <c r="AY888" s="77"/>
      <c r="AZ888" s="77"/>
      <c r="BA888" s="77"/>
      <c r="BB888" s="77"/>
      <c r="BC888" s="77"/>
      <c r="BD888" s="77"/>
      <c r="BE888" s="77"/>
      <c r="BF888" s="77"/>
      <c r="BG888" s="77"/>
      <c r="BH888" s="77"/>
      <c r="BI888" s="77"/>
      <c r="BJ888" s="77"/>
      <c r="BK888" s="77"/>
      <c r="BL888" s="77"/>
      <c r="BM888" s="77"/>
    </row>
    <row r="889">
      <c r="A889" s="100" t="s">
        <v>69</v>
      </c>
      <c r="B889" s="100" t="b">
        <v>0</v>
      </c>
      <c r="C889" s="100" t="b">
        <v>0</v>
      </c>
      <c r="D889" s="42"/>
      <c r="E889" s="43"/>
      <c r="F889" s="101"/>
      <c r="G889" s="102"/>
      <c r="H889" s="103"/>
      <c r="I889" s="103"/>
      <c r="J889" s="104"/>
      <c r="K889" s="102"/>
      <c r="L889" s="102"/>
      <c r="M889" s="105"/>
      <c r="N889" s="105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7"/>
      <c r="AR889" s="77"/>
      <c r="AS889" s="77"/>
      <c r="AT889" s="77"/>
      <c r="AU889" s="77"/>
      <c r="AV889" s="77"/>
      <c r="AW889" s="77"/>
      <c r="AX889" s="77"/>
      <c r="AY889" s="77"/>
      <c r="AZ889" s="77"/>
      <c r="BA889" s="77"/>
      <c r="BB889" s="77"/>
      <c r="BC889" s="77"/>
      <c r="BD889" s="77"/>
      <c r="BE889" s="77"/>
      <c r="BF889" s="77"/>
      <c r="BG889" s="77"/>
      <c r="BH889" s="77"/>
      <c r="BI889" s="77"/>
      <c r="BJ889" s="77"/>
      <c r="BK889" s="77"/>
      <c r="BL889" s="77"/>
      <c r="BM889" s="77"/>
    </row>
    <row r="890">
      <c r="A890" s="99" t="s">
        <v>69</v>
      </c>
      <c r="B890" s="99" t="b">
        <v>0</v>
      </c>
      <c r="C890" s="99" t="b">
        <v>0</v>
      </c>
      <c r="D890" s="80"/>
      <c r="E890" s="81"/>
      <c r="F890" s="106"/>
      <c r="G890" s="107"/>
      <c r="H890" s="108"/>
      <c r="I890" s="108"/>
      <c r="J890" s="109"/>
      <c r="K890" s="107"/>
      <c r="L890" s="107"/>
      <c r="M890" s="110"/>
      <c r="N890" s="110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  <c r="AL890" s="70"/>
      <c r="AM890" s="70"/>
      <c r="AN890" s="70"/>
      <c r="AO890" s="70"/>
      <c r="AP890" s="70"/>
      <c r="AQ890" s="77"/>
      <c r="AR890" s="77"/>
      <c r="AS890" s="77"/>
      <c r="AT890" s="77"/>
      <c r="AU890" s="77"/>
      <c r="AV890" s="77"/>
      <c r="AW890" s="77"/>
      <c r="AX890" s="77"/>
      <c r="AY890" s="77"/>
      <c r="AZ890" s="77"/>
      <c r="BA890" s="77"/>
      <c r="BB890" s="77"/>
      <c r="BC890" s="77"/>
      <c r="BD890" s="77"/>
      <c r="BE890" s="77"/>
      <c r="BF890" s="77"/>
      <c r="BG890" s="77"/>
      <c r="BH890" s="77"/>
      <c r="BI890" s="77"/>
      <c r="BJ890" s="77"/>
      <c r="BK890" s="77"/>
      <c r="BL890" s="77"/>
      <c r="BM890" s="77"/>
    </row>
    <row r="891">
      <c r="A891" s="100" t="s">
        <v>69</v>
      </c>
      <c r="B891" s="100" t="b">
        <v>0</v>
      </c>
      <c r="C891" s="100" t="b">
        <v>0</v>
      </c>
      <c r="D891" s="42"/>
      <c r="E891" s="43"/>
      <c r="F891" s="101"/>
      <c r="G891" s="102"/>
      <c r="H891" s="103"/>
      <c r="I891" s="103"/>
      <c r="J891" s="104"/>
      <c r="K891" s="102"/>
      <c r="L891" s="102"/>
      <c r="M891" s="105"/>
      <c r="N891" s="105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  <c r="AL891" s="70"/>
      <c r="AM891" s="70"/>
      <c r="AN891" s="70"/>
      <c r="AO891" s="70"/>
      <c r="AP891" s="70"/>
      <c r="AQ891" s="77"/>
      <c r="AR891" s="77"/>
      <c r="AS891" s="77"/>
      <c r="AT891" s="77"/>
      <c r="AU891" s="77"/>
      <c r="AV891" s="77"/>
      <c r="AW891" s="77"/>
      <c r="AX891" s="77"/>
      <c r="AY891" s="77"/>
      <c r="AZ891" s="77"/>
      <c r="BA891" s="77"/>
      <c r="BB891" s="77"/>
      <c r="BC891" s="77"/>
      <c r="BD891" s="77"/>
      <c r="BE891" s="77"/>
      <c r="BF891" s="77"/>
      <c r="BG891" s="77"/>
      <c r="BH891" s="77"/>
      <c r="BI891" s="77"/>
      <c r="BJ891" s="77"/>
      <c r="BK891" s="77"/>
      <c r="BL891" s="77"/>
      <c r="BM891" s="77"/>
    </row>
    <row r="892">
      <c r="A892" s="99" t="s">
        <v>69</v>
      </c>
      <c r="B892" s="99" t="b">
        <v>0</v>
      </c>
      <c r="C892" s="99" t="b">
        <v>0</v>
      </c>
      <c r="D892" s="80"/>
      <c r="E892" s="81"/>
      <c r="F892" s="106"/>
      <c r="G892" s="107"/>
      <c r="H892" s="108"/>
      <c r="I892" s="108"/>
      <c r="J892" s="109"/>
      <c r="K892" s="107"/>
      <c r="L892" s="107"/>
      <c r="M892" s="110"/>
      <c r="N892" s="110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  <c r="AL892" s="70"/>
      <c r="AM892" s="70"/>
      <c r="AN892" s="70"/>
      <c r="AO892" s="70"/>
      <c r="AP892" s="70"/>
      <c r="AQ892" s="77"/>
      <c r="AR892" s="77"/>
      <c r="AS892" s="77"/>
      <c r="AT892" s="77"/>
      <c r="AU892" s="77"/>
      <c r="AV892" s="77"/>
      <c r="AW892" s="77"/>
      <c r="AX892" s="77"/>
      <c r="AY892" s="77"/>
      <c r="AZ892" s="77"/>
      <c r="BA892" s="77"/>
      <c r="BB892" s="77"/>
      <c r="BC892" s="77"/>
      <c r="BD892" s="77"/>
      <c r="BE892" s="77"/>
      <c r="BF892" s="77"/>
      <c r="BG892" s="77"/>
      <c r="BH892" s="77"/>
      <c r="BI892" s="77"/>
      <c r="BJ892" s="77"/>
      <c r="BK892" s="77"/>
      <c r="BL892" s="77"/>
      <c r="BM892" s="77"/>
    </row>
    <row r="893">
      <c r="A893" s="100" t="s">
        <v>69</v>
      </c>
      <c r="B893" s="100" t="b">
        <v>0</v>
      </c>
      <c r="C893" s="100" t="b">
        <v>0</v>
      </c>
      <c r="D893" s="42"/>
      <c r="E893" s="43"/>
      <c r="F893" s="101"/>
      <c r="G893" s="102"/>
      <c r="H893" s="103"/>
      <c r="I893" s="103"/>
      <c r="J893" s="104"/>
      <c r="K893" s="102"/>
      <c r="L893" s="102"/>
      <c r="M893" s="105"/>
      <c r="N893" s="105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  <c r="AL893" s="70"/>
      <c r="AM893" s="70"/>
      <c r="AN893" s="70"/>
      <c r="AO893" s="70"/>
      <c r="AP893" s="70"/>
      <c r="AQ893" s="77"/>
      <c r="AR893" s="77"/>
      <c r="AS893" s="77"/>
      <c r="AT893" s="77"/>
      <c r="AU893" s="77"/>
      <c r="AV893" s="77"/>
      <c r="AW893" s="77"/>
      <c r="AX893" s="77"/>
      <c r="AY893" s="77"/>
      <c r="AZ893" s="77"/>
      <c r="BA893" s="77"/>
      <c r="BB893" s="77"/>
      <c r="BC893" s="77"/>
      <c r="BD893" s="77"/>
      <c r="BE893" s="77"/>
      <c r="BF893" s="77"/>
      <c r="BG893" s="77"/>
      <c r="BH893" s="77"/>
      <c r="BI893" s="77"/>
      <c r="BJ893" s="77"/>
      <c r="BK893" s="77"/>
      <c r="BL893" s="77"/>
      <c r="BM893" s="77"/>
    </row>
    <row r="894">
      <c r="A894" s="99" t="s">
        <v>69</v>
      </c>
      <c r="B894" s="99" t="b">
        <v>0</v>
      </c>
      <c r="C894" s="99" t="b">
        <v>0</v>
      </c>
      <c r="D894" s="80"/>
      <c r="E894" s="81"/>
      <c r="F894" s="106"/>
      <c r="G894" s="107"/>
      <c r="H894" s="108"/>
      <c r="I894" s="108"/>
      <c r="J894" s="109"/>
      <c r="K894" s="107"/>
      <c r="L894" s="107"/>
      <c r="M894" s="110"/>
      <c r="N894" s="110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  <c r="AL894" s="70"/>
      <c r="AM894" s="70"/>
      <c r="AN894" s="70"/>
      <c r="AO894" s="70"/>
      <c r="AP894" s="70"/>
      <c r="AQ894" s="77"/>
      <c r="AR894" s="77"/>
      <c r="AS894" s="77"/>
      <c r="AT894" s="77"/>
      <c r="AU894" s="77"/>
      <c r="AV894" s="77"/>
      <c r="AW894" s="77"/>
      <c r="AX894" s="77"/>
      <c r="AY894" s="77"/>
      <c r="AZ894" s="77"/>
      <c r="BA894" s="77"/>
      <c r="BB894" s="77"/>
      <c r="BC894" s="77"/>
      <c r="BD894" s="77"/>
      <c r="BE894" s="77"/>
      <c r="BF894" s="77"/>
      <c r="BG894" s="77"/>
      <c r="BH894" s="77"/>
      <c r="BI894" s="77"/>
      <c r="BJ894" s="77"/>
      <c r="BK894" s="77"/>
      <c r="BL894" s="77"/>
      <c r="BM894" s="77"/>
    </row>
    <row r="895">
      <c r="A895" s="100" t="s">
        <v>69</v>
      </c>
      <c r="B895" s="100" t="b">
        <v>0</v>
      </c>
      <c r="C895" s="100" t="b">
        <v>0</v>
      </c>
      <c r="D895" s="42"/>
      <c r="E895" s="43"/>
      <c r="F895" s="101"/>
      <c r="G895" s="102"/>
      <c r="H895" s="103"/>
      <c r="I895" s="103"/>
      <c r="J895" s="104"/>
      <c r="K895" s="102"/>
      <c r="L895" s="102"/>
      <c r="M895" s="105"/>
      <c r="N895" s="105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7"/>
      <c r="AR895" s="77"/>
      <c r="AS895" s="77"/>
      <c r="AT895" s="77"/>
      <c r="AU895" s="77"/>
      <c r="AV895" s="77"/>
      <c r="AW895" s="77"/>
      <c r="AX895" s="77"/>
      <c r="AY895" s="77"/>
      <c r="AZ895" s="77"/>
      <c r="BA895" s="77"/>
      <c r="BB895" s="77"/>
      <c r="BC895" s="77"/>
      <c r="BD895" s="77"/>
      <c r="BE895" s="77"/>
      <c r="BF895" s="77"/>
      <c r="BG895" s="77"/>
      <c r="BH895" s="77"/>
      <c r="BI895" s="77"/>
      <c r="BJ895" s="77"/>
      <c r="BK895" s="77"/>
      <c r="BL895" s="77"/>
      <c r="BM895" s="77"/>
    </row>
    <row r="896">
      <c r="A896" s="99" t="s">
        <v>69</v>
      </c>
      <c r="B896" s="99" t="b">
        <v>0</v>
      </c>
      <c r="C896" s="99" t="b">
        <v>0</v>
      </c>
      <c r="D896" s="80"/>
      <c r="E896" s="81"/>
      <c r="F896" s="106"/>
      <c r="G896" s="107"/>
      <c r="H896" s="108"/>
      <c r="I896" s="108"/>
      <c r="J896" s="109"/>
      <c r="K896" s="107"/>
      <c r="L896" s="107"/>
      <c r="M896" s="110"/>
      <c r="N896" s="110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  <c r="AL896" s="70"/>
      <c r="AM896" s="70"/>
      <c r="AN896" s="70"/>
      <c r="AO896" s="70"/>
      <c r="AP896" s="70"/>
      <c r="AQ896" s="77"/>
      <c r="AR896" s="77"/>
      <c r="AS896" s="77"/>
      <c r="AT896" s="77"/>
      <c r="AU896" s="77"/>
      <c r="AV896" s="77"/>
      <c r="AW896" s="77"/>
      <c r="AX896" s="77"/>
      <c r="AY896" s="77"/>
      <c r="AZ896" s="77"/>
      <c r="BA896" s="77"/>
      <c r="BB896" s="77"/>
      <c r="BC896" s="77"/>
      <c r="BD896" s="77"/>
      <c r="BE896" s="77"/>
      <c r="BF896" s="77"/>
      <c r="BG896" s="77"/>
      <c r="BH896" s="77"/>
      <c r="BI896" s="77"/>
      <c r="BJ896" s="77"/>
      <c r="BK896" s="77"/>
      <c r="BL896" s="77"/>
      <c r="BM896" s="77"/>
    </row>
    <row r="897">
      <c r="A897" s="100" t="s">
        <v>69</v>
      </c>
      <c r="B897" s="100" t="b">
        <v>0</v>
      </c>
      <c r="C897" s="100" t="b">
        <v>0</v>
      </c>
      <c r="D897" s="42"/>
      <c r="E897" s="43"/>
      <c r="F897" s="101"/>
      <c r="G897" s="102"/>
      <c r="H897" s="103"/>
      <c r="I897" s="103"/>
      <c r="J897" s="104"/>
      <c r="K897" s="102"/>
      <c r="L897" s="102"/>
      <c r="M897" s="105"/>
      <c r="N897" s="105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7"/>
      <c r="AR897" s="77"/>
      <c r="AS897" s="77"/>
      <c r="AT897" s="77"/>
      <c r="AU897" s="77"/>
      <c r="AV897" s="77"/>
      <c r="AW897" s="77"/>
      <c r="AX897" s="77"/>
      <c r="AY897" s="77"/>
      <c r="AZ897" s="77"/>
      <c r="BA897" s="77"/>
      <c r="BB897" s="77"/>
      <c r="BC897" s="77"/>
      <c r="BD897" s="77"/>
      <c r="BE897" s="77"/>
      <c r="BF897" s="77"/>
      <c r="BG897" s="77"/>
      <c r="BH897" s="77"/>
      <c r="BI897" s="77"/>
      <c r="BJ897" s="77"/>
      <c r="BK897" s="77"/>
      <c r="BL897" s="77"/>
      <c r="BM897" s="77"/>
    </row>
    <row r="898">
      <c r="A898" s="99" t="s">
        <v>69</v>
      </c>
      <c r="B898" s="99" t="b">
        <v>0</v>
      </c>
      <c r="C898" s="99" t="b">
        <v>0</v>
      </c>
      <c r="D898" s="80"/>
      <c r="E898" s="81"/>
      <c r="F898" s="106"/>
      <c r="G898" s="107"/>
      <c r="H898" s="108"/>
      <c r="I898" s="108"/>
      <c r="J898" s="109"/>
      <c r="K898" s="107"/>
      <c r="L898" s="107"/>
      <c r="M898" s="110"/>
      <c r="N898" s="110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7"/>
      <c r="AR898" s="77"/>
      <c r="AS898" s="77"/>
      <c r="AT898" s="77"/>
      <c r="AU898" s="77"/>
      <c r="AV898" s="77"/>
      <c r="AW898" s="77"/>
      <c r="AX898" s="77"/>
      <c r="AY898" s="77"/>
      <c r="AZ898" s="77"/>
      <c r="BA898" s="77"/>
      <c r="BB898" s="77"/>
      <c r="BC898" s="77"/>
      <c r="BD898" s="77"/>
      <c r="BE898" s="77"/>
      <c r="BF898" s="77"/>
      <c r="BG898" s="77"/>
      <c r="BH898" s="77"/>
      <c r="BI898" s="77"/>
      <c r="BJ898" s="77"/>
      <c r="BK898" s="77"/>
      <c r="BL898" s="77"/>
      <c r="BM898" s="77"/>
    </row>
    <row r="899">
      <c r="A899" s="100" t="s">
        <v>69</v>
      </c>
      <c r="B899" s="100" t="b">
        <v>0</v>
      </c>
      <c r="C899" s="100" t="b">
        <v>0</v>
      </c>
      <c r="D899" s="42"/>
      <c r="E899" s="43"/>
      <c r="F899" s="101"/>
      <c r="G899" s="102"/>
      <c r="H899" s="103"/>
      <c r="I899" s="103"/>
      <c r="J899" s="104"/>
      <c r="K899" s="102"/>
      <c r="L899" s="102"/>
      <c r="M899" s="105"/>
      <c r="N899" s="105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  <c r="AL899" s="70"/>
      <c r="AM899" s="70"/>
      <c r="AN899" s="70"/>
      <c r="AO899" s="70"/>
      <c r="AP899" s="70"/>
      <c r="AQ899" s="77"/>
      <c r="AR899" s="77"/>
      <c r="AS899" s="77"/>
      <c r="AT899" s="77"/>
      <c r="AU899" s="77"/>
      <c r="AV899" s="77"/>
      <c r="AW899" s="77"/>
      <c r="AX899" s="77"/>
      <c r="AY899" s="77"/>
      <c r="AZ899" s="77"/>
      <c r="BA899" s="77"/>
      <c r="BB899" s="77"/>
      <c r="BC899" s="77"/>
      <c r="BD899" s="77"/>
      <c r="BE899" s="77"/>
      <c r="BF899" s="77"/>
      <c r="BG899" s="77"/>
      <c r="BH899" s="77"/>
      <c r="BI899" s="77"/>
      <c r="BJ899" s="77"/>
      <c r="BK899" s="77"/>
      <c r="BL899" s="77"/>
      <c r="BM899" s="77"/>
    </row>
    <row r="900">
      <c r="A900" s="99" t="s">
        <v>69</v>
      </c>
      <c r="B900" s="99" t="b">
        <v>0</v>
      </c>
      <c r="C900" s="99" t="b">
        <v>0</v>
      </c>
      <c r="D900" s="80"/>
      <c r="E900" s="81"/>
      <c r="F900" s="106"/>
      <c r="G900" s="107"/>
      <c r="H900" s="108"/>
      <c r="I900" s="108"/>
      <c r="J900" s="109"/>
      <c r="K900" s="107"/>
      <c r="L900" s="107"/>
      <c r="M900" s="110"/>
      <c r="N900" s="110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  <c r="AK900" s="70"/>
      <c r="AL900" s="70"/>
      <c r="AM900" s="70"/>
      <c r="AN900" s="70"/>
      <c r="AO900" s="70"/>
      <c r="AP900" s="70"/>
      <c r="AQ900" s="77"/>
      <c r="AR900" s="77"/>
      <c r="AS900" s="77"/>
      <c r="AT900" s="77"/>
      <c r="AU900" s="77"/>
      <c r="AV900" s="77"/>
      <c r="AW900" s="77"/>
      <c r="AX900" s="77"/>
      <c r="AY900" s="77"/>
      <c r="AZ900" s="77"/>
      <c r="BA900" s="77"/>
      <c r="BB900" s="77"/>
      <c r="BC900" s="77"/>
      <c r="BD900" s="77"/>
      <c r="BE900" s="77"/>
      <c r="BF900" s="77"/>
      <c r="BG900" s="77"/>
      <c r="BH900" s="77"/>
      <c r="BI900" s="77"/>
      <c r="BJ900" s="77"/>
      <c r="BK900" s="77"/>
      <c r="BL900" s="77"/>
      <c r="BM900" s="77"/>
    </row>
    <row r="901">
      <c r="A901" s="100" t="s">
        <v>69</v>
      </c>
      <c r="B901" s="100" t="b">
        <v>0</v>
      </c>
      <c r="C901" s="100" t="b">
        <v>0</v>
      </c>
      <c r="D901" s="42"/>
      <c r="E901" s="43"/>
      <c r="F901" s="101"/>
      <c r="G901" s="102"/>
      <c r="H901" s="103"/>
      <c r="I901" s="103"/>
      <c r="J901" s="104"/>
      <c r="K901" s="102"/>
      <c r="L901" s="102"/>
      <c r="M901" s="105"/>
      <c r="N901" s="105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  <c r="AL901" s="70"/>
      <c r="AM901" s="70"/>
      <c r="AN901" s="70"/>
      <c r="AO901" s="70"/>
      <c r="AP901" s="70"/>
      <c r="AQ901" s="77"/>
      <c r="AR901" s="77"/>
      <c r="AS901" s="77"/>
      <c r="AT901" s="77"/>
      <c r="AU901" s="77"/>
      <c r="AV901" s="77"/>
      <c r="AW901" s="77"/>
      <c r="AX901" s="77"/>
      <c r="AY901" s="77"/>
      <c r="AZ901" s="77"/>
      <c r="BA901" s="77"/>
      <c r="BB901" s="77"/>
      <c r="BC901" s="77"/>
      <c r="BD901" s="77"/>
      <c r="BE901" s="77"/>
      <c r="BF901" s="77"/>
      <c r="BG901" s="77"/>
      <c r="BH901" s="77"/>
      <c r="BI901" s="77"/>
      <c r="BJ901" s="77"/>
      <c r="BK901" s="77"/>
      <c r="BL901" s="77"/>
      <c r="BM901" s="77"/>
    </row>
    <row r="902">
      <c r="A902" s="99" t="s">
        <v>69</v>
      </c>
      <c r="B902" s="99" t="b">
        <v>0</v>
      </c>
      <c r="C902" s="99" t="b">
        <v>0</v>
      </c>
      <c r="D902" s="80"/>
      <c r="E902" s="81"/>
      <c r="F902" s="106"/>
      <c r="G902" s="107"/>
      <c r="H902" s="108"/>
      <c r="I902" s="108"/>
      <c r="J902" s="109"/>
      <c r="K902" s="107"/>
      <c r="L902" s="107"/>
      <c r="M902" s="110"/>
      <c r="N902" s="110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  <c r="AK902" s="70"/>
      <c r="AL902" s="70"/>
      <c r="AM902" s="70"/>
      <c r="AN902" s="70"/>
      <c r="AO902" s="70"/>
      <c r="AP902" s="70"/>
      <c r="AQ902" s="77"/>
      <c r="AR902" s="77"/>
      <c r="AS902" s="77"/>
      <c r="AT902" s="77"/>
      <c r="AU902" s="77"/>
      <c r="AV902" s="77"/>
      <c r="AW902" s="77"/>
      <c r="AX902" s="77"/>
      <c r="AY902" s="77"/>
      <c r="AZ902" s="77"/>
      <c r="BA902" s="77"/>
      <c r="BB902" s="77"/>
      <c r="BC902" s="77"/>
      <c r="BD902" s="77"/>
      <c r="BE902" s="77"/>
      <c r="BF902" s="77"/>
      <c r="BG902" s="77"/>
      <c r="BH902" s="77"/>
      <c r="BI902" s="77"/>
      <c r="BJ902" s="77"/>
      <c r="BK902" s="77"/>
      <c r="BL902" s="77"/>
      <c r="BM902" s="77"/>
    </row>
    <row r="903">
      <c r="A903" s="100" t="s">
        <v>69</v>
      </c>
      <c r="B903" s="100" t="b">
        <v>0</v>
      </c>
      <c r="C903" s="100" t="b">
        <v>0</v>
      </c>
      <c r="D903" s="42"/>
      <c r="E903" s="43"/>
      <c r="F903" s="101"/>
      <c r="G903" s="102"/>
      <c r="H903" s="103"/>
      <c r="I903" s="103"/>
      <c r="J903" s="104"/>
      <c r="K903" s="102"/>
      <c r="L903" s="102"/>
      <c r="M903" s="105"/>
      <c r="N903" s="105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  <c r="AK903" s="70"/>
      <c r="AL903" s="70"/>
      <c r="AM903" s="70"/>
      <c r="AN903" s="70"/>
      <c r="AO903" s="70"/>
      <c r="AP903" s="70"/>
      <c r="AQ903" s="77"/>
      <c r="AR903" s="77"/>
      <c r="AS903" s="77"/>
      <c r="AT903" s="77"/>
      <c r="AU903" s="77"/>
      <c r="AV903" s="77"/>
      <c r="AW903" s="77"/>
      <c r="AX903" s="77"/>
      <c r="AY903" s="77"/>
      <c r="AZ903" s="77"/>
      <c r="BA903" s="77"/>
      <c r="BB903" s="77"/>
      <c r="BC903" s="77"/>
      <c r="BD903" s="77"/>
      <c r="BE903" s="77"/>
      <c r="BF903" s="77"/>
      <c r="BG903" s="77"/>
      <c r="BH903" s="77"/>
      <c r="BI903" s="77"/>
      <c r="BJ903" s="77"/>
      <c r="BK903" s="77"/>
      <c r="BL903" s="77"/>
      <c r="BM903" s="77"/>
    </row>
    <row r="904">
      <c r="A904" s="99" t="s">
        <v>69</v>
      </c>
      <c r="B904" s="99" t="b">
        <v>0</v>
      </c>
      <c r="C904" s="99" t="b">
        <v>0</v>
      </c>
      <c r="D904" s="80"/>
      <c r="E904" s="81"/>
      <c r="F904" s="106"/>
      <c r="G904" s="107"/>
      <c r="H904" s="108"/>
      <c r="I904" s="108"/>
      <c r="J904" s="109"/>
      <c r="K904" s="107"/>
      <c r="L904" s="107"/>
      <c r="M904" s="110"/>
      <c r="N904" s="110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  <c r="AK904" s="70"/>
      <c r="AL904" s="70"/>
      <c r="AM904" s="70"/>
      <c r="AN904" s="70"/>
      <c r="AO904" s="70"/>
      <c r="AP904" s="70"/>
      <c r="AQ904" s="77"/>
      <c r="AR904" s="77"/>
      <c r="AS904" s="77"/>
      <c r="AT904" s="77"/>
      <c r="AU904" s="77"/>
      <c r="AV904" s="77"/>
      <c r="AW904" s="77"/>
      <c r="AX904" s="77"/>
      <c r="AY904" s="77"/>
      <c r="AZ904" s="77"/>
      <c r="BA904" s="77"/>
      <c r="BB904" s="77"/>
      <c r="BC904" s="77"/>
      <c r="BD904" s="77"/>
      <c r="BE904" s="77"/>
      <c r="BF904" s="77"/>
      <c r="BG904" s="77"/>
      <c r="BH904" s="77"/>
      <c r="BI904" s="77"/>
      <c r="BJ904" s="77"/>
      <c r="BK904" s="77"/>
      <c r="BL904" s="77"/>
      <c r="BM904" s="77"/>
    </row>
    <row r="905">
      <c r="A905" s="100" t="s">
        <v>69</v>
      </c>
      <c r="B905" s="100" t="b">
        <v>0</v>
      </c>
      <c r="C905" s="100" t="b">
        <v>0</v>
      </c>
      <c r="D905" s="42"/>
      <c r="E905" s="43"/>
      <c r="F905" s="101"/>
      <c r="G905" s="102"/>
      <c r="H905" s="103"/>
      <c r="I905" s="103"/>
      <c r="J905" s="104"/>
      <c r="K905" s="102"/>
      <c r="L905" s="102"/>
      <c r="M905" s="105"/>
      <c r="N905" s="105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  <c r="AK905" s="70"/>
      <c r="AL905" s="70"/>
      <c r="AM905" s="70"/>
      <c r="AN905" s="70"/>
      <c r="AO905" s="70"/>
      <c r="AP905" s="70"/>
      <c r="AQ905" s="77"/>
      <c r="AR905" s="77"/>
      <c r="AS905" s="77"/>
      <c r="AT905" s="77"/>
      <c r="AU905" s="77"/>
      <c r="AV905" s="77"/>
      <c r="AW905" s="77"/>
      <c r="AX905" s="77"/>
      <c r="AY905" s="77"/>
      <c r="AZ905" s="77"/>
      <c r="BA905" s="77"/>
      <c r="BB905" s="77"/>
      <c r="BC905" s="77"/>
      <c r="BD905" s="77"/>
      <c r="BE905" s="77"/>
      <c r="BF905" s="77"/>
      <c r="BG905" s="77"/>
      <c r="BH905" s="77"/>
      <c r="BI905" s="77"/>
      <c r="BJ905" s="77"/>
      <c r="BK905" s="77"/>
      <c r="BL905" s="77"/>
      <c r="BM905" s="77"/>
    </row>
    <row r="906">
      <c r="A906" s="99" t="s">
        <v>69</v>
      </c>
      <c r="B906" s="99" t="b">
        <v>0</v>
      </c>
      <c r="C906" s="99" t="b">
        <v>0</v>
      </c>
      <c r="D906" s="80"/>
      <c r="E906" s="81"/>
      <c r="F906" s="106"/>
      <c r="G906" s="107"/>
      <c r="H906" s="108"/>
      <c r="I906" s="108"/>
      <c r="J906" s="109"/>
      <c r="K906" s="107"/>
      <c r="L906" s="107"/>
      <c r="M906" s="110"/>
      <c r="N906" s="110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  <c r="AK906" s="70"/>
      <c r="AL906" s="70"/>
      <c r="AM906" s="70"/>
      <c r="AN906" s="70"/>
      <c r="AO906" s="70"/>
      <c r="AP906" s="70"/>
      <c r="AQ906" s="77"/>
      <c r="AR906" s="77"/>
      <c r="AS906" s="77"/>
      <c r="AT906" s="77"/>
      <c r="AU906" s="77"/>
      <c r="AV906" s="77"/>
      <c r="AW906" s="77"/>
      <c r="AX906" s="77"/>
      <c r="AY906" s="77"/>
      <c r="AZ906" s="77"/>
      <c r="BA906" s="77"/>
      <c r="BB906" s="77"/>
      <c r="BC906" s="77"/>
      <c r="BD906" s="77"/>
      <c r="BE906" s="77"/>
      <c r="BF906" s="77"/>
      <c r="BG906" s="77"/>
      <c r="BH906" s="77"/>
      <c r="BI906" s="77"/>
      <c r="BJ906" s="77"/>
      <c r="BK906" s="77"/>
      <c r="BL906" s="77"/>
      <c r="BM906" s="77"/>
    </row>
    <row r="907">
      <c r="A907" s="100" t="s">
        <v>69</v>
      </c>
      <c r="B907" s="100" t="b">
        <v>0</v>
      </c>
      <c r="C907" s="100" t="b">
        <v>0</v>
      </c>
      <c r="D907" s="42"/>
      <c r="E907" s="43"/>
      <c r="F907" s="101"/>
      <c r="G907" s="102"/>
      <c r="H907" s="103"/>
      <c r="I907" s="103"/>
      <c r="J907" s="104"/>
      <c r="K907" s="102"/>
      <c r="L907" s="102"/>
      <c r="M907" s="105"/>
      <c r="N907" s="105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  <c r="AK907" s="70"/>
      <c r="AL907" s="70"/>
      <c r="AM907" s="70"/>
      <c r="AN907" s="70"/>
      <c r="AO907" s="70"/>
      <c r="AP907" s="70"/>
      <c r="AQ907" s="77"/>
      <c r="AR907" s="77"/>
      <c r="AS907" s="77"/>
      <c r="AT907" s="77"/>
      <c r="AU907" s="77"/>
      <c r="AV907" s="77"/>
      <c r="AW907" s="77"/>
      <c r="AX907" s="77"/>
      <c r="AY907" s="77"/>
      <c r="AZ907" s="77"/>
      <c r="BA907" s="77"/>
      <c r="BB907" s="77"/>
      <c r="BC907" s="77"/>
      <c r="BD907" s="77"/>
      <c r="BE907" s="77"/>
      <c r="BF907" s="77"/>
      <c r="BG907" s="77"/>
      <c r="BH907" s="77"/>
      <c r="BI907" s="77"/>
      <c r="BJ907" s="77"/>
      <c r="BK907" s="77"/>
      <c r="BL907" s="77"/>
      <c r="BM907" s="77"/>
    </row>
    <row r="908">
      <c r="A908" s="99" t="s">
        <v>69</v>
      </c>
      <c r="B908" s="99" t="b">
        <v>0</v>
      </c>
      <c r="C908" s="99" t="b">
        <v>0</v>
      </c>
      <c r="D908" s="80"/>
      <c r="E908" s="81"/>
      <c r="F908" s="106"/>
      <c r="G908" s="107"/>
      <c r="H908" s="108"/>
      <c r="I908" s="108"/>
      <c r="J908" s="109"/>
      <c r="K908" s="107"/>
      <c r="L908" s="107"/>
      <c r="M908" s="110"/>
      <c r="N908" s="110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  <c r="AK908" s="70"/>
      <c r="AL908" s="70"/>
      <c r="AM908" s="70"/>
      <c r="AN908" s="70"/>
      <c r="AO908" s="70"/>
      <c r="AP908" s="70"/>
      <c r="AQ908" s="77"/>
      <c r="AR908" s="77"/>
      <c r="AS908" s="77"/>
      <c r="AT908" s="77"/>
      <c r="AU908" s="77"/>
      <c r="AV908" s="77"/>
      <c r="AW908" s="77"/>
      <c r="AX908" s="77"/>
      <c r="AY908" s="77"/>
      <c r="AZ908" s="77"/>
      <c r="BA908" s="77"/>
      <c r="BB908" s="77"/>
      <c r="BC908" s="77"/>
      <c r="BD908" s="77"/>
      <c r="BE908" s="77"/>
      <c r="BF908" s="77"/>
      <c r="BG908" s="77"/>
      <c r="BH908" s="77"/>
      <c r="BI908" s="77"/>
      <c r="BJ908" s="77"/>
      <c r="BK908" s="77"/>
      <c r="BL908" s="77"/>
      <c r="BM908" s="77"/>
    </row>
    <row r="909">
      <c r="A909" s="100" t="s">
        <v>69</v>
      </c>
      <c r="B909" s="100" t="b">
        <v>0</v>
      </c>
      <c r="C909" s="100" t="b">
        <v>0</v>
      </c>
      <c r="D909" s="42"/>
      <c r="E909" s="43"/>
      <c r="F909" s="101"/>
      <c r="G909" s="102"/>
      <c r="H909" s="103"/>
      <c r="I909" s="103"/>
      <c r="J909" s="104"/>
      <c r="K909" s="102"/>
      <c r="L909" s="102"/>
      <c r="M909" s="105"/>
      <c r="N909" s="105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  <c r="AK909" s="70"/>
      <c r="AL909" s="70"/>
      <c r="AM909" s="70"/>
      <c r="AN909" s="70"/>
      <c r="AO909" s="70"/>
      <c r="AP909" s="70"/>
      <c r="AQ909" s="77"/>
      <c r="AR909" s="77"/>
      <c r="AS909" s="77"/>
      <c r="AT909" s="77"/>
      <c r="AU909" s="77"/>
      <c r="AV909" s="77"/>
      <c r="AW909" s="77"/>
      <c r="AX909" s="77"/>
      <c r="AY909" s="77"/>
      <c r="AZ909" s="77"/>
      <c r="BA909" s="77"/>
      <c r="BB909" s="77"/>
      <c r="BC909" s="77"/>
      <c r="BD909" s="77"/>
      <c r="BE909" s="77"/>
      <c r="BF909" s="77"/>
      <c r="BG909" s="77"/>
      <c r="BH909" s="77"/>
      <c r="BI909" s="77"/>
      <c r="BJ909" s="77"/>
      <c r="BK909" s="77"/>
      <c r="BL909" s="77"/>
      <c r="BM909" s="77"/>
    </row>
    <row r="910">
      <c r="A910" s="99" t="s">
        <v>69</v>
      </c>
      <c r="B910" s="99" t="b">
        <v>0</v>
      </c>
      <c r="C910" s="99" t="b">
        <v>0</v>
      </c>
      <c r="D910" s="80"/>
      <c r="E910" s="81"/>
      <c r="F910" s="106"/>
      <c r="G910" s="107"/>
      <c r="H910" s="108"/>
      <c r="I910" s="108"/>
      <c r="J910" s="109"/>
      <c r="K910" s="107"/>
      <c r="L910" s="107"/>
      <c r="M910" s="110"/>
      <c r="N910" s="110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  <c r="AI910" s="70"/>
      <c r="AJ910" s="70"/>
      <c r="AK910" s="70"/>
      <c r="AL910" s="70"/>
      <c r="AM910" s="70"/>
      <c r="AN910" s="70"/>
      <c r="AO910" s="70"/>
      <c r="AP910" s="70"/>
      <c r="AQ910" s="77"/>
      <c r="AR910" s="77"/>
      <c r="AS910" s="77"/>
      <c r="AT910" s="77"/>
      <c r="AU910" s="77"/>
      <c r="AV910" s="77"/>
      <c r="AW910" s="77"/>
      <c r="AX910" s="77"/>
      <c r="AY910" s="77"/>
      <c r="AZ910" s="77"/>
      <c r="BA910" s="77"/>
      <c r="BB910" s="77"/>
      <c r="BC910" s="77"/>
      <c r="BD910" s="77"/>
      <c r="BE910" s="77"/>
      <c r="BF910" s="77"/>
      <c r="BG910" s="77"/>
      <c r="BH910" s="77"/>
      <c r="BI910" s="77"/>
      <c r="BJ910" s="77"/>
      <c r="BK910" s="77"/>
      <c r="BL910" s="77"/>
      <c r="BM910" s="77"/>
    </row>
    <row r="911">
      <c r="A911" s="100" t="s">
        <v>69</v>
      </c>
      <c r="B911" s="100" t="b">
        <v>0</v>
      </c>
      <c r="C911" s="100" t="b">
        <v>0</v>
      </c>
      <c r="D911" s="42"/>
      <c r="E911" s="43"/>
      <c r="F911" s="101"/>
      <c r="G911" s="102"/>
      <c r="H911" s="103"/>
      <c r="I911" s="103"/>
      <c r="J911" s="104"/>
      <c r="K911" s="102"/>
      <c r="L911" s="102"/>
      <c r="M911" s="105"/>
      <c r="N911" s="105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  <c r="AI911" s="70"/>
      <c r="AJ911" s="70"/>
      <c r="AK911" s="70"/>
      <c r="AL911" s="70"/>
      <c r="AM911" s="70"/>
      <c r="AN911" s="70"/>
      <c r="AO911" s="70"/>
      <c r="AP911" s="70"/>
      <c r="AQ911" s="77"/>
      <c r="AR911" s="77"/>
      <c r="AS911" s="77"/>
      <c r="AT911" s="77"/>
      <c r="AU911" s="77"/>
      <c r="AV911" s="77"/>
      <c r="AW911" s="77"/>
      <c r="AX911" s="77"/>
      <c r="AY911" s="77"/>
      <c r="AZ911" s="77"/>
      <c r="BA911" s="77"/>
      <c r="BB911" s="77"/>
      <c r="BC911" s="77"/>
      <c r="BD911" s="77"/>
      <c r="BE911" s="77"/>
      <c r="BF911" s="77"/>
      <c r="BG911" s="77"/>
      <c r="BH911" s="77"/>
      <c r="BI911" s="77"/>
      <c r="BJ911" s="77"/>
      <c r="BK911" s="77"/>
      <c r="BL911" s="77"/>
      <c r="BM911" s="77"/>
    </row>
    <row r="912">
      <c r="A912" s="99" t="s">
        <v>69</v>
      </c>
      <c r="B912" s="99" t="b">
        <v>0</v>
      </c>
      <c r="C912" s="99" t="b">
        <v>0</v>
      </c>
      <c r="D912" s="80"/>
      <c r="E912" s="81"/>
      <c r="F912" s="106"/>
      <c r="G912" s="107"/>
      <c r="H912" s="108"/>
      <c r="I912" s="108"/>
      <c r="J912" s="109"/>
      <c r="K912" s="107"/>
      <c r="L912" s="107"/>
      <c r="M912" s="110"/>
      <c r="N912" s="110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  <c r="AI912" s="70"/>
      <c r="AJ912" s="70"/>
      <c r="AK912" s="70"/>
      <c r="AL912" s="70"/>
      <c r="AM912" s="70"/>
      <c r="AN912" s="70"/>
      <c r="AO912" s="70"/>
      <c r="AP912" s="70"/>
      <c r="AQ912" s="77"/>
      <c r="AR912" s="77"/>
      <c r="AS912" s="77"/>
      <c r="AT912" s="77"/>
      <c r="AU912" s="77"/>
      <c r="AV912" s="77"/>
      <c r="AW912" s="77"/>
      <c r="AX912" s="77"/>
      <c r="AY912" s="77"/>
      <c r="AZ912" s="77"/>
      <c r="BA912" s="77"/>
      <c r="BB912" s="77"/>
      <c r="BC912" s="77"/>
      <c r="BD912" s="77"/>
      <c r="BE912" s="77"/>
      <c r="BF912" s="77"/>
      <c r="BG912" s="77"/>
      <c r="BH912" s="77"/>
      <c r="BI912" s="77"/>
      <c r="BJ912" s="77"/>
      <c r="BK912" s="77"/>
      <c r="BL912" s="77"/>
      <c r="BM912" s="77"/>
    </row>
    <row r="913">
      <c r="A913" s="100" t="s">
        <v>69</v>
      </c>
      <c r="B913" s="100" t="b">
        <v>0</v>
      </c>
      <c r="C913" s="100" t="b">
        <v>0</v>
      </c>
      <c r="D913" s="42"/>
      <c r="E913" s="43"/>
      <c r="F913" s="101"/>
      <c r="G913" s="102"/>
      <c r="H913" s="103"/>
      <c r="I913" s="103"/>
      <c r="J913" s="104"/>
      <c r="K913" s="102"/>
      <c r="L913" s="102"/>
      <c r="M913" s="105"/>
      <c r="N913" s="105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  <c r="AI913" s="70"/>
      <c r="AJ913" s="70"/>
      <c r="AK913" s="70"/>
      <c r="AL913" s="70"/>
      <c r="AM913" s="70"/>
      <c r="AN913" s="70"/>
      <c r="AO913" s="70"/>
      <c r="AP913" s="70"/>
      <c r="AQ913" s="77"/>
      <c r="AR913" s="77"/>
      <c r="AS913" s="77"/>
      <c r="AT913" s="77"/>
      <c r="AU913" s="77"/>
      <c r="AV913" s="77"/>
      <c r="AW913" s="77"/>
      <c r="AX913" s="77"/>
      <c r="AY913" s="77"/>
      <c r="AZ913" s="77"/>
      <c r="BA913" s="77"/>
      <c r="BB913" s="77"/>
      <c r="BC913" s="77"/>
      <c r="BD913" s="77"/>
      <c r="BE913" s="77"/>
      <c r="BF913" s="77"/>
      <c r="BG913" s="77"/>
      <c r="BH913" s="77"/>
      <c r="BI913" s="77"/>
      <c r="BJ913" s="77"/>
      <c r="BK913" s="77"/>
      <c r="BL913" s="77"/>
      <c r="BM913" s="77"/>
    </row>
    <row r="914">
      <c r="A914" s="99" t="s">
        <v>69</v>
      </c>
      <c r="B914" s="99" t="b">
        <v>0</v>
      </c>
      <c r="C914" s="99" t="b">
        <v>0</v>
      </c>
      <c r="D914" s="80"/>
      <c r="E914" s="81"/>
      <c r="F914" s="106"/>
      <c r="G914" s="107"/>
      <c r="H914" s="108"/>
      <c r="I914" s="108"/>
      <c r="J914" s="109"/>
      <c r="K914" s="107"/>
      <c r="L914" s="107"/>
      <c r="M914" s="110"/>
      <c r="N914" s="110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  <c r="AK914" s="70"/>
      <c r="AL914" s="70"/>
      <c r="AM914" s="70"/>
      <c r="AN914" s="70"/>
      <c r="AO914" s="70"/>
      <c r="AP914" s="70"/>
      <c r="AQ914" s="77"/>
      <c r="AR914" s="77"/>
      <c r="AS914" s="77"/>
      <c r="AT914" s="77"/>
      <c r="AU914" s="77"/>
      <c r="AV914" s="77"/>
      <c r="AW914" s="77"/>
      <c r="AX914" s="77"/>
      <c r="AY914" s="77"/>
      <c r="AZ914" s="77"/>
      <c r="BA914" s="77"/>
      <c r="BB914" s="77"/>
      <c r="BC914" s="77"/>
      <c r="BD914" s="77"/>
      <c r="BE914" s="77"/>
      <c r="BF914" s="77"/>
      <c r="BG914" s="77"/>
      <c r="BH914" s="77"/>
      <c r="BI914" s="77"/>
      <c r="BJ914" s="77"/>
      <c r="BK914" s="77"/>
      <c r="BL914" s="77"/>
      <c r="BM914" s="77"/>
    </row>
    <row r="915">
      <c r="A915" s="100" t="s">
        <v>69</v>
      </c>
      <c r="B915" s="100" t="b">
        <v>0</v>
      </c>
      <c r="C915" s="100" t="b">
        <v>0</v>
      </c>
      <c r="D915" s="42"/>
      <c r="E915" s="43"/>
      <c r="F915" s="101"/>
      <c r="G915" s="102"/>
      <c r="H915" s="103"/>
      <c r="I915" s="103"/>
      <c r="J915" s="104"/>
      <c r="K915" s="102"/>
      <c r="L915" s="102"/>
      <c r="M915" s="105"/>
      <c r="N915" s="105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  <c r="AL915" s="70"/>
      <c r="AM915" s="70"/>
      <c r="AN915" s="70"/>
      <c r="AO915" s="70"/>
      <c r="AP915" s="70"/>
      <c r="AQ915" s="77"/>
      <c r="AR915" s="77"/>
      <c r="AS915" s="77"/>
      <c r="AT915" s="77"/>
      <c r="AU915" s="77"/>
      <c r="AV915" s="77"/>
      <c r="AW915" s="77"/>
      <c r="AX915" s="77"/>
      <c r="AY915" s="77"/>
      <c r="AZ915" s="77"/>
      <c r="BA915" s="77"/>
      <c r="BB915" s="77"/>
      <c r="BC915" s="77"/>
      <c r="BD915" s="77"/>
      <c r="BE915" s="77"/>
      <c r="BF915" s="77"/>
      <c r="BG915" s="77"/>
      <c r="BH915" s="77"/>
      <c r="BI915" s="77"/>
      <c r="BJ915" s="77"/>
      <c r="BK915" s="77"/>
      <c r="BL915" s="77"/>
      <c r="BM915" s="77"/>
    </row>
    <row r="916">
      <c r="A916" s="99" t="s">
        <v>69</v>
      </c>
      <c r="B916" s="99" t="b">
        <v>0</v>
      </c>
      <c r="C916" s="99" t="b">
        <v>0</v>
      </c>
      <c r="D916" s="80"/>
      <c r="E916" s="81"/>
      <c r="F916" s="106"/>
      <c r="G916" s="107"/>
      <c r="H916" s="108"/>
      <c r="I916" s="108"/>
      <c r="J916" s="109"/>
      <c r="K916" s="107"/>
      <c r="L916" s="107"/>
      <c r="M916" s="110"/>
      <c r="N916" s="110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  <c r="AK916" s="70"/>
      <c r="AL916" s="70"/>
      <c r="AM916" s="70"/>
      <c r="AN916" s="70"/>
      <c r="AO916" s="70"/>
      <c r="AP916" s="70"/>
      <c r="AQ916" s="77"/>
      <c r="AR916" s="77"/>
      <c r="AS916" s="77"/>
      <c r="AT916" s="77"/>
      <c r="AU916" s="77"/>
      <c r="AV916" s="77"/>
      <c r="AW916" s="77"/>
      <c r="AX916" s="77"/>
      <c r="AY916" s="77"/>
      <c r="AZ916" s="77"/>
      <c r="BA916" s="77"/>
      <c r="BB916" s="77"/>
      <c r="BC916" s="77"/>
      <c r="BD916" s="77"/>
      <c r="BE916" s="77"/>
      <c r="BF916" s="77"/>
      <c r="BG916" s="77"/>
      <c r="BH916" s="77"/>
      <c r="BI916" s="77"/>
      <c r="BJ916" s="77"/>
      <c r="BK916" s="77"/>
      <c r="BL916" s="77"/>
      <c r="BM916" s="77"/>
    </row>
    <row r="917">
      <c r="A917" s="100" t="s">
        <v>69</v>
      </c>
      <c r="B917" s="100" t="b">
        <v>0</v>
      </c>
      <c r="C917" s="100" t="b">
        <v>0</v>
      </c>
      <c r="D917" s="42"/>
      <c r="E917" s="43"/>
      <c r="F917" s="101"/>
      <c r="G917" s="102"/>
      <c r="H917" s="103"/>
      <c r="I917" s="103"/>
      <c r="J917" s="104"/>
      <c r="K917" s="102"/>
      <c r="L917" s="102"/>
      <c r="M917" s="105"/>
      <c r="N917" s="105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  <c r="AI917" s="70"/>
      <c r="AJ917" s="70"/>
      <c r="AK917" s="70"/>
      <c r="AL917" s="70"/>
      <c r="AM917" s="70"/>
      <c r="AN917" s="70"/>
      <c r="AO917" s="70"/>
      <c r="AP917" s="70"/>
      <c r="AQ917" s="77"/>
      <c r="AR917" s="77"/>
      <c r="AS917" s="77"/>
      <c r="AT917" s="77"/>
      <c r="AU917" s="77"/>
      <c r="AV917" s="77"/>
      <c r="AW917" s="77"/>
      <c r="AX917" s="77"/>
      <c r="AY917" s="77"/>
      <c r="AZ917" s="77"/>
      <c r="BA917" s="77"/>
      <c r="BB917" s="77"/>
      <c r="BC917" s="77"/>
      <c r="BD917" s="77"/>
      <c r="BE917" s="77"/>
      <c r="BF917" s="77"/>
      <c r="BG917" s="77"/>
      <c r="BH917" s="77"/>
      <c r="BI917" s="77"/>
      <c r="BJ917" s="77"/>
      <c r="BK917" s="77"/>
      <c r="BL917" s="77"/>
      <c r="BM917" s="77"/>
    </row>
    <row r="918">
      <c r="A918" s="99" t="s">
        <v>69</v>
      </c>
      <c r="B918" s="99" t="b">
        <v>0</v>
      </c>
      <c r="C918" s="99" t="b">
        <v>0</v>
      </c>
      <c r="D918" s="80"/>
      <c r="E918" s="81"/>
      <c r="F918" s="106"/>
      <c r="G918" s="107"/>
      <c r="H918" s="108"/>
      <c r="I918" s="108"/>
      <c r="J918" s="109"/>
      <c r="K918" s="107"/>
      <c r="L918" s="107"/>
      <c r="M918" s="110"/>
      <c r="N918" s="110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  <c r="AI918" s="70"/>
      <c r="AJ918" s="70"/>
      <c r="AK918" s="70"/>
      <c r="AL918" s="70"/>
      <c r="AM918" s="70"/>
      <c r="AN918" s="70"/>
      <c r="AO918" s="70"/>
      <c r="AP918" s="70"/>
      <c r="AQ918" s="77"/>
      <c r="AR918" s="77"/>
      <c r="AS918" s="77"/>
      <c r="AT918" s="77"/>
      <c r="AU918" s="77"/>
      <c r="AV918" s="77"/>
      <c r="AW918" s="77"/>
      <c r="AX918" s="77"/>
      <c r="AY918" s="77"/>
      <c r="AZ918" s="77"/>
      <c r="BA918" s="77"/>
      <c r="BB918" s="77"/>
      <c r="BC918" s="77"/>
      <c r="BD918" s="77"/>
      <c r="BE918" s="77"/>
      <c r="BF918" s="77"/>
      <c r="BG918" s="77"/>
      <c r="BH918" s="77"/>
      <c r="BI918" s="77"/>
      <c r="BJ918" s="77"/>
      <c r="BK918" s="77"/>
      <c r="BL918" s="77"/>
      <c r="BM918" s="77"/>
    </row>
    <row r="919">
      <c r="A919" s="100" t="s">
        <v>69</v>
      </c>
      <c r="B919" s="100" t="b">
        <v>0</v>
      </c>
      <c r="C919" s="100" t="b">
        <v>0</v>
      </c>
      <c r="D919" s="42"/>
      <c r="E919" s="43"/>
      <c r="F919" s="101"/>
      <c r="G919" s="102"/>
      <c r="H919" s="103"/>
      <c r="I919" s="103"/>
      <c r="J919" s="104"/>
      <c r="K919" s="102"/>
      <c r="L919" s="102"/>
      <c r="M919" s="105"/>
      <c r="N919" s="105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  <c r="AI919" s="70"/>
      <c r="AJ919" s="70"/>
      <c r="AK919" s="70"/>
      <c r="AL919" s="70"/>
      <c r="AM919" s="70"/>
      <c r="AN919" s="70"/>
      <c r="AO919" s="70"/>
      <c r="AP919" s="70"/>
      <c r="AQ919" s="77"/>
      <c r="AR919" s="77"/>
      <c r="AS919" s="77"/>
      <c r="AT919" s="77"/>
      <c r="AU919" s="77"/>
      <c r="AV919" s="77"/>
      <c r="AW919" s="77"/>
      <c r="AX919" s="77"/>
      <c r="AY919" s="77"/>
      <c r="AZ919" s="77"/>
      <c r="BA919" s="77"/>
      <c r="BB919" s="77"/>
      <c r="BC919" s="77"/>
      <c r="BD919" s="77"/>
      <c r="BE919" s="77"/>
      <c r="BF919" s="77"/>
      <c r="BG919" s="77"/>
      <c r="BH919" s="77"/>
      <c r="BI919" s="77"/>
      <c r="BJ919" s="77"/>
      <c r="BK919" s="77"/>
      <c r="BL919" s="77"/>
      <c r="BM919" s="77"/>
    </row>
    <row r="920">
      <c r="A920" s="99" t="s">
        <v>69</v>
      </c>
      <c r="B920" s="99" t="b">
        <v>0</v>
      </c>
      <c r="C920" s="99" t="b">
        <v>0</v>
      </c>
      <c r="D920" s="80"/>
      <c r="E920" s="81"/>
      <c r="F920" s="106"/>
      <c r="G920" s="107"/>
      <c r="H920" s="108"/>
      <c r="I920" s="108"/>
      <c r="J920" s="109"/>
      <c r="K920" s="107"/>
      <c r="L920" s="107"/>
      <c r="M920" s="110"/>
      <c r="N920" s="110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  <c r="AI920" s="70"/>
      <c r="AJ920" s="70"/>
      <c r="AK920" s="70"/>
      <c r="AL920" s="70"/>
      <c r="AM920" s="70"/>
      <c r="AN920" s="70"/>
      <c r="AO920" s="70"/>
      <c r="AP920" s="70"/>
      <c r="AQ920" s="77"/>
      <c r="AR920" s="77"/>
      <c r="AS920" s="77"/>
      <c r="AT920" s="77"/>
      <c r="AU920" s="77"/>
      <c r="AV920" s="77"/>
      <c r="AW920" s="77"/>
      <c r="AX920" s="77"/>
      <c r="AY920" s="77"/>
      <c r="AZ920" s="77"/>
      <c r="BA920" s="77"/>
      <c r="BB920" s="77"/>
      <c r="BC920" s="77"/>
      <c r="BD920" s="77"/>
      <c r="BE920" s="77"/>
      <c r="BF920" s="77"/>
      <c r="BG920" s="77"/>
      <c r="BH920" s="77"/>
      <c r="BI920" s="77"/>
      <c r="BJ920" s="77"/>
      <c r="BK920" s="77"/>
      <c r="BL920" s="77"/>
      <c r="BM920" s="77"/>
    </row>
    <row r="921">
      <c r="A921" s="100" t="s">
        <v>69</v>
      </c>
      <c r="B921" s="100" t="b">
        <v>0</v>
      </c>
      <c r="C921" s="100" t="b">
        <v>0</v>
      </c>
      <c r="D921" s="42"/>
      <c r="E921" s="43"/>
      <c r="F921" s="101"/>
      <c r="G921" s="102"/>
      <c r="H921" s="103"/>
      <c r="I921" s="103"/>
      <c r="J921" s="104"/>
      <c r="K921" s="102"/>
      <c r="L921" s="102"/>
      <c r="M921" s="105"/>
      <c r="N921" s="105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  <c r="AI921" s="70"/>
      <c r="AJ921" s="70"/>
      <c r="AK921" s="70"/>
      <c r="AL921" s="70"/>
      <c r="AM921" s="70"/>
      <c r="AN921" s="70"/>
      <c r="AO921" s="70"/>
      <c r="AP921" s="70"/>
      <c r="AQ921" s="77"/>
      <c r="AR921" s="77"/>
      <c r="AS921" s="77"/>
      <c r="AT921" s="77"/>
      <c r="AU921" s="77"/>
      <c r="AV921" s="77"/>
      <c r="AW921" s="77"/>
      <c r="AX921" s="77"/>
      <c r="AY921" s="77"/>
      <c r="AZ921" s="77"/>
      <c r="BA921" s="77"/>
      <c r="BB921" s="77"/>
      <c r="BC921" s="77"/>
      <c r="BD921" s="77"/>
      <c r="BE921" s="77"/>
      <c r="BF921" s="77"/>
      <c r="BG921" s="77"/>
      <c r="BH921" s="77"/>
      <c r="BI921" s="77"/>
      <c r="BJ921" s="77"/>
      <c r="BK921" s="77"/>
      <c r="BL921" s="77"/>
      <c r="BM921" s="77"/>
    </row>
    <row r="922">
      <c r="A922" s="99" t="s">
        <v>69</v>
      </c>
      <c r="B922" s="99" t="b">
        <v>0</v>
      </c>
      <c r="C922" s="99" t="b">
        <v>0</v>
      </c>
      <c r="D922" s="80"/>
      <c r="E922" s="81"/>
      <c r="F922" s="106"/>
      <c r="G922" s="107"/>
      <c r="H922" s="108"/>
      <c r="I922" s="108"/>
      <c r="J922" s="109"/>
      <c r="K922" s="107"/>
      <c r="L922" s="107"/>
      <c r="M922" s="110"/>
      <c r="N922" s="110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  <c r="AI922" s="70"/>
      <c r="AJ922" s="70"/>
      <c r="AK922" s="70"/>
      <c r="AL922" s="70"/>
      <c r="AM922" s="70"/>
      <c r="AN922" s="70"/>
      <c r="AO922" s="70"/>
      <c r="AP922" s="70"/>
      <c r="AQ922" s="77"/>
      <c r="AR922" s="77"/>
      <c r="AS922" s="77"/>
      <c r="AT922" s="77"/>
      <c r="AU922" s="77"/>
      <c r="AV922" s="77"/>
      <c r="AW922" s="77"/>
      <c r="AX922" s="77"/>
      <c r="AY922" s="77"/>
      <c r="AZ922" s="77"/>
      <c r="BA922" s="77"/>
      <c r="BB922" s="77"/>
      <c r="BC922" s="77"/>
      <c r="BD922" s="77"/>
      <c r="BE922" s="77"/>
      <c r="BF922" s="77"/>
      <c r="BG922" s="77"/>
      <c r="BH922" s="77"/>
      <c r="BI922" s="77"/>
      <c r="BJ922" s="77"/>
      <c r="BK922" s="77"/>
      <c r="BL922" s="77"/>
      <c r="BM922" s="77"/>
    </row>
    <row r="923">
      <c r="A923" s="100" t="s">
        <v>69</v>
      </c>
      <c r="B923" s="100" t="b">
        <v>0</v>
      </c>
      <c r="C923" s="100" t="b">
        <v>0</v>
      </c>
      <c r="D923" s="42"/>
      <c r="E923" s="43"/>
      <c r="F923" s="101"/>
      <c r="G923" s="102"/>
      <c r="H923" s="103"/>
      <c r="I923" s="103"/>
      <c r="J923" s="104"/>
      <c r="K923" s="102"/>
      <c r="L923" s="102"/>
      <c r="M923" s="105"/>
      <c r="N923" s="105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  <c r="AI923" s="70"/>
      <c r="AJ923" s="70"/>
      <c r="AK923" s="70"/>
      <c r="AL923" s="70"/>
      <c r="AM923" s="70"/>
      <c r="AN923" s="70"/>
      <c r="AO923" s="70"/>
      <c r="AP923" s="70"/>
      <c r="AQ923" s="77"/>
      <c r="AR923" s="77"/>
      <c r="AS923" s="77"/>
      <c r="AT923" s="77"/>
      <c r="AU923" s="77"/>
      <c r="AV923" s="77"/>
      <c r="AW923" s="77"/>
      <c r="AX923" s="77"/>
      <c r="AY923" s="77"/>
      <c r="AZ923" s="77"/>
      <c r="BA923" s="77"/>
      <c r="BB923" s="77"/>
      <c r="BC923" s="77"/>
      <c r="BD923" s="77"/>
      <c r="BE923" s="77"/>
      <c r="BF923" s="77"/>
      <c r="BG923" s="77"/>
      <c r="BH923" s="77"/>
      <c r="BI923" s="77"/>
      <c r="BJ923" s="77"/>
      <c r="BK923" s="77"/>
      <c r="BL923" s="77"/>
      <c r="BM923" s="77"/>
    </row>
    <row r="924">
      <c r="A924" s="99" t="s">
        <v>69</v>
      </c>
      <c r="B924" s="99" t="b">
        <v>0</v>
      </c>
      <c r="C924" s="99" t="b">
        <v>0</v>
      </c>
      <c r="D924" s="80"/>
      <c r="E924" s="81"/>
      <c r="F924" s="106"/>
      <c r="G924" s="107"/>
      <c r="H924" s="108"/>
      <c r="I924" s="108"/>
      <c r="J924" s="109"/>
      <c r="K924" s="107"/>
      <c r="L924" s="107"/>
      <c r="M924" s="110"/>
      <c r="N924" s="110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  <c r="AI924" s="70"/>
      <c r="AJ924" s="70"/>
      <c r="AK924" s="70"/>
      <c r="AL924" s="70"/>
      <c r="AM924" s="70"/>
      <c r="AN924" s="70"/>
      <c r="AO924" s="70"/>
      <c r="AP924" s="70"/>
      <c r="AQ924" s="77"/>
      <c r="AR924" s="77"/>
      <c r="AS924" s="77"/>
      <c r="AT924" s="77"/>
      <c r="AU924" s="77"/>
      <c r="AV924" s="77"/>
      <c r="AW924" s="77"/>
      <c r="AX924" s="77"/>
      <c r="AY924" s="77"/>
      <c r="AZ924" s="77"/>
      <c r="BA924" s="77"/>
      <c r="BB924" s="77"/>
      <c r="BC924" s="77"/>
      <c r="BD924" s="77"/>
      <c r="BE924" s="77"/>
      <c r="BF924" s="77"/>
      <c r="BG924" s="77"/>
      <c r="BH924" s="77"/>
      <c r="BI924" s="77"/>
      <c r="BJ924" s="77"/>
      <c r="BK924" s="77"/>
      <c r="BL924" s="77"/>
      <c r="BM924" s="77"/>
    </row>
    <row r="925">
      <c r="A925" s="100" t="s">
        <v>69</v>
      </c>
      <c r="B925" s="100" t="b">
        <v>0</v>
      </c>
      <c r="C925" s="100" t="b">
        <v>0</v>
      </c>
      <c r="D925" s="42"/>
      <c r="E925" s="43"/>
      <c r="F925" s="101"/>
      <c r="G925" s="102"/>
      <c r="H925" s="103"/>
      <c r="I925" s="103"/>
      <c r="J925" s="104"/>
      <c r="K925" s="102"/>
      <c r="L925" s="102"/>
      <c r="M925" s="105"/>
      <c r="N925" s="105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  <c r="AI925" s="70"/>
      <c r="AJ925" s="70"/>
      <c r="AK925" s="70"/>
      <c r="AL925" s="70"/>
      <c r="AM925" s="70"/>
      <c r="AN925" s="70"/>
      <c r="AO925" s="70"/>
      <c r="AP925" s="70"/>
      <c r="AQ925" s="77"/>
      <c r="AR925" s="77"/>
      <c r="AS925" s="77"/>
      <c r="AT925" s="77"/>
      <c r="AU925" s="77"/>
      <c r="AV925" s="77"/>
      <c r="AW925" s="77"/>
      <c r="AX925" s="77"/>
      <c r="AY925" s="77"/>
      <c r="AZ925" s="77"/>
      <c r="BA925" s="77"/>
      <c r="BB925" s="77"/>
      <c r="BC925" s="77"/>
      <c r="BD925" s="77"/>
      <c r="BE925" s="77"/>
      <c r="BF925" s="77"/>
      <c r="BG925" s="77"/>
      <c r="BH925" s="77"/>
      <c r="BI925" s="77"/>
      <c r="BJ925" s="77"/>
      <c r="BK925" s="77"/>
      <c r="BL925" s="77"/>
      <c r="BM925" s="77"/>
    </row>
    <row r="926">
      <c r="A926" s="99" t="s">
        <v>69</v>
      </c>
      <c r="B926" s="99" t="b">
        <v>0</v>
      </c>
      <c r="C926" s="99" t="b">
        <v>0</v>
      </c>
      <c r="D926" s="80"/>
      <c r="E926" s="81"/>
      <c r="F926" s="106"/>
      <c r="G926" s="107"/>
      <c r="H926" s="108"/>
      <c r="I926" s="108"/>
      <c r="J926" s="109"/>
      <c r="K926" s="107"/>
      <c r="L926" s="107"/>
      <c r="M926" s="110"/>
      <c r="N926" s="110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  <c r="AI926" s="70"/>
      <c r="AJ926" s="70"/>
      <c r="AK926" s="70"/>
      <c r="AL926" s="70"/>
      <c r="AM926" s="70"/>
      <c r="AN926" s="70"/>
      <c r="AO926" s="70"/>
      <c r="AP926" s="70"/>
      <c r="AQ926" s="77"/>
      <c r="AR926" s="77"/>
      <c r="AS926" s="77"/>
      <c r="AT926" s="77"/>
      <c r="AU926" s="77"/>
      <c r="AV926" s="77"/>
      <c r="AW926" s="77"/>
      <c r="AX926" s="77"/>
      <c r="AY926" s="77"/>
      <c r="AZ926" s="77"/>
      <c r="BA926" s="77"/>
      <c r="BB926" s="77"/>
      <c r="BC926" s="77"/>
      <c r="BD926" s="77"/>
      <c r="BE926" s="77"/>
      <c r="BF926" s="77"/>
      <c r="BG926" s="77"/>
      <c r="BH926" s="77"/>
      <c r="BI926" s="77"/>
      <c r="BJ926" s="77"/>
      <c r="BK926" s="77"/>
      <c r="BL926" s="77"/>
      <c r="BM926" s="77"/>
    </row>
    <row r="927">
      <c r="A927" s="100" t="s">
        <v>69</v>
      </c>
      <c r="B927" s="100" t="b">
        <v>0</v>
      </c>
      <c r="C927" s="100" t="b">
        <v>0</v>
      </c>
      <c r="D927" s="42"/>
      <c r="E927" s="43"/>
      <c r="F927" s="101"/>
      <c r="G927" s="102"/>
      <c r="H927" s="103"/>
      <c r="I927" s="103"/>
      <c r="J927" s="104"/>
      <c r="K927" s="102"/>
      <c r="L927" s="102"/>
      <c r="M927" s="105"/>
      <c r="N927" s="105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  <c r="AI927" s="70"/>
      <c r="AJ927" s="70"/>
      <c r="AK927" s="70"/>
      <c r="AL927" s="70"/>
      <c r="AM927" s="70"/>
      <c r="AN927" s="70"/>
      <c r="AO927" s="70"/>
      <c r="AP927" s="70"/>
      <c r="AQ927" s="77"/>
      <c r="AR927" s="77"/>
      <c r="AS927" s="77"/>
      <c r="AT927" s="77"/>
      <c r="AU927" s="77"/>
      <c r="AV927" s="77"/>
      <c r="AW927" s="77"/>
      <c r="AX927" s="77"/>
      <c r="AY927" s="77"/>
      <c r="AZ927" s="77"/>
      <c r="BA927" s="77"/>
      <c r="BB927" s="77"/>
      <c r="BC927" s="77"/>
      <c r="BD927" s="77"/>
      <c r="BE927" s="77"/>
      <c r="BF927" s="77"/>
      <c r="BG927" s="77"/>
      <c r="BH927" s="77"/>
      <c r="BI927" s="77"/>
      <c r="BJ927" s="77"/>
      <c r="BK927" s="77"/>
      <c r="BL927" s="77"/>
      <c r="BM927" s="77"/>
    </row>
    <row r="928">
      <c r="A928" s="99" t="s">
        <v>69</v>
      </c>
      <c r="B928" s="99" t="b">
        <v>0</v>
      </c>
      <c r="C928" s="99" t="b">
        <v>0</v>
      </c>
      <c r="D928" s="80"/>
      <c r="E928" s="81"/>
      <c r="F928" s="106"/>
      <c r="G928" s="107"/>
      <c r="H928" s="108"/>
      <c r="I928" s="108"/>
      <c r="J928" s="109"/>
      <c r="K928" s="107"/>
      <c r="L928" s="107"/>
      <c r="M928" s="110"/>
      <c r="N928" s="110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  <c r="AI928" s="70"/>
      <c r="AJ928" s="70"/>
      <c r="AK928" s="70"/>
      <c r="AL928" s="70"/>
      <c r="AM928" s="70"/>
      <c r="AN928" s="70"/>
      <c r="AO928" s="70"/>
      <c r="AP928" s="70"/>
      <c r="AQ928" s="77"/>
      <c r="AR928" s="77"/>
      <c r="AS928" s="77"/>
      <c r="AT928" s="77"/>
      <c r="AU928" s="77"/>
      <c r="AV928" s="77"/>
      <c r="AW928" s="77"/>
      <c r="AX928" s="77"/>
      <c r="AY928" s="77"/>
      <c r="AZ928" s="77"/>
      <c r="BA928" s="77"/>
      <c r="BB928" s="77"/>
      <c r="BC928" s="77"/>
      <c r="BD928" s="77"/>
      <c r="BE928" s="77"/>
      <c r="BF928" s="77"/>
      <c r="BG928" s="77"/>
      <c r="BH928" s="77"/>
      <c r="BI928" s="77"/>
      <c r="BJ928" s="77"/>
      <c r="BK928" s="77"/>
      <c r="BL928" s="77"/>
      <c r="BM928" s="77"/>
    </row>
    <row r="929">
      <c r="A929" s="100" t="s">
        <v>69</v>
      </c>
      <c r="B929" s="100" t="b">
        <v>0</v>
      </c>
      <c r="C929" s="100" t="b">
        <v>0</v>
      </c>
      <c r="D929" s="42"/>
      <c r="E929" s="43"/>
      <c r="F929" s="101"/>
      <c r="G929" s="102"/>
      <c r="H929" s="103"/>
      <c r="I929" s="103"/>
      <c r="J929" s="104"/>
      <c r="K929" s="102"/>
      <c r="L929" s="102"/>
      <c r="M929" s="105"/>
      <c r="N929" s="105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  <c r="AI929" s="70"/>
      <c r="AJ929" s="70"/>
      <c r="AK929" s="70"/>
      <c r="AL929" s="70"/>
      <c r="AM929" s="70"/>
      <c r="AN929" s="70"/>
      <c r="AO929" s="70"/>
      <c r="AP929" s="70"/>
      <c r="AQ929" s="77"/>
      <c r="AR929" s="77"/>
      <c r="AS929" s="77"/>
      <c r="AT929" s="77"/>
      <c r="AU929" s="77"/>
      <c r="AV929" s="77"/>
      <c r="AW929" s="77"/>
      <c r="AX929" s="77"/>
      <c r="AY929" s="77"/>
      <c r="AZ929" s="77"/>
      <c r="BA929" s="77"/>
      <c r="BB929" s="77"/>
      <c r="BC929" s="77"/>
      <c r="BD929" s="77"/>
      <c r="BE929" s="77"/>
      <c r="BF929" s="77"/>
      <c r="BG929" s="77"/>
      <c r="BH929" s="77"/>
      <c r="BI929" s="77"/>
      <c r="BJ929" s="77"/>
      <c r="BK929" s="77"/>
      <c r="BL929" s="77"/>
      <c r="BM929" s="77"/>
    </row>
    <row r="930">
      <c r="A930" s="99" t="s">
        <v>69</v>
      </c>
      <c r="B930" s="99" t="b">
        <v>0</v>
      </c>
      <c r="C930" s="99" t="b">
        <v>0</v>
      </c>
      <c r="D930" s="80"/>
      <c r="E930" s="81"/>
      <c r="F930" s="106"/>
      <c r="G930" s="107"/>
      <c r="H930" s="108"/>
      <c r="I930" s="108"/>
      <c r="J930" s="109"/>
      <c r="K930" s="107"/>
      <c r="L930" s="107"/>
      <c r="M930" s="110"/>
      <c r="N930" s="110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  <c r="AI930" s="70"/>
      <c r="AJ930" s="70"/>
      <c r="AK930" s="70"/>
      <c r="AL930" s="70"/>
      <c r="AM930" s="70"/>
      <c r="AN930" s="70"/>
      <c r="AO930" s="70"/>
      <c r="AP930" s="70"/>
      <c r="AQ930" s="77"/>
      <c r="AR930" s="77"/>
      <c r="AS930" s="77"/>
      <c r="AT930" s="77"/>
      <c r="AU930" s="77"/>
      <c r="AV930" s="77"/>
      <c r="AW930" s="77"/>
      <c r="AX930" s="77"/>
      <c r="AY930" s="77"/>
      <c r="AZ930" s="77"/>
      <c r="BA930" s="77"/>
      <c r="BB930" s="77"/>
      <c r="BC930" s="77"/>
      <c r="BD930" s="77"/>
      <c r="BE930" s="77"/>
      <c r="BF930" s="77"/>
      <c r="BG930" s="77"/>
      <c r="BH930" s="77"/>
      <c r="BI930" s="77"/>
      <c r="BJ930" s="77"/>
      <c r="BK930" s="77"/>
      <c r="BL930" s="77"/>
      <c r="BM930" s="77"/>
    </row>
    <row r="931">
      <c r="A931" s="100" t="s">
        <v>69</v>
      </c>
      <c r="B931" s="100" t="b">
        <v>0</v>
      </c>
      <c r="C931" s="100" t="b">
        <v>0</v>
      </c>
      <c r="D931" s="42"/>
      <c r="E931" s="43"/>
      <c r="F931" s="101"/>
      <c r="G931" s="102"/>
      <c r="H931" s="103"/>
      <c r="I931" s="103"/>
      <c r="J931" s="104"/>
      <c r="K931" s="102"/>
      <c r="L931" s="102"/>
      <c r="M931" s="105"/>
      <c r="N931" s="105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  <c r="AI931" s="70"/>
      <c r="AJ931" s="70"/>
      <c r="AK931" s="70"/>
      <c r="AL931" s="70"/>
      <c r="AM931" s="70"/>
      <c r="AN931" s="70"/>
      <c r="AO931" s="70"/>
      <c r="AP931" s="70"/>
      <c r="AQ931" s="77"/>
      <c r="AR931" s="77"/>
      <c r="AS931" s="77"/>
      <c r="AT931" s="77"/>
      <c r="AU931" s="77"/>
      <c r="AV931" s="77"/>
      <c r="AW931" s="77"/>
      <c r="AX931" s="77"/>
      <c r="AY931" s="77"/>
      <c r="AZ931" s="77"/>
      <c r="BA931" s="77"/>
      <c r="BB931" s="77"/>
      <c r="BC931" s="77"/>
      <c r="BD931" s="77"/>
      <c r="BE931" s="77"/>
      <c r="BF931" s="77"/>
      <c r="BG931" s="77"/>
      <c r="BH931" s="77"/>
      <c r="BI931" s="77"/>
      <c r="BJ931" s="77"/>
      <c r="BK931" s="77"/>
      <c r="BL931" s="77"/>
      <c r="BM931" s="77"/>
    </row>
    <row r="932">
      <c r="A932" s="99" t="s">
        <v>69</v>
      </c>
      <c r="B932" s="99" t="b">
        <v>0</v>
      </c>
      <c r="C932" s="99" t="b">
        <v>0</v>
      </c>
      <c r="D932" s="80"/>
      <c r="E932" s="81"/>
      <c r="F932" s="106"/>
      <c r="G932" s="107"/>
      <c r="H932" s="108"/>
      <c r="I932" s="108"/>
      <c r="J932" s="109"/>
      <c r="K932" s="107"/>
      <c r="L932" s="107"/>
      <c r="M932" s="110"/>
      <c r="N932" s="110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  <c r="AI932" s="70"/>
      <c r="AJ932" s="70"/>
      <c r="AK932" s="70"/>
      <c r="AL932" s="70"/>
      <c r="AM932" s="70"/>
      <c r="AN932" s="70"/>
      <c r="AO932" s="70"/>
      <c r="AP932" s="70"/>
      <c r="AQ932" s="77"/>
      <c r="AR932" s="77"/>
      <c r="AS932" s="77"/>
      <c r="AT932" s="77"/>
      <c r="AU932" s="77"/>
      <c r="AV932" s="77"/>
      <c r="AW932" s="77"/>
      <c r="AX932" s="77"/>
      <c r="AY932" s="77"/>
      <c r="AZ932" s="77"/>
      <c r="BA932" s="77"/>
      <c r="BB932" s="77"/>
      <c r="BC932" s="77"/>
      <c r="BD932" s="77"/>
      <c r="BE932" s="77"/>
      <c r="BF932" s="77"/>
      <c r="BG932" s="77"/>
      <c r="BH932" s="77"/>
      <c r="BI932" s="77"/>
      <c r="BJ932" s="77"/>
      <c r="BK932" s="77"/>
      <c r="BL932" s="77"/>
      <c r="BM932" s="77"/>
    </row>
    <row r="933">
      <c r="A933" s="100" t="s">
        <v>69</v>
      </c>
      <c r="B933" s="100" t="b">
        <v>0</v>
      </c>
      <c r="C933" s="100" t="b">
        <v>0</v>
      </c>
      <c r="D933" s="42"/>
      <c r="E933" s="43"/>
      <c r="F933" s="101"/>
      <c r="G933" s="102"/>
      <c r="H933" s="103"/>
      <c r="I933" s="103"/>
      <c r="J933" s="104"/>
      <c r="K933" s="102"/>
      <c r="L933" s="102"/>
      <c r="M933" s="105"/>
      <c r="N933" s="105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  <c r="AI933" s="70"/>
      <c r="AJ933" s="70"/>
      <c r="AK933" s="70"/>
      <c r="AL933" s="70"/>
      <c r="AM933" s="70"/>
      <c r="AN933" s="70"/>
      <c r="AO933" s="70"/>
      <c r="AP933" s="70"/>
      <c r="AQ933" s="77"/>
      <c r="AR933" s="77"/>
      <c r="AS933" s="77"/>
      <c r="AT933" s="77"/>
      <c r="AU933" s="77"/>
      <c r="AV933" s="77"/>
      <c r="AW933" s="77"/>
      <c r="AX933" s="77"/>
      <c r="AY933" s="77"/>
      <c r="AZ933" s="77"/>
      <c r="BA933" s="77"/>
      <c r="BB933" s="77"/>
      <c r="BC933" s="77"/>
      <c r="BD933" s="77"/>
      <c r="BE933" s="77"/>
      <c r="BF933" s="77"/>
      <c r="BG933" s="77"/>
      <c r="BH933" s="77"/>
      <c r="BI933" s="77"/>
      <c r="BJ933" s="77"/>
      <c r="BK933" s="77"/>
      <c r="BL933" s="77"/>
      <c r="BM933" s="77"/>
    </row>
    <row r="934">
      <c r="A934" s="99" t="s">
        <v>69</v>
      </c>
      <c r="B934" s="99" t="b">
        <v>0</v>
      </c>
      <c r="C934" s="99" t="b">
        <v>0</v>
      </c>
      <c r="D934" s="80"/>
      <c r="E934" s="81"/>
      <c r="F934" s="106"/>
      <c r="G934" s="107"/>
      <c r="H934" s="108"/>
      <c r="I934" s="108"/>
      <c r="J934" s="109"/>
      <c r="K934" s="107"/>
      <c r="L934" s="107"/>
      <c r="M934" s="110"/>
      <c r="N934" s="110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  <c r="AI934" s="70"/>
      <c r="AJ934" s="70"/>
      <c r="AK934" s="70"/>
      <c r="AL934" s="70"/>
      <c r="AM934" s="70"/>
      <c r="AN934" s="70"/>
      <c r="AO934" s="70"/>
      <c r="AP934" s="70"/>
      <c r="AQ934" s="77"/>
      <c r="AR934" s="77"/>
      <c r="AS934" s="77"/>
      <c r="AT934" s="77"/>
      <c r="AU934" s="77"/>
      <c r="AV934" s="77"/>
      <c r="AW934" s="77"/>
      <c r="AX934" s="77"/>
      <c r="AY934" s="77"/>
      <c r="AZ934" s="77"/>
      <c r="BA934" s="77"/>
      <c r="BB934" s="77"/>
      <c r="BC934" s="77"/>
      <c r="BD934" s="77"/>
      <c r="BE934" s="77"/>
      <c r="BF934" s="77"/>
      <c r="BG934" s="77"/>
      <c r="BH934" s="77"/>
      <c r="BI934" s="77"/>
      <c r="BJ934" s="77"/>
      <c r="BK934" s="77"/>
      <c r="BL934" s="77"/>
      <c r="BM934" s="77"/>
    </row>
    <row r="935">
      <c r="A935" s="100" t="s">
        <v>69</v>
      </c>
      <c r="B935" s="100" t="b">
        <v>0</v>
      </c>
      <c r="C935" s="100" t="b">
        <v>0</v>
      </c>
      <c r="D935" s="42"/>
      <c r="E935" s="43"/>
      <c r="F935" s="101"/>
      <c r="G935" s="102"/>
      <c r="H935" s="103"/>
      <c r="I935" s="103"/>
      <c r="J935" s="104"/>
      <c r="K935" s="102"/>
      <c r="L935" s="102"/>
      <c r="M935" s="105"/>
      <c r="N935" s="105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  <c r="AI935" s="70"/>
      <c r="AJ935" s="70"/>
      <c r="AK935" s="70"/>
      <c r="AL935" s="70"/>
      <c r="AM935" s="70"/>
      <c r="AN935" s="70"/>
      <c r="AO935" s="70"/>
      <c r="AP935" s="70"/>
      <c r="AQ935" s="77"/>
      <c r="AR935" s="77"/>
      <c r="AS935" s="77"/>
      <c r="AT935" s="77"/>
      <c r="AU935" s="77"/>
      <c r="AV935" s="77"/>
      <c r="AW935" s="77"/>
      <c r="AX935" s="77"/>
      <c r="AY935" s="77"/>
      <c r="AZ935" s="77"/>
      <c r="BA935" s="77"/>
      <c r="BB935" s="77"/>
      <c r="BC935" s="77"/>
      <c r="BD935" s="77"/>
      <c r="BE935" s="77"/>
      <c r="BF935" s="77"/>
      <c r="BG935" s="77"/>
      <c r="BH935" s="77"/>
      <c r="BI935" s="77"/>
      <c r="BJ935" s="77"/>
      <c r="BK935" s="77"/>
      <c r="BL935" s="77"/>
      <c r="BM935" s="77"/>
    </row>
    <row r="936">
      <c r="A936" s="99" t="s">
        <v>69</v>
      </c>
      <c r="B936" s="99" t="b">
        <v>0</v>
      </c>
      <c r="C936" s="99" t="b">
        <v>0</v>
      </c>
      <c r="D936" s="80"/>
      <c r="E936" s="81"/>
      <c r="F936" s="106"/>
      <c r="G936" s="107"/>
      <c r="H936" s="108"/>
      <c r="I936" s="108"/>
      <c r="J936" s="109"/>
      <c r="K936" s="107"/>
      <c r="L936" s="107"/>
      <c r="M936" s="110"/>
      <c r="N936" s="110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  <c r="AI936" s="70"/>
      <c r="AJ936" s="70"/>
      <c r="AK936" s="70"/>
      <c r="AL936" s="70"/>
      <c r="AM936" s="70"/>
      <c r="AN936" s="70"/>
      <c r="AO936" s="70"/>
      <c r="AP936" s="70"/>
      <c r="AQ936" s="77"/>
      <c r="AR936" s="77"/>
      <c r="AS936" s="77"/>
      <c r="AT936" s="77"/>
      <c r="AU936" s="77"/>
      <c r="AV936" s="77"/>
      <c r="AW936" s="77"/>
      <c r="AX936" s="77"/>
      <c r="AY936" s="77"/>
      <c r="AZ936" s="77"/>
      <c r="BA936" s="77"/>
      <c r="BB936" s="77"/>
      <c r="BC936" s="77"/>
      <c r="BD936" s="77"/>
      <c r="BE936" s="77"/>
      <c r="BF936" s="77"/>
      <c r="BG936" s="77"/>
      <c r="BH936" s="77"/>
      <c r="BI936" s="77"/>
      <c r="BJ936" s="77"/>
      <c r="BK936" s="77"/>
      <c r="BL936" s="77"/>
      <c r="BM936" s="77"/>
    </row>
    <row r="937">
      <c r="A937" s="100" t="s">
        <v>69</v>
      </c>
      <c r="B937" s="100" t="b">
        <v>0</v>
      </c>
      <c r="C937" s="100" t="b">
        <v>0</v>
      </c>
      <c r="D937" s="42"/>
      <c r="E937" s="43"/>
      <c r="F937" s="101"/>
      <c r="G937" s="102"/>
      <c r="H937" s="103"/>
      <c r="I937" s="103"/>
      <c r="J937" s="104"/>
      <c r="K937" s="102"/>
      <c r="L937" s="102"/>
      <c r="M937" s="105"/>
      <c r="N937" s="105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  <c r="AI937" s="70"/>
      <c r="AJ937" s="70"/>
      <c r="AK937" s="70"/>
      <c r="AL937" s="70"/>
      <c r="AM937" s="70"/>
      <c r="AN937" s="70"/>
      <c r="AO937" s="70"/>
      <c r="AP937" s="70"/>
      <c r="AQ937" s="77"/>
      <c r="AR937" s="77"/>
      <c r="AS937" s="77"/>
      <c r="AT937" s="77"/>
      <c r="AU937" s="77"/>
      <c r="AV937" s="77"/>
      <c r="AW937" s="77"/>
      <c r="AX937" s="77"/>
      <c r="AY937" s="77"/>
      <c r="AZ937" s="77"/>
      <c r="BA937" s="77"/>
      <c r="BB937" s="77"/>
      <c r="BC937" s="77"/>
      <c r="BD937" s="77"/>
      <c r="BE937" s="77"/>
      <c r="BF937" s="77"/>
      <c r="BG937" s="77"/>
      <c r="BH937" s="77"/>
      <c r="BI937" s="77"/>
      <c r="BJ937" s="77"/>
      <c r="BK937" s="77"/>
      <c r="BL937" s="77"/>
      <c r="BM937" s="77"/>
    </row>
    <row r="938">
      <c r="A938" s="99" t="s">
        <v>69</v>
      </c>
      <c r="B938" s="99" t="b">
        <v>0</v>
      </c>
      <c r="C938" s="99" t="b">
        <v>0</v>
      </c>
      <c r="D938" s="80"/>
      <c r="E938" s="81"/>
      <c r="F938" s="106"/>
      <c r="G938" s="107"/>
      <c r="H938" s="108"/>
      <c r="I938" s="108"/>
      <c r="J938" s="109"/>
      <c r="K938" s="107"/>
      <c r="L938" s="107"/>
      <c r="M938" s="110"/>
      <c r="N938" s="110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  <c r="AI938" s="70"/>
      <c r="AJ938" s="70"/>
      <c r="AK938" s="70"/>
      <c r="AL938" s="70"/>
      <c r="AM938" s="70"/>
      <c r="AN938" s="70"/>
      <c r="AO938" s="70"/>
      <c r="AP938" s="70"/>
      <c r="AQ938" s="77"/>
      <c r="AR938" s="77"/>
      <c r="AS938" s="77"/>
      <c r="AT938" s="77"/>
      <c r="AU938" s="77"/>
      <c r="AV938" s="77"/>
      <c r="AW938" s="77"/>
      <c r="AX938" s="77"/>
      <c r="AY938" s="77"/>
      <c r="AZ938" s="77"/>
      <c r="BA938" s="77"/>
      <c r="BB938" s="77"/>
      <c r="BC938" s="77"/>
      <c r="BD938" s="77"/>
      <c r="BE938" s="77"/>
      <c r="BF938" s="77"/>
      <c r="BG938" s="77"/>
      <c r="BH938" s="77"/>
      <c r="BI938" s="77"/>
      <c r="BJ938" s="77"/>
      <c r="BK938" s="77"/>
      <c r="BL938" s="77"/>
      <c r="BM938" s="77"/>
    </row>
    <row r="939">
      <c r="A939" s="100" t="s">
        <v>69</v>
      </c>
      <c r="B939" s="100" t="b">
        <v>0</v>
      </c>
      <c r="C939" s="100" t="b">
        <v>0</v>
      </c>
      <c r="D939" s="42"/>
      <c r="E939" s="43"/>
      <c r="F939" s="101"/>
      <c r="G939" s="102"/>
      <c r="H939" s="103"/>
      <c r="I939" s="103"/>
      <c r="J939" s="104"/>
      <c r="K939" s="102"/>
      <c r="L939" s="102"/>
      <c r="M939" s="105"/>
      <c r="N939" s="105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  <c r="AI939" s="70"/>
      <c r="AJ939" s="70"/>
      <c r="AK939" s="70"/>
      <c r="AL939" s="70"/>
      <c r="AM939" s="70"/>
      <c r="AN939" s="70"/>
      <c r="AO939" s="70"/>
      <c r="AP939" s="70"/>
      <c r="AQ939" s="77"/>
      <c r="AR939" s="77"/>
      <c r="AS939" s="77"/>
      <c r="AT939" s="77"/>
      <c r="AU939" s="77"/>
      <c r="AV939" s="77"/>
      <c r="AW939" s="77"/>
      <c r="AX939" s="77"/>
      <c r="AY939" s="77"/>
      <c r="AZ939" s="77"/>
      <c r="BA939" s="77"/>
      <c r="BB939" s="77"/>
      <c r="BC939" s="77"/>
      <c r="BD939" s="77"/>
      <c r="BE939" s="77"/>
      <c r="BF939" s="77"/>
      <c r="BG939" s="77"/>
      <c r="BH939" s="77"/>
      <c r="BI939" s="77"/>
      <c r="BJ939" s="77"/>
      <c r="BK939" s="77"/>
      <c r="BL939" s="77"/>
      <c r="BM939" s="77"/>
    </row>
    <row r="940">
      <c r="A940" s="99" t="s">
        <v>69</v>
      </c>
      <c r="B940" s="99" t="b">
        <v>0</v>
      </c>
      <c r="C940" s="99" t="b">
        <v>0</v>
      </c>
      <c r="D940" s="80"/>
      <c r="E940" s="81"/>
      <c r="F940" s="106"/>
      <c r="G940" s="107"/>
      <c r="H940" s="108"/>
      <c r="I940" s="108"/>
      <c r="J940" s="109"/>
      <c r="K940" s="107"/>
      <c r="L940" s="107"/>
      <c r="M940" s="110"/>
      <c r="N940" s="110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  <c r="AI940" s="70"/>
      <c r="AJ940" s="70"/>
      <c r="AK940" s="70"/>
      <c r="AL940" s="70"/>
      <c r="AM940" s="70"/>
      <c r="AN940" s="70"/>
      <c r="AO940" s="70"/>
      <c r="AP940" s="70"/>
      <c r="AQ940" s="77"/>
      <c r="AR940" s="77"/>
      <c r="AS940" s="77"/>
      <c r="AT940" s="77"/>
      <c r="AU940" s="77"/>
      <c r="AV940" s="77"/>
      <c r="AW940" s="77"/>
      <c r="AX940" s="77"/>
      <c r="AY940" s="77"/>
      <c r="AZ940" s="77"/>
      <c r="BA940" s="77"/>
      <c r="BB940" s="77"/>
      <c r="BC940" s="77"/>
      <c r="BD940" s="77"/>
      <c r="BE940" s="77"/>
      <c r="BF940" s="77"/>
      <c r="BG940" s="77"/>
      <c r="BH940" s="77"/>
      <c r="BI940" s="77"/>
      <c r="BJ940" s="77"/>
      <c r="BK940" s="77"/>
      <c r="BL940" s="77"/>
      <c r="BM940" s="77"/>
    </row>
    <row r="941">
      <c r="A941" s="100" t="s">
        <v>69</v>
      </c>
      <c r="B941" s="100" t="b">
        <v>0</v>
      </c>
      <c r="C941" s="100" t="b">
        <v>0</v>
      </c>
      <c r="D941" s="42"/>
      <c r="E941" s="43"/>
      <c r="F941" s="101"/>
      <c r="G941" s="102"/>
      <c r="H941" s="103"/>
      <c r="I941" s="103"/>
      <c r="J941" s="104"/>
      <c r="K941" s="102"/>
      <c r="L941" s="102"/>
      <c r="M941" s="105"/>
      <c r="N941" s="105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  <c r="AI941" s="70"/>
      <c r="AJ941" s="70"/>
      <c r="AK941" s="70"/>
      <c r="AL941" s="70"/>
      <c r="AM941" s="70"/>
      <c r="AN941" s="70"/>
      <c r="AO941" s="70"/>
      <c r="AP941" s="70"/>
      <c r="AQ941" s="77"/>
      <c r="AR941" s="77"/>
      <c r="AS941" s="77"/>
      <c r="AT941" s="77"/>
      <c r="AU941" s="77"/>
      <c r="AV941" s="77"/>
      <c r="AW941" s="77"/>
      <c r="AX941" s="77"/>
      <c r="AY941" s="77"/>
      <c r="AZ941" s="77"/>
      <c r="BA941" s="77"/>
      <c r="BB941" s="77"/>
      <c r="BC941" s="77"/>
      <c r="BD941" s="77"/>
      <c r="BE941" s="77"/>
      <c r="BF941" s="77"/>
      <c r="BG941" s="77"/>
      <c r="BH941" s="77"/>
      <c r="BI941" s="77"/>
      <c r="BJ941" s="77"/>
      <c r="BK941" s="77"/>
      <c r="BL941" s="77"/>
      <c r="BM941" s="77"/>
    </row>
    <row r="942">
      <c r="A942" s="99" t="s">
        <v>69</v>
      </c>
      <c r="B942" s="99" t="b">
        <v>0</v>
      </c>
      <c r="C942" s="99" t="b">
        <v>0</v>
      </c>
      <c r="D942" s="80"/>
      <c r="E942" s="81"/>
      <c r="F942" s="106"/>
      <c r="G942" s="107"/>
      <c r="H942" s="108"/>
      <c r="I942" s="108"/>
      <c r="J942" s="109"/>
      <c r="K942" s="107"/>
      <c r="L942" s="107"/>
      <c r="M942" s="110"/>
      <c r="N942" s="110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  <c r="AI942" s="70"/>
      <c r="AJ942" s="70"/>
      <c r="AK942" s="70"/>
      <c r="AL942" s="70"/>
      <c r="AM942" s="70"/>
      <c r="AN942" s="70"/>
      <c r="AO942" s="70"/>
      <c r="AP942" s="70"/>
      <c r="AQ942" s="77"/>
      <c r="AR942" s="77"/>
      <c r="AS942" s="77"/>
      <c r="AT942" s="77"/>
      <c r="AU942" s="77"/>
      <c r="AV942" s="77"/>
      <c r="AW942" s="77"/>
      <c r="AX942" s="77"/>
      <c r="AY942" s="77"/>
      <c r="AZ942" s="77"/>
      <c r="BA942" s="77"/>
      <c r="BB942" s="77"/>
      <c r="BC942" s="77"/>
      <c r="BD942" s="77"/>
      <c r="BE942" s="77"/>
      <c r="BF942" s="77"/>
      <c r="BG942" s="77"/>
      <c r="BH942" s="77"/>
      <c r="BI942" s="77"/>
      <c r="BJ942" s="77"/>
      <c r="BK942" s="77"/>
      <c r="BL942" s="77"/>
      <c r="BM942" s="77"/>
    </row>
    <row r="943">
      <c r="A943" s="100" t="s">
        <v>69</v>
      </c>
      <c r="B943" s="100" t="b">
        <v>0</v>
      </c>
      <c r="C943" s="100" t="b">
        <v>0</v>
      </c>
      <c r="D943" s="42"/>
      <c r="E943" s="43"/>
      <c r="F943" s="101"/>
      <c r="G943" s="102"/>
      <c r="H943" s="103"/>
      <c r="I943" s="103"/>
      <c r="J943" s="104"/>
      <c r="K943" s="102"/>
      <c r="L943" s="102"/>
      <c r="M943" s="105"/>
      <c r="N943" s="105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  <c r="AI943" s="70"/>
      <c r="AJ943" s="70"/>
      <c r="AK943" s="70"/>
      <c r="AL943" s="70"/>
      <c r="AM943" s="70"/>
      <c r="AN943" s="70"/>
      <c r="AO943" s="70"/>
      <c r="AP943" s="70"/>
      <c r="AQ943" s="77"/>
      <c r="AR943" s="77"/>
      <c r="AS943" s="77"/>
      <c r="AT943" s="77"/>
      <c r="AU943" s="77"/>
      <c r="AV943" s="77"/>
      <c r="AW943" s="77"/>
      <c r="AX943" s="77"/>
      <c r="AY943" s="77"/>
      <c r="AZ943" s="77"/>
      <c r="BA943" s="77"/>
      <c r="BB943" s="77"/>
      <c r="BC943" s="77"/>
      <c r="BD943" s="77"/>
      <c r="BE943" s="77"/>
      <c r="BF943" s="77"/>
      <c r="BG943" s="77"/>
      <c r="BH943" s="77"/>
      <c r="BI943" s="77"/>
      <c r="BJ943" s="77"/>
      <c r="BK943" s="77"/>
      <c r="BL943" s="77"/>
      <c r="BM943" s="77"/>
    </row>
    <row r="944">
      <c r="A944" s="99" t="s">
        <v>69</v>
      </c>
      <c r="B944" s="99" t="b">
        <v>0</v>
      </c>
      <c r="C944" s="99" t="b">
        <v>0</v>
      </c>
      <c r="D944" s="80"/>
      <c r="E944" s="81"/>
      <c r="F944" s="106"/>
      <c r="G944" s="107"/>
      <c r="H944" s="108"/>
      <c r="I944" s="108"/>
      <c r="J944" s="109"/>
      <c r="K944" s="107"/>
      <c r="L944" s="107"/>
      <c r="M944" s="110"/>
      <c r="N944" s="110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  <c r="AI944" s="70"/>
      <c r="AJ944" s="70"/>
      <c r="AK944" s="70"/>
      <c r="AL944" s="70"/>
      <c r="AM944" s="70"/>
      <c r="AN944" s="70"/>
      <c r="AO944" s="70"/>
      <c r="AP944" s="70"/>
      <c r="AQ944" s="77"/>
      <c r="AR944" s="77"/>
      <c r="AS944" s="77"/>
      <c r="AT944" s="77"/>
      <c r="AU944" s="77"/>
      <c r="AV944" s="77"/>
      <c r="AW944" s="77"/>
      <c r="AX944" s="77"/>
      <c r="AY944" s="77"/>
      <c r="AZ944" s="77"/>
      <c r="BA944" s="77"/>
      <c r="BB944" s="77"/>
      <c r="BC944" s="77"/>
      <c r="BD944" s="77"/>
      <c r="BE944" s="77"/>
      <c r="BF944" s="77"/>
      <c r="BG944" s="77"/>
      <c r="BH944" s="77"/>
      <c r="BI944" s="77"/>
      <c r="BJ944" s="77"/>
      <c r="BK944" s="77"/>
      <c r="BL944" s="77"/>
      <c r="BM944" s="77"/>
    </row>
    <row r="945">
      <c r="A945" s="100" t="s">
        <v>69</v>
      </c>
      <c r="B945" s="100" t="b">
        <v>0</v>
      </c>
      <c r="C945" s="100" t="b">
        <v>0</v>
      </c>
      <c r="D945" s="42"/>
      <c r="E945" s="43"/>
      <c r="F945" s="101"/>
      <c r="G945" s="102"/>
      <c r="H945" s="103"/>
      <c r="I945" s="103"/>
      <c r="J945" s="104"/>
      <c r="K945" s="102"/>
      <c r="L945" s="102"/>
      <c r="M945" s="105"/>
      <c r="N945" s="105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  <c r="AI945" s="70"/>
      <c r="AJ945" s="70"/>
      <c r="AK945" s="70"/>
      <c r="AL945" s="70"/>
      <c r="AM945" s="70"/>
      <c r="AN945" s="70"/>
      <c r="AO945" s="70"/>
      <c r="AP945" s="70"/>
      <c r="AQ945" s="77"/>
      <c r="AR945" s="77"/>
      <c r="AS945" s="77"/>
      <c r="AT945" s="77"/>
      <c r="AU945" s="77"/>
      <c r="AV945" s="77"/>
      <c r="AW945" s="77"/>
      <c r="AX945" s="77"/>
      <c r="AY945" s="77"/>
      <c r="AZ945" s="77"/>
      <c r="BA945" s="77"/>
      <c r="BB945" s="77"/>
      <c r="BC945" s="77"/>
      <c r="BD945" s="77"/>
      <c r="BE945" s="77"/>
      <c r="BF945" s="77"/>
      <c r="BG945" s="77"/>
      <c r="BH945" s="77"/>
      <c r="BI945" s="77"/>
      <c r="BJ945" s="77"/>
      <c r="BK945" s="77"/>
      <c r="BL945" s="77"/>
      <c r="BM945" s="77"/>
    </row>
    <row r="946">
      <c r="A946" s="99" t="s">
        <v>69</v>
      </c>
      <c r="B946" s="99" t="b">
        <v>0</v>
      </c>
      <c r="C946" s="99" t="b">
        <v>0</v>
      </c>
      <c r="D946" s="80"/>
      <c r="E946" s="81"/>
      <c r="F946" s="106"/>
      <c r="G946" s="107"/>
      <c r="H946" s="108"/>
      <c r="I946" s="108"/>
      <c r="J946" s="109"/>
      <c r="K946" s="107"/>
      <c r="L946" s="107"/>
      <c r="M946" s="110"/>
      <c r="N946" s="110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  <c r="AI946" s="70"/>
      <c r="AJ946" s="70"/>
      <c r="AK946" s="70"/>
      <c r="AL946" s="70"/>
      <c r="AM946" s="70"/>
      <c r="AN946" s="70"/>
      <c r="AO946" s="70"/>
      <c r="AP946" s="70"/>
      <c r="AQ946" s="77"/>
      <c r="AR946" s="77"/>
      <c r="AS946" s="77"/>
      <c r="AT946" s="77"/>
      <c r="AU946" s="77"/>
      <c r="AV946" s="77"/>
      <c r="AW946" s="77"/>
      <c r="AX946" s="77"/>
      <c r="AY946" s="77"/>
      <c r="AZ946" s="77"/>
      <c r="BA946" s="77"/>
      <c r="BB946" s="77"/>
      <c r="BC946" s="77"/>
      <c r="BD946" s="77"/>
      <c r="BE946" s="77"/>
      <c r="BF946" s="77"/>
      <c r="BG946" s="77"/>
      <c r="BH946" s="77"/>
      <c r="BI946" s="77"/>
      <c r="BJ946" s="77"/>
      <c r="BK946" s="77"/>
      <c r="BL946" s="77"/>
      <c r="BM946" s="77"/>
    </row>
    <row r="947">
      <c r="A947" s="100" t="s">
        <v>69</v>
      </c>
      <c r="B947" s="100" t="b">
        <v>0</v>
      </c>
      <c r="C947" s="100" t="b">
        <v>0</v>
      </c>
      <c r="D947" s="42"/>
      <c r="E947" s="43"/>
      <c r="F947" s="101"/>
      <c r="G947" s="102"/>
      <c r="H947" s="103"/>
      <c r="I947" s="103"/>
      <c r="J947" s="104"/>
      <c r="K947" s="102"/>
      <c r="L947" s="102"/>
      <c r="M947" s="105"/>
      <c r="N947" s="105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  <c r="AI947" s="70"/>
      <c r="AJ947" s="70"/>
      <c r="AK947" s="70"/>
      <c r="AL947" s="70"/>
      <c r="AM947" s="70"/>
      <c r="AN947" s="70"/>
      <c r="AO947" s="70"/>
      <c r="AP947" s="70"/>
      <c r="AQ947" s="77"/>
      <c r="AR947" s="77"/>
      <c r="AS947" s="77"/>
      <c r="AT947" s="77"/>
      <c r="AU947" s="77"/>
      <c r="AV947" s="77"/>
      <c r="AW947" s="77"/>
      <c r="AX947" s="77"/>
      <c r="AY947" s="77"/>
      <c r="AZ947" s="77"/>
      <c r="BA947" s="77"/>
      <c r="BB947" s="77"/>
      <c r="BC947" s="77"/>
      <c r="BD947" s="77"/>
      <c r="BE947" s="77"/>
      <c r="BF947" s="77"/>
      <c r="BG947" s="77"/>
      <c r="BH947" s="77"/>
      <c r="BI947" s="77"/>
      <c r="BJ947" s="77"/>
      <c r="BK947" s="77"/>
      <c r="BL947" s="77"/>
      <c r="BM947" s="77"/>
    </row>
    <row r="948">
      <c r="A948" s="99" t="s">
        <v>69</v>
      </c>
      <c r="B948" s="99" t="b">
        <v>0</v>
      </c>
      <c r="C948" s="99" t="b">
        <v>0</v>
      </c>
      <c r="D948" s="80"/>
      <c r="E948" s="81"/>
      <c r="F948" s="106"/>
      <c r="G948" s="107"/>
      <c r="H948" s="108"/>
      <c r="I948" s="108"/>
      <c r="J948" s="109"/>
      <c r="K948" s="107"/>
      <c r="L948" s="107"/>
      <c r="M948" s="110"/>
      <c r="N948" s="110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  <c r="AI948" s="70"/>
      <c r="AJ948" s="70"/>
      <c r="AK948" s="70"/>
      <c r="AL948" s="70"/>
      <c r="AM948" s="70"/>
      <c r="AN948" s="70"/>
      <c r="AO948" s="70"/>
      <c r="AP948" s="70"/>
      <c r="AQ948" s="77"/>
      <c r="AR948" s="77"/>
      <c r="AS948" s="77"/>
      <c r="AT948" s="77"/>
      <c r="AU948" s="77"/>
      <c r="AV948" s="77"/>
      <c r="AW948" s="77"/>
      <c r="AX948" s="77"/>
      <c r="AY948" s="77"/>
      <c r="AZ948" s="77"/>
      <c r="BA948" s="77"/>
      <c r="BB948" s="77"/>
      <c r="BC948" s="77"/>
      <c r="BD948" s="77"/>
      <c r="BE948" s="77"/>
      <c r="BF948" s="77"/>
      <c r="BG948" s="77"/>
      <c r="BH948" s="77"/>
      <c r="BI948" s="77"/>
      <c r="BJ948" s="77"/>
      <c r="BK948" s="77"/>
      <c r="BL948" s="77"/>
      <c r="BM948" s="77"/>
    </row>
    <row r="949">
      <c r="A949" s="100" t="s">
        <v>69</v>
      </c>
      <c r="B949" s="100" t="b">
        <v>0</v>
      </c>
      <c r="C949" s="100" t="b">
        <v>0</v>
      </c>
      <c r="D949" s="42"/>
      <c r="E949" s="43"/>
      <c r="F949" s="101"/>
      <c r="G949" s="102"/>
      <c r="H949" s="103"/>
      <c r="I949" s="103"/>
      <c r="J949" s="104"/>
      <c r="K949" s="102"/>
      <c r="L949" s="102"/>
      <c r="M949" s="105"/>
      <c r="N949" s="105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  <c r="AI949" s="70"/>
      <c r="AJ949" s="70"/>
      <c r="AK949" s="70"/>
      <c r="AL949" s="70"/>
      <c r="AM949" s="70"/>
      <c r="AN949" s="70"/>
      <c r="AO949" s="70"/>
      <c r="AP949" s="70"/>
      <c r="AQ949" s="77"/>
      <c r="AR949" s="77"/>
      <c r="AS949" s="77"/>
      <c r="AT949" s="77"/>
      <c r="AU949" s="77"/>
      <c r="AV949" s="77"/>
      <c r="AW949" s="77"/>
      <c r="AX949" s="77"/>
      <c r="AY949" s="77"/>
      <c r="AZ949" s="77"/>
      <c r="BA949" s="77"/>
      <c r="BB949" s="77"/>
      <c r="BC949" s="77"/>
      <c r="BD949" s="77"/>
      <c r="BE949" s="77"/>
      <c r="BF949" s="77"/>
      <c r="BG949" s="77"/>
      <c r="BH949" s="77"/>
      <c r="BI949" s="77"/>
      <c r="BJ949" s="77"/>
      <c r="BK949" s="77"/>
      <c r="BL949" s="77"/>
      <c r="BM949" s="77"/>
    </row>
    <row r="950">
      <c r="A950" s="99" t="s">
        <v>69</v>
      </c>
      <c r="B950" s="99" t="b">
        <v>0</v>
      </c>
      <c r="C950" s="99" t="b">
        <v>0</v>
      </c>
      <c r="D950" s="80"/>
      <c r="E950" s="81"/>
      <c r="F950" s="106"/>
      <c r="G950" s="107"/>
      <c r="H950" s="108"/>
      <c r="I950" s="108"/>
      <c r="J950" s="109"/>
      <c r="K950" s="107"/>
      <c r="L950" s="107"/>
      <c r="M950" s="110"/>
      <c r="N950" s="110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  <c r="AI950" s="70"/>
      <c r="AJ950" s="70"/>
      <c r="AK950" s="70"/>
      <c r="AL950" s="70"/>
      <c r="AM950" s="70"/>
      <c r="AN950" s="70"/>
      <c r="AO950" s="70"/>
      <c r="AP950" s="70"/>
      <c r="AQ950" s="77"/>
      <c r="AR950" s="77"/>
      <c r="AS950" s="77"/>
      <c r="AT950" s="77"/>
      <c r="AU950" s="77"/>
      <c r="AV950" s="77"/>
      <c r="AW950" s="77"/>
      <c r="AX950" s="77"/>
      <c r="AY950" s="77"/>
      <c r="AZ950" s="77"/>
      <c r="BA950" s="77"/>
      <c r="BB950" s="77"/>
      <c r="BC950" s="77"/>
      <c r="BD950" s="77"/>
      <c r="BE950" s="77"/>
      <c r="BF950" s="77"/>
      <c r="BG950" s="77"/>
      <c r="BH950" s="77"/>
      <c r="BI950" s="77"/>
      <c r="BJ950" s="77"/>
      <c r="BK950" s="77"/>
      <c r="BL950" s="77"/>
      <c r="BM950" s="77"/>
    </row>
    <row r="951">
      <c r="A951" s="100" t="s">
        <v>69</v>
      </c>
      <c r="B951" s="100" t="b">
        <v>0</v>
      </c>
      <c r="C951" s="100" t="b">
        <v>0</v>
      </c>
      <c r="D951" s="42"/>
      <c r="E951" s="43"/>
      <c r="F951" s="101"/>
      <c r="G951" s="102"/>
      <c r="H951" s="103"/>
      <c r="I951" s="103"/>
      <c r="J951" s="104"/>
      <c r="K951" s="102"/>
      <c r="L951" s="102"/>
      <c r="M951" s="105"/>
      <c r="N951" s="105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  <c r="AI951" s="70"/>
      <c r="AJ951" s="70"/>
      <c r="AK951" s="70"/>
      <c r="AL951" s="70"/>
      <c r="AM951" s="70"/>
      <c r="AN951" s="70"/>
      <c r="AO951" s="70"/>
      <c r="AP951" s="70"/>
      <c r="AQ951" s="77"/>
      <c r="AR951" s="77"/>
      <c r="AS951" s="77"/>
      <c r="AT951" s="77"/>
      <c r="AU951" s="77"/>
      <c r="AV951" s="77"/>
      <c r="AW951" s="77"/>
      <c r="AX951" s="77"/>
      <c r="AY951" s="77"/>
      <c r="AZ951" s="77"/>
      <c r="BA951" s="77"/>
      <c r="BB951" s="77"/>
      <c r="BC951" s="77"/>
      <c r="BD951" s="77"/>
      <c r="BE951" s="77"/>
      <c r="BF951" s="77"/>
      <c r="BG951" s="77"/>
      <c r="BH951" s="77"/>
      <c r="BI951" s="77"/>
      <c r="BJ951" s="77"/>
      <c r="BK951" s="77"/>
      <c r="BL951" s="77"/>
      <c r="BM951" s="77"/>
    </row>
    <row r="952">
      <c r="A952" s="99" t="s">
        <v>69</v>
      </c>
      <c r="B952" s="99" t="b">
        <v>0</v>
      </c>
      <c r="C952" s="99" t="b">
        <v>0</v>
      </c>
      <c r="D952" s="80"/>
      <c r="E952" s="81"/>
      <c r="F952" s="106"/>
      <c r="G952" s="107"/>
      <c r="H952" s="108"/>
      <c r="I952" s="108"/>
      <c r="J952" s="109"/>
      <c r="K952" s="107"/>
      <c r="L952" s="107"/>
      <c r="M952" s="110"/>
      <c r="N952" s="110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  <c r="AI952" s="70"/>
      <c r="AJ952" s="70"/>
      <c r="AK952" s="70"/>
      <c r="AL952" s="70"/>
      <c r="AM952" s="70"/>
      <c r="AN952" s="70"/>
      <c r="AO952" s="70"/>
      <c r="AP952" s="70"/>
      <c r="AQ952" s="77"/>
      <c r="AR952" s="77"/>
      <c r="AS952" s="77"/>
      <c r="AT952" s="77"/>
      <c r="AU952" s="77"/>
      <c r="AV952" s="77"/>
      <c r="AW952" s="77"/>
      <c r="AX952" s="77"/>
      <c r="AY952" s="77"/>
      <c r="AZ952" s="77"/>
      <c r="BA952" s="77"/>
      <c r="BB952" s="77"/>
      <c r="BC952" s="77"/>
      <c r="BD952" s="77"/>
      <c r="BE952" s="77"/>
      <c r="BF952" s="77"/>
      <c r="BG952" s="77"/>
      <c r="BH952" s="77"/>
      <c r="BI952" s="77"/>
      <c r="BJ952" s="77"/>
      <c r="BK952" s="77"/>
      <c r="BL952" s="77"/>
      <c r="BM952" s="77"/>
    </row>
    <row r="953">
      <c r="A953" s="100" t="s">
        <v>69</v>
      </c>
      <c r="B953" s="100" t="b">
        <v>0</v>
      </c>
      <c r="C953" s="100" t="b">
        <v>0</v>
      </c>
      <c r="D953" s="42"/>
      <c r="E953" s="43"/>
      <c r="F953" s="101"/>
      <c r="G953" s="102"/>
      <c r="H953" s="103"/>
      <c r="I953" s="103"/>
      <c r="J953" s="104"/>
      <c r="K953" s="102"/>
      <c r="L953" s="102"/>
      <c r="M953" s="105"/>
      <c r="N953" s="105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  <c r="AI953" s="70"/>
      <c r="AJ953" s="70"/>
      <c r="AK953" s="70"/>
      <c r="AL953" s="70"/>
      <c r="AM953" s="70"/>
      <c r="AN953" s="70"/>
      <c r="AO953" s="70"/>
      <c r="AP953" s="70"/>
      <c r="AQ953" s="77"/>
      <c r="AR953" s="77"/>
      <c r="AS953" s="77"/>
      <c r="AT953" s="77"/>
      <c r="AU953" s="77"/>
      <c r="AV953" s="77"/>
      <c r="AW953" s="77"/>
      <c r="AX953" s="77"/>
      <c r="AY953" s="77"/>
      <c r="AZ953" s="77"/>
      <c r="BA953" s="77"/>
      <c r="BB953" s="77"/>
      <c r="BC953" s="77"/>
      <c r="BD953" s="77"/>
      <c r="BE953" s="77"/>
      <c r="BF953" s="77"/>
      <c r="BG953" s="77"/>
      <c r="BH953" s="77"/>
      <c r="BI953" s="77"/>
      <c r="BJ953" s="77"/>
      <c r="BK953" s="77"/>
      <c r="BL953" s="77"/>
      <c r="BM953" s="77"/>
    </row>
    <row r="954">
      <c r="A954" s="99" t="s">
        <v>69</v>
      </c>
      <c r="B954" s="99" t="b">
        <v>0</v>
      </c>
      <c r="C954" s="99" t="b">
        <v>0</v>
      </c>
      <c r="D954" s="80"/>
      <c r="E954" s="81"/>
      <c r="F954" s="106"/>
      <c r="G954" s="107"/>
      <c r="H954" s="108"/>
      <c r="I954" s="108"/>
      <c r="J954" s="109"/>
      <c r="K954" s="107"/>
      <c r="L954" s="107"/>
      <c r="M954" s="110"/>
      <c r="N954" s="110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  <c r="AI954" s="70"/>
      <c r="AJ954" s="70"/>
      <c r="AK954" s="70"/>
      <c r="AL954" s="70"/>
      <c r="AM954" s="70"/>
      <c r="AN954" s="70"/>
      <c r="AO954" s="70"/>
      <c r="AP954" s="70"/>
      <c r="AQ954" s="77"/>
      <c r="AR954" s="77"/>
      <c r="AS954" s="77"/>
      <c r="AT954" s="77"/>
      <c r="AU954" s="77"/>
      <c r="AV954" s="77"/>
      <c r="AW954" s="77"/>
      <c r="AX954" s="77"/>
      <c r="AY954" s="77"/>
      <c r="AZ954" s="77"/>
      <c r="BA954" s="77"/>
      <c r="BB954" s="77"/>
      <c r="BC954" s="77"/>
      <c r="BD954" s="77"/>
      <c r="BE954" s="77"/>
      <c r="BF954" s="77"/>
      <c r="BG954" s="77"/>
      <c r="BH954" s="77"/>
      <c r="BI954" s="77"/>
      <c r="BJ954" s="77"/>
      <c r="BK954" s="77"/>
      <c r="BL954" s="77"/>
      <c r="BM954" s="77"/>
    </row>
    <row r="955">
      <c r="A955" s="100" t="s">
        <v>69</v>
      </c>
      <c r="B955" s="100" t="b">
        <v>0</v>
      </c>
      <c r="C955" s="100" t="b">
        <v>0</v>
      </c>
      <c r="D955" s="42"/>
      <c r="E955" s="43"/>
      <c r="F955" s="101"/>
      <c r="G955" s="102"/>
      <c r="H955" s="103"/>
      <c r="I955" s="103"/>
      <c r="J955" s="104"/>
      <c r="K955" s="102"/>
      <c r="L955" s="102"/>
      <c r="M955" s="105"/>
      <c r="N955" s="105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  <c r="AI955" s="70"/>
      <c r="AJ955" s="70"/>
      <c r="AK955" s="70"/>
      <c r="AL955" s="70"/>
      <c r="AM955" s="70"/>
      <c r="AN955" s="70"/>
      <c r="AO955" s="70"/>
      <c r="AP955" s="70"/>
      <c r="AQ955" s="77"/>
      <c r="AR955" s="77"/>
      <c r="AS955" s="77"/>
      <c r="AT955" s="77"/>
      <c r="AU955" s="77"/>
      <c r="AV955" s="77"/>
      <c r="AW955" s="77"/>
      <c r="AX955" s="77"/>
      <c r="AY955" s="77"/>
      <c r="AZ955" s="77"/>
      <c r="BA955" s="77"/>
      <c r="BB955" s="77"/>
      <c r="BC955" s="77"/>
      <c r="BD955" s="77"/>
      <c r="BE955" s="77"/>
      <c r="BF955" s="77"/>
      <c r="BG955" s="77"/>
      <c r="BH955" s="77"/>
      <c r="BI955" s="77"/>
      <c r="BJ955" s="77"/>
      <c r="BK955" s="77"/>
      <c r="BL955" s="77"/>
      <c r="BM955" s="77"/>
    </row>
    <row r="956">
      <c r="A956" s="99" t="s">
        <v>69</v>
      </c>
      <c r="B956" s="99" t="b">
        <v>0</v>
      </c>
      <c r="C956" s="99" t="b">
        <v>0</v>
      </c>
      <c r="D956" s="80"/>
      <c r="E956" s="81"/>
      <c r="F956" s="106"/>
      <c r="G956" s="107"/>
      <c r="H956" s="108"/>
      <c r="I956" s="108"/>
      <c r="J956" s="109"/>
      <c r="K956" s="107"/>
      <c r="L956" s="107"/>
      <c r="M956" s="110"/>
      <c r="N956" s="110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  <c r="AI956" s="70"/>
      <c r="AJ956" s="70"/>
      <c r="AK956" s="70"/>
      <c r="AL956" s="70"/>
      <c r="AM956" s="70"/>
      <c r="AN956" s="70"/>
      <c r="AO956" s="70"/>
      <c r="AP956" s="70"/>
      <c r="AQ956" s="77"/>
      <c r="AR956" s="77"/>
      <c r="AS956" s="77"/>
      <c r="AT956" s="77"/>
      <c r="AU956" s="77"/>
      <c r="AV956" s="77"/>
      <c r="AW956" s="77"/>
      <c r="AX956" s="77"/>
      <c r="AY956" s="77"/>
      <c r="AZ956" s="77"/>
      <c r="BA956" s="77"/>
      <c r="BB956" s="77"/>
      <c r="BC956" s="77"/>
      <c r="BD956" s="77"/>
      <c r="BE956" s="77"/>
      <c r="BF956" s="77"/>
      <c r="BG956" s="77"/>
      <c r="BH956" s="77"/>
      <c r="BI956" s="77"/>
      <c r="BJ956" s="77"/>
      <c r="BK956" s="77"/>
      <c r="BL956" s="77"/>
      <c r="BM956" s="77"/>
    </row>
    <row r="957">
      <c r="A957" s="100" t="s">
        <v>69</v>
      </c>
      <c r="B957" s="100" t="b">
        <v>0</v>
      </c>
      <c r="C957" s="100" t="b">
        <v>0</v>
      </c>
      <c r="D957" s="42"/>
      <c r="E957" s="43"/>
      <c r="F957" s="101"/>
      <c r="G957" s="102"/>
      <c r="H957" s="103"/>
      <c r="I957" s="103"/>
      <c r="J957" s="104"/>
      <c r="K957" s="102"/>
      <c r="L957" s="102"/>
      <c r="M957" s="105"/>
      <c r="N957" s="105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  <c r="AI957" s="70"/>
      <c r="AJ957" s="70"/>
      <c r="AK957" s="70"/>
      <c r="AL957" s="70"/>
      <c r="AM957" s="70"/>
      <c r="AN957" s="70"/>
      <c r="AO957" s="70"/>
      <c r="AP957" s="70"/>
      <c r="AQ957" s="77"/>
      <c r="AR957" s="77"/>
      <c r="AS957" s="77"/>
      <c r="AT957" s="77"/>
      <c r="AU957" s="77"/>
      <c r="AV957" s="77"/>
      <c r="AW957" s="77"/>
      <c r="AX957" s="77"/>
      <c r="AY957" s="77"/>
      <c r="AZ957" s="77"/>
      <c r="BA957" s="77"/>
      <c r="BB957" s="77"/>
      <c r="BC957" s="77"/>
      <c r="BD957" s="77"/>
      <c r="BE957" s="77"/>
      <c r="BF957" s="77"/>
      <c r="BG957" s="77"/>
      <c r="BH957" s="77"/>
      <c r="BI957" s="77"/>
      <c r="BJ957" s="77"/>
      <c r="BK957" s="77"/>
      <c r="BL957" s="77"/>
      <c r="BM957" s="77"/>
    </row>
    <row r="958">
      <c r="A958" s="99" t="s">
        <v>69</v>
      </c>
      <c r="B958" s="99" t="b">
        <v>0</v>
      </c>
      <c r="C958" s="99" t="b">
        <v>0</v>
      </c>
      <c r="D958" s="80"/>
      <c r="E958" s="81"/>
      <c r="F958" s="106"/>
      <c r="G958" s="107"/>
      <c r="H958" s="108"/>
      <c r="I958" s="108"/>
      <c r="J958" s="109"/>
      <c r="K958" s="107"/>
      <c r="L958" s="107"/>
      <c r="M958" s="110"/>
      <c r="N958" s="110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  <c r="AI958" s="70"/>
      <c r="AJ958" s="70"/>
      <c r="AK958" s="70"/>
      <c r="AL958" s="70"/>
      <c r="AM958" s="70"/>
      <c r="AN958" s="70"/>
      <c r="AO958" s="70"/>
      <c r="AP958" s="70"/>
      <c r="AQ958" s="77"/>
      <c r="AR958" s="77"/>
      <c r="AS958" s="77"/>
      <c r="AT958" s="77"/>
      <c r="AU958" s="77"/>
      <c r="AV958" s="77"/>
      <c r="AW958" s="77"/>
      <c r="AX958" s="77"/>
      <c r="AY958" s="77"/>
      <c r="AZ958" s="77"/>
      <c r="BA958" s="77"/>
      <c r="BB958" s="77"/>
      <c r="BC958" s="77"/>
      <c r="BD958" s="77"/>
      <c r="BE958" s="77"/>
      <c r="BF958" s="77"/>
      <c r="BG958" s="77"/>
      <c r="BH958" s="77"/>
      <c r="BI958" s="77"/>
      <c r="BJ958" s="77"/>
      <c r="BK958" s="77"/>
      <c r="BL958" s="77"/>
      <c r="BM958" s="77"/>
    </row>
    <row r="959">
      <c r="A959" s="100" t="s">
        <v>69</v>
      </c>
      <c r="B959" s="100" t="b">
        <v>0</v>
      </c>
      <c r="C959" s="100" t="b">
        <v>0</v>
      </c>
      <c r="D959" s="42"/>
      <c r="E959" s="43"/>
      <c r="F959" s="101"/>
      <c r="G959" s="102"/>
      <c r="H959" s="103"/>
      <c r="I959" s="103"/>
      <c r="J959" s="104"/>
      <c r="K959" s="102"/>
      <c r="L959" s="102"/>
      <c r="M959" s="105"/>
      <c r="N959" s="105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  <c r="AI959" s="70"/>
      <c r="AJ959" s="70"/>
      <c r="AK959" s="70"/>
      <c r="AL959" s="70"/>
      <c r="AM959" s="70"/>
      <c r="AN959" s="70"/>
      <c r="AO959" s="70"/>
      <c r="AP959" s="70"/>
      <c r="AQ959" s="77"/>
      <c r="AR959" s="77"/>
      <c r="AS959" s="77"/>
      <c r="AT959" s="77"/>
      <c r="AU959" s="77"/>
      <c r="AV959" s="77"/>
      <c r="AW959" s="77"/>
      <c r="AX959" s="77"/>
      <c r="AY959" s="77"/>
      <c r="AZ959" s="77"/>
      <c r="BA959" s="77"/>
      <c r="BB959" s="77"/>
      <c r="BC959" s="77"/>
      <c r="BD959" s="77"/>
      <c r="BE959" s="77"/>
      <c r="BF959" s="77"/>
      <c r="BG959" s="77"/>
      <c r="BH959" s="77"/>
      <c r="BI959" s="77"/>
      <c r="BJ959" s="77"/>
      <c r="BK959" s="77"/>
      <c r="BL959" s="77"/>
      <c r="BM959" s="77"/>
    </row>
    <row r="960">
      <c r="A960" s="99" t="s">
        <v>69</v>
      </c>
      <c r="B960" s="99" t="b">
        <v>0</v>
      </c>
      <c r="C960" s="99" t="b">
        <v>0</v>
      </c>
      <c r="D960" s="80"/>
      <c r="E960" s="81"/>
      <c r="F960" s="106"/>
      <c r="G960" s="107"/>
      <c r="H960" s="108"/>
      <c r="I960" s="108"/>
      <c r="J960" s="109"/>
      <c r="K960" s="107"/>
      <c r="L960" s="107"/>
      <c r="M960" s="110"/>
      <c r="N960" s="110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  <c r="AI960" s="70"/>
      <c r="AJ960" s="70"/>
      <c r="AK960" s="70"/>
      <c r="AL960" s="70"/>
      <c r="AM960" s="70"/>
      <c r="AN960" s="70"/>
      <c r="AO960" s="70"/>
      <c r="AP960" s="70"/>
      <c r="AQ960" s="77"/>
      <c r="AR960" s="77"/>
      <c r="AS960" s="77"/>
      <c r="AT960" s="77"/>
      <c r="AU960" s="77"/>
      <c r="AV960" s="77"/>
      <c r="AW960" s="77"/>
      <c r="AX960" s="77"/>
      <c r="AY960" s="77"/>
      <c r="AZ960" s="77"/>
      <c r="BA960" s="77"/>
      <c r="BB960" s="77"/>
      <c r="BC960" s="77"/>
      <c r="BD960" s="77"/>
      <c r="BE960" s="77"/>
      <c r="BF960" s="77"/>
      <c r="BG960" s="77"/>
      <c r="BH960" s="77"/>
      <c r="BI960" s="77"/>
      <c r="BJ960" s="77"/>
      <c r="BK960" s="77"/>
      <c r="BL960" s="77"/>
      <c r="BM960" s="77"/>
    </row>
    <row r="961">
      <c r="A961" s="100" t="s">
        <v>69</v>
      </c>
      <c r="B961" s="100" t="b">
        <v>0</v>
      </c>
      <c r="C961" s="100" t="b">
        <v>0</v>
      </c>
      <c r="D961" s="42"/>
      <c r="E961" s="43"/>
      <c r="F961" s="101"/>
      <c r="G961" s="102"/>
      <c r="H961" s="103"/>
      <c r="I961" s="103"/>
      <c r="J961" s="104"/>
      <c r="K961" s="102"/>
      <c r="L961" s="102"/>
      <c r="M961" s="105"/>
      <c r="N961" s="105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  <c r="AI961" s="70"/>
      <c r="AJ961" s="70"/>
      <c r="AK961" s="70"/>
      <c r="AL961" s="70"/>
      <c r="AM961" s="70"/>
      <c r="AN961" s="70"/>
      <c r="AO961" s="70"/>
      <c r="AP961" s="70"/>
      <c r="AQ961" s="77"/>
      <c r="AR961" s="77"/>
      <c r="AS961" s="77"/>
      <c r="AT961" s="77"/>
      <c r="AU961" s="77"/>
      <c r="AV961" s="77"/>
      <c r="AW961" s="77"/>
      <c r="AX961" s="77"/>
      <c r="AY961" s="77"/>
      <c r="AZ961" s="77"/>
      <c r="BA961" s="77"/>
      <c r="BB961" s="77"/>
      <c r="BC961" s="77"/>
      <c r="BD961" s="77"/>
      <c r="BE961" s="77"/>
      <c r="BF961" s="77"/>
      <c r="BG961" s="77"/>
      <c r="BH961" s="77"/>
      <c r="BI961" s="77"/>
      <c r="BJ961" s="77"/>
      <c r="BK961" s="77"/>
      <c r="BL961" s="77"/>
      <c r="BM961" s="77"/>
    </row>
    <row r="962">
      <c r="A962" s="99" t="s">
        <v>69</v>
      </c>
      <c r="B962" s="99" t="b">
        <v>0</v>
      </c>
      <c r="C962" s="99" t="b">
        <v>0</v>
      </c>
      <c r="D962" s="80"/>
      <c r="E962" s="81"/>
      <c r="F962" s="106"/>
      <c r="G962" s="107"/>
      <c r="H962" s="108"/>
      <c r="I962" s="108"/>
      <c r="J962" s="109"/>
      <c r="K962" s="107"/>
      <c r="L962" s="107"/>
      <c r="M962" s="110"/>
      <c r="N962" s="110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  <c r="AI962" s="70"/>
      <c r="AJ962" s="70"/>
      <c r="AK962" s="70"/>
      <c r="AL962" s="70"/>
      <c r="AM962" s="70"/>
      <c r="AN962" s="70"/>
      <c r="AO962" s="70"/>
      <c r="AP962" s="70"/>
      <c r="AQ962" s="77"/>
      <c r="AR962" s="77"/>
      <c r="AS962" s="77"/>
      <c r="AT962" s="77"/>
      <c r="AU962" s="77"/>
      <c r="AV962" s="77"/>
      <c r="AW962" s="77"/>
      <c r="AX962" s="77"/>
      <c r="AY962" s="77"/>
      <c r="AZ962" s="77"/>
      <c r="BA962" s="77"/>
      <c r="BB962" s="77"/>
      <c r="BC962" s="77"/>
      <c r="BD962" s="77"/>
      <c r="BE962" s="77"/>
      <c r="BF962" s="77"/>
      <c r="BG962" s="77"/>
      <c r="BH962" s="77"/>
      <c r="BI962" s="77"/>
      <c r="BJ962" s="77"/>
      <c r="BK962" s="77"/>
      <c r="BL962" s="77"/>
      <c r="BM962" s="77"/>
    </row>
    <row r="963">
      <c r="A963" s="100" t="s">
        <v>69</v>
      </c>
      <c r="B963" s="100" t="b">
        <v>0</v>
      </c>
      <c r="C963" s="100" t="b">
        <v>0</v>
      </c>
      <c r="D963" s="42"/>
      <c r="E963" s="43"/>
      <c r="F963" s="101"/>
      <c r="G963" s="102"/>
      <c r="H963" s="103"/>
      <c r="I963" s="103"/>
      <c r="J963" s="104"/>
      <c r="K963" s="102"/>
      <c r="L963" s="102"/>
      <c r="M963" s="105"/>
      <c r="N963" s="105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  <c r="AI963" s="70"/>
      <c r="AJ963" s="70"/>
      <c r="AK963" s="70"/>
      <c r="AL963" s="70"/>
      <c r="AM963" s="70"/>
      <c r="AN963" s="70"/>
      <c r="AO963" s="70"/>
      <c r="AP963" s="70"/>
      <c r="AQ963" s="77"/>
      <c r="AR963" s="77"/>
      <c r="AS963" s="77"/>
      <c r="AT963" s="77"/>
      <c r="AU963" s="77"/>
      <c r="AV963" s="77"/>
      <c r="AW963" s="77"/>
      <c r="AX963" s="77"/>
      <c r="AY963" s="77"/>
      <c r="AZ963" s="77"/>
      <c r="BA963" s="77"/>
      <c r="BB963" s="77"/>
      <c r="BC963" s="77"/>
      <c r="BD963" s="77"/>
      <c r="BE963" s="77"/>
      <c r="BF963" s="77"/>
      <c r="BG963" s="77"/>
      <c r="BH963" s="77"/>
      <c r="BI963" s="77"/>
      <c r="BJ963" s="77"/>
      <c r="BK963" s="77"/>
      <c r="BL963" s="77"/>
      <c r="BM963" s="77"/>
    </row>
    <row r="964">
      <c r="A964" s="99" t="s">
        <v>69</v>
      </c>
      <c r="B964" s="99" t="b">
        <v>0</v>
      </c>
      <c r="C964" s="99" t="b">
        <v>0</v>
      </c>
      <c r="D964" s="80"/>
      <c r="E964" s="81"/>
      <c r="F964" s="106"/>
      <c r="G964" s="107"/>
      <c r="H964" s="108"/>
      <c r="I964" s="108"/>
      <c r="J964" s="109"/>
      <c r="K964" s="107"/>
      <c r="L964" s="107"/>
      <c r="M964" s="110"/>
      <c r="N964" s="110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  <c r="AI964" s="70"/>
      <c r="AJ964" s="70"/>
      <c r="AK964" s="70"/>
      <c r="AL964" s="70"/>
      <c r="AM964" s="70"/>
      <c r="AN964" s="70"/>
      <c r="AO964" s="70"/>
      <c r="AP964" s="70"/>
      <c r="AQ964" s="77"/>
      <c r="AR964" s="77"/>
      <c r="AS964" s="77"/>
      <c r="AT964" s="77"/>
      <c r="AU964" s="77"/>
      <c r="AV964" s="77"/>
      <c r="AW964" s="77"/>
      <c r="AX964" s="77"/>
      <c r="AY964" s="77"/>
      <c r="AZ964" s="77"/>
      <c r="BA964" s="77"/>
      <c r="BB964" s="77"/>
      <c r="BC964" s="77"/>
      <c r="BD964" s="77"/>
      <c r="BE964" s="77"/>
      <c r="BF964" s="77"/>
      <c r="BG964" s="77"/>
      <c r="BH964" s="77"/>
      <c r="BI964" s="77"/>
      <c r="BJ964" s="77"/>
      <c r="BK964" s="77"/>
      <c r="BL964" s="77"/>
      <c r="BM964" s="77"/>
    </row>
    <row r="965">
      <c r="A965" s="100" t="s">
        <v>69</v>
      </c>
      <c r="B965" s="100" t="b">
        <v>0</v>
      </c>
      <c r="C965" s="100" t="b">
        <v>0</v>
      </c>
      <c r="D965" s="42"/>
      <c r="E965" s="43"/>
      <c r="F965" s="101"/>
      <c r="G965" s="102"/>
      <c r="H965" s="103"/>
      <c r="I965" s="103"/>
      <c r="J965" s="104"/>
      <c r="K965" s="102"/>
      <c r="L965" s="102"/>
      <c r="M965" s="105"/>
      <c r="N965" s="105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  <c r="AI965" s="70"/>
      <c r="AJ965" s="70"/>
      <c r="AK965" s="70"/>
      <c r="AL965" s="70"/>
      <c r="AM965" s="70"/>
      <c r="AN965" s="70"/>
      <c r="AO965" s="70"/>
      <c r="AP965" s="70"/>
      <c r="AQ965" s="77"/>
      <c r="AR965" s="77"/>
      <c r="AS965" s="77"/>
      <c r="AT965" s="77"/>
      <c r="AU965" s="77"/>
      <c r="AV965" s="77"/>
      <c r="AW965" s="77"/>
      <c r="AX965" s="77"/>
      <c r="AY965" s="77"/>
      <c r="AZ965" s="77"/>
      <c r="BA965" s="77"/>
      <c r="BB965" s="77"/>
      <c r="BC965" s="77"/>
      <c r="BD965" s="77"/>
      <c r="BE965" s="77"/>
      <c r="BF965" s="77"/>
      <c r="BG965" s="77"/>
      <c r="BH965" s="77"/>
      <c r="BI965" s="77"/>
      <c r="BJ965" s="77"/>
      <c r="BK965" s="77"/>
      <c r="BL965" s="77"/>
      <c r="BM965" s="77"/>
    </row>
    <row r="966">
      <c r="A966" s="99" t="s">
        <v>69</v>
      </c>
      <c r="B966" s="99" t="b">
        <v>0</v>
      </c>
      <c r="C966" s="99" t="b">
        <v>0</v>
      </c>
      <c r="D966" s="80"/>
      <c r="E966" s="81"/>
      <c r="F966" s="106"/>
      <c r="G966" s="107"/>
      <c r="H966" s="108"/>
      <c r="I966" s="108"/>
      <c r="J966" s="109"/>
      <c r="K966" s="107"/>
      <c r="L966" s="107"/>
      <c r="M966" s="110"/>
      <c r="N966" s="110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  <c r="AI966" s="70"/>
      <c r="AJ966" s="70"/>
      <c r="AK966" s="70"/>
      <c r="AL966" s="70"/>
      <c r="AM966" s="70"/>
      <c r="AN966" s="70"/>
      <c r="AO966" s="70"/>
      <c r="AP966" s="70"/>
      <c r="AQ966" s="77"/>
      <c r="AR966" s="77"/>
      <c r="AS966" s="77"/>
      <c r="AT966" s="77"/>
      <c r="AU966" s="77"/>
      <c r="AV966" s="77"/>
      <c r="AW966" s="77"/>
      <c r="AX966" s="77"/>
      <c r="AY966" s="77"/>
      <c r="AZ966" s="77"/>
      <c r="BA966" s="77"/>
      <c r="BB966" s="77"/>
      <c r="BC966" s="77"/>
      <c r="BD966" s="77"/>
      <c r="BE966" s="77"/>
      <c r="BF966" s="77"/>
      <c r="BG966" s="77"/>
      <c r="BH966" s="77"/>
      <c r="BI966" s="77"/>
      <c r="BJ966" s="77"/>
      <c r="BK966" s="77"/>
      <c r="BL966" s="77"/>
      <c r="BM966" s="77"/>
    </row>
    <row r="967">
      <c r="A967" s="100" t="s">
        <v>69</v>
      </c>
      <c r="B967" s="100" t="b">
        <v>0</v>
      </c>
      <c r="C967" s="100" t="b">
        <v>0</v>
      </c>
      <c r="D967" s="42"/>
      <c r="E967" s="43"/>
      <c r="F967" s="101"/>
      <c r="G967" s="102"/>
      <c r="H967" s="103"/>
      <c r="I967" s="103"/>
      <c r="J967" s="104"/>
      <c r="K967" s="102"/>
      <c r="L967" s="102"/>
      <c r="M967" s="105"/>
      <c r="N967" s="105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  <c r="AI967" s="70"/>
      <c r="AJ967" s="70"/>
      <c r="AK967" s="70"/>
      <c r="AL967" s="70"/>
      <c r="AM967" s="70"/>
      <c r="AN967" s="70"/>
      <c r="AO967" s="70"/>
      <c r="AP967" s="70"/>
      <c r="AQ967" s="77"/>
      <c r="AR967" s="77"/>
      <c r="AS967" s="77"/>
      <c r="AT967" s="77"/>
      <c r="AU967" s="77"/>
      <c r="AV967" s="77"/>
      <c r="AW967" s="77"/>
      <c r="AX967" s="77"/>
      <c r="AY967" s="77"/>
      <c r="AZ967" s="77"/>
      <c r="BA967" s="77"/>
      <c r="BB967" s="77"/>
      <c r="BC967" s="77"/>
      <c r="BD967" s="77"/>
      <c r="BE967" s="77"/>
      <c r="BF967" s="77"/>
      <c r="BG967" s="77"/>
      <c r="BH967" s="77"/>
      <c r="BI967" s="77"/>
      <c r="BJ967" s="77"/>
      <c r="BK967" s="77"/>
      <c r="BL967" s="77"/>
      <c r="BM967" s="77"/>
    </row>
    <row r="968">
      <c r="A968" s="99" t="s">
        <v>69</v>
      </c>
      <c r="B968" s="99" t="b">
        <v>0</v>
      </c>
      <c r="C968" s="99" t="b">
        <v>0</v>
      </c>
      <c r="D968" s="80"/>
      <c r="E968" s="81"/>
      <c r="F968" s="106"/>
      <c r="G968" s="107"/>
      <c r="H968" s="108"/>
      <c r="I968" s="108"/>
      <c r="J968" s="109"/>
      <c r="K968" s="107"/>
      <c r="L968" s="107"/>
      <c r="M968" s="110"/>
      <c r="N968" s="110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  <c r="AI968" s="70"/>
      <c r="AJ968" s="70"/>
      <c r="AK968" s="70"/>
      <c r="AL968" s="70"/>
      <c r="AM968" s="70"/>
      <c r="AN968" s="70"/>
      <c r="AO968" s="70"/>
      <c r="AP968" s="70"/>
      <c r="AQ968" s="77"/>
      <c r="AR968" s="77"/>
      <c r="AS968" s="77"/>
      <c r="AT968" s="77"/>
      <c r="AU968" s="77"/>
      <c r="AV968" s="77"/>
      <c r="AW968" s="77"/>
      <c r="AX968" s="77"/>
      <c r="AY968" s="77"/>
      <c r="AZ968" s="77"/>
      <c r="BA968" s="77"/>
      <c r="BB968" s="77"/>
      <c r="BC968" s="77"/>
      <c r="BD968" s="77"/>
      <c r="BE968" s="77"/>
      <c r="BF968" s="77"/>
      <c r="BG968" s="77"/>
      <c r="BH968" s="77"/>
      <c r="BI968" s="77"/>
      <c r="BJ968" s="77"/>
      <c r="BK968" s="77"/>
      <c r="BL968" s="77"/>
      <c r="BM968" s="77"/>
    </row>
    <row r="969">
      <c r="A969" s="100" t="s">
        <v>69</v>
      </c>
      <c r="B969" s="100" t="b">
        <v>0</v>
      </c>
      <c r="C969" s="100" t="b">
        <v>0</v>
      </c>
      <c r="D969" s="42"/>
      <c r="E969" s="43"/>
      <c r="F969" s="101"/>
      <c r="G969" s="102"/>
      <c r="H969" s="103"/>
      <c r="I969" s="103"/>
      <c r="J969" s="104"/>
      <c r="K969" s="102"/>
      <c r="L969" s="102"/>
      <c r="M969" s="105"/>
      <c r="N969" s="105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  <c r="AI969" s="70"/>
      <c r="AJ969" s="70"/>
      <c r="AK969" s="70"/>
      <c r="AL969" s="70"/>
      <c r="AM969" s="70"/>
      <c r="AN969" s="70"/>
      <c r="AO969" s="70"/>
      <c r="AP969" s="70"/>
      <c r="AQ969" s="77"/>
      <c r="AR969" s="77"/>
      <c r="AS969" s="77"/>
      <c r="AT969" s="77"/>
      <c r="AU969" s="77"/>
      <c r="AV969" s="77"/>
      <c r="AW969" s="77"/>
      <c r="AX969" s="77"/>
      <c r="AY969" s="77"/>
      <c r="AZ969" s="77"/>
      <c r="BA969" s="77"/>
      <c r="BB969" s="77"/>
      <c r="BC969" s="77"/>
      <c r="BD969" s="77"/>
      <c r="BE969" s="77"/>
      <c r="BF969" s="77"/>
      <c r="BG969" s="77"/>
      <c r="BH969" s="77"/>
      <c r="BI969" s="77"/>
      <c r="BJ969" s="77"/>
      <c r="BK969" s="77"/>
      <c r="BL969" s="77"/>
      <c r="BM969" s="77"/>
    </row>
    <row r="970">
      <c r="A970" s="99" t="s">
        <v>69</v>
      </c>
      <c r="B970" s="99" t="b">
        <v>0</v>
      </c>
      <c r="C970" s="99" t="b">
        <v>0</v>
      </c>
      <c r="D970" s="80"/>
      <c r="E970" s="81"/>
      <c r="F970" s="106"/>
      <c r="G970" s="107"/>
      <c r="H970" s="108"/>
      <c r="I970" s="108"/>
      <c r="J970" s="109"/>
      <c r="K970" s="107"/>
      <c r="L970" s="107"/>
      <c r="M970" s="110"/>
      <c r="N970" s="110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  <c r="AI970" s="70"/>
      <c r="AJ970" s="70"/>
      <c r="AK970" s="70"/>
      <c r="AL970" s="70"/>
      <c r="AM970" s="70"/>
      <c r="AN970" s="70"/>
      <c r="AO970" s="70"/>
      <c r="AP970" s="70"/>
      <c r="AQ970" s="77"/>
      <c r="AR970" s="77"/>
      <c r="AS970" s="77"/>
      <c r="AT970" s="77"/>
      <c r="AU970" s="77"/>
      <c r="AV970" s="77"/>
      <c r="AW970" s="77"/>
      <c r="AX970" s="77"/>
      <c r="AY970" s="77"/>
      <c r="AZ970" s="77"/>
      <c r="BA970" s="77"/>
      <c r="BB970" s="77"/>
      <c r="BC970" s="77"/>
      <c r="BD970" s="77"/>
      <c r="BE970" s="77"/>
      <c r="BF970" s="77"/>
      <c r="BG970" s="77"/>
      <c r="BH970" s="77"/>
      <c r="BI970" s="77"/>
      <c r="BJ970" s="77"/>
      <c r="BK970" s="77"/>
      <c r="BL970" s="77"/>
      <c r="BM970" s="77"/>
    </row>
    <row r="971">
      <c r="A971" s="100" t="s">
        <v>69</v>
      </c>
      <c r="B971" s="100" t="b">
        <v>0</v>
      </c>
      <c r="C971" s="100" t="b">
        <v>0</v>
      </c>
      <c r="D971" s="42"/>
      <c r="E971" s="43"/>
      <c r="F971" s="101"/>
      <c r="G971" s="102"/>
      <c r="H971" s="103"/>
      <c r="I971" s="103"/>
      <c r="J971" s="104"/>
      <c r="K971" s="102"/>
      <c r="L971" s="102"/>
      <c r="M971" s="105"/>
      <c r="N971" s="105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  <c r="AI971" s="70"/>
      <c r="AJ971" s="70"/>
      <c r="AK971" s="70"/>
      <c r="AL971" s="70"/>
      <c r="AM971" s="70"/>
      <c r="AN971" s="70"/>
      <c r="AO971" s="70"/>
      <c r="AP971" s="70"/>
      <c r="AQ971" s="77"/>
      <c r="AR971" s="77"/>
      <c r="AS971" s="77"/>
      <c r="AT971" s="77"/>
      <c r="AU971" s="77"/>
      <c r="AV971" s="77"/>
      <c r="AW971" s="77"/>
      <c r="AX971" s="77"/>
      <c r="AY971" s="77"/>
      <c r="AZ971" s="77"/>
      <c r="BA971" s="77"/>
      <c r="BB971" s="77"/>
      <c r="BC971" s="77"/>
      <c r="BD971" s="77"/>
      <c r="BE971" s="77"/>
      <c r="BF971" s="77"/>
      <c r="BG971" s="77"/>
      <c r="BH971" s="77"/>
      <c r="BI971" s="77"/>
      <c r="BJ971" s="77"/>
      <c r="BK971" s="77"/>
      <c r="BL971" s="77"/>
      <c r="BM971" s="77"/>
    </row>
    <row r="972">
      <c r="A972" s="99" t="s">
        <v>69</v>
      </c>
      <c r="B972" s="99" t="b">
        <v>0</v>
      </c>
      <c r="C972" s="99" t="b">
        <v>0</v>
      </c>
      <c r="D972" s="80"/>
      <c r="E972" s="81"/>
      <c r="F972" s="106"/>
      <c r="G972" s="107"/>
      <c r="H972" s="108"/>
      <c r="I972" s="108"/>
      <c r="J972" s="109"/>
      <c r="K972" s="107"/>
      <c r="L972" s="107"/>
      <c r="M972" s="110"/>
      <c r="N972" s="110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  <c r="AI972" s="70"/>
      <c r="AJ972" s="70"/>
      <c r="AK972" s="70"/>
      <c r="AL972" s="70"/>
      <c r="AM972" s="70"/>
      <c r="AN972" s="70"/>
      <c r="AO972" s="70"/>
      <c r="AP972" s="70"/>
      <c r="AQ972" s="77"/>
      <c r="AR972" s="77"/>
      <c r="AS972" s="77"/>
      <c r="AT972" s="77"/>
      <c r="AU972" s="77"/>
      <c r="AV972" s="77"/>
      <c r="AW972" s="77"/>
      <c r="AX972" s="77"/>
      <c r="AY972" s="77"/>
      <c r="AZ972" s="77"/>
      <c r="BA972" s="77"/>
      <c r="BB972" s="77"/>
      <c r="BC972" s="77"/>
      <c r="BD972" s="77"/>
      <c r="BE972" s="77"/>
      <c r="BF972" s="77"/>
      <c r="BG972" s="77"/>
      <c r="BH972" s="77"/>
      <c r="BI972" s="77"/>
      <c r="BJ972" s="77"/>
      <c r="BK972" s="77"/>
      <c r="BL972" s="77"/>
      <c r="BM972" s="77"/>
    </row>
    <row r="973">
      <c r="A973" s="100" t="s">
        <v>69</v>
      </c>
      <c r="B973" s="100" t="b">
        <v>0</v>
      </c>
      <c r="C973" s="100" t="b">
        <v>0</v>
      </c>
      <c r="D973" s="42"/>
      <c r="E973" s="43"/>
      <c r="F973" s="101"/>
      <c r="G973" s="102"/>
      <c r="H973" s="103"/>
      <c r="I973" s="103"/>
      <c r="J973" s="104"/>
      <c r="K973" s="102"/>
      <c r="L973" s="102"/>
      <c r="M973" s="105"/>
      <c r="N973" s="105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  <c r="AI973" s="70"/>
      <c r="AJ973" s="70"/>
      <c r="AK973" s="70"/>
      <c r="AL973" s="70"/>
      <c r="AM973" s="70"/>
      <c r="AN973" s="70"/>
      <c r="AO973" s="70"/>
      <c r="AP973" s="70"/>
      <c r="AQ973" s="77"/>
      <c r="AR973" s="77"/>
      <c r="AS973" s="77"/>
      <c r="AT973" s="77"/>
      <c r="AU973" s="77"/>
      <c r="AV973" s="77"/>
      <c r="AW973" s="77"/>
      <c r="AX973" s="77"/>
      <c r="AY973" s="77"/>
      <c r="AZ973" s="77"/>
      <c r="BA973" s="77"/>
      <c r="BB973" s="77"/>
      <c r="BC973" s="77"/>
      <c r="BD973" s="77"/>
      <c r="BE973" s="77"/>
      <c r="BF973" s="77"/>
      <c r="BG973" s="77"/>
      <c r="BH973" s="77"/>
      <c r="BI973" s="77"/>
      <c r="BJ973" s="77"/>
      <c r="BK973" s="77"/>
      <c r="BL973" s="77"/>
      <c r="BM973" s="77"/>
    </row>
    <row r="974">
      <c r="A974" s="99" t="s">
        <v>69</v>
      </c>
      <c r="B974" s="99" t="b">
        <v>0</v>
      </c>
      <c r="C974" s="99" t="b">
        <v>0</v>
      </c>
      <c r="D974" s="80"/>
      <c r="E974" s="81"/>
      <c r="F974" s="106"/>
      <c r="G974" s="107"/>
      <c r="H974" s="108"/>
      <c r="I974" s="108"/>
      <c r="J974" s="109"/>
      <c r="K974" s="107"/>
      <c r="L974" s="107"/>
      <c r="M974" s="110"/>
      <c r="N974" s="110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  <c r="AI974" s="70"/>
      <c r="AJ974" s="70"/>
      <c r="AK974" s="70"/>
      <c r="AL974" s="70"/>
      <c r="AM974" s="70"/>
      <c r="AN974" s="70"/>
      <c r="AO974" s="70"/>
      <c r="AP974" s="70"/>
      <c r="AQ974" s="77"/>
      <c r="AR974" s="77"/>
      <c r="AS974" s="77"/>
      <c r="AT974" s="77"/>
      <c r="AU974" s="77"/>
      <c r="AV974" s="77"/>
      <c r="AW974" s="77"/>
      <c r="AX974" s="77"/>
      <c r="AY974" s="77"/>
      <c r="AZ974" s="77"/>
      <c r="BA974" s="77"/>
      <c r="BB974" s="77"/>
      <c r="BC974" s="77"/>
      <c r="BD974" s="77"/>
      <c r="BE974" s="77"/>
      <c r="BF974" s="77"/>
      <c r="BG974" s="77"/>
      <c r="BH974" s="77"/>
      <c r="BI974" s="77"/>
      <c r="BJ974" s="77"/>
      <c r="BK974" s="77"/>
      <c r="BL974" s="77"/>
      <c r="BM974" s="77"/>
    </row>
    <row r="975">
      <c r="A975" s="100" t="s">
        <v>69</v>
      </c>
      <c r="B975" s="100" t="b">
        <v>0</v>
      </c>
      <c r="C975" s="100" t="b">
        <v>0</v>
      </c>
      <c r="D975" s="42"/>
      <c r="E975" s="43"/>
      <c r="F975" s="101"/>
      <c r="G975" s="102"/>
      <c r="H975" s="103"/>
      <c r="I975" s="103"/>
      <c r="J975" s="104"/>
      <c r="K975" s="102"/>
      <c r="L975" s="102"/>
      <c r="M975" s="105"/>
      <c r="N975" s="105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  <c r="AI975" s="70"/>
      <c r="AJ975" s="70"/>
      <c r="AK975" s="70"/>
      <c r="AL975" s="70"/>
      <c r="AM975" s="70"/>
      <c r="AN975" s="70"/>
      <c r="AO975" s="70"/>
      <c r="AP975" s="70"/>
      <c r="AQ975" s="77"/>
      <c r="AR975" s="77"/>
      <c r="AS975" s="77"/>
      <c r="AT975" s="77"/>
      <c r="AU975" s="77"/>
      <c r="AV975" s="77"/>
      <c r="AW975" s="77"/>
      <c r="AX975" s="77"/>
      <c r="AY975" s="77"/>
      <c r="AZ975" s="77"/>
      <c r="BA975" s="77"/>
      <c r="BB975" s="77"/>
      <c r="BC975" s="77"/>
      <c r="BD975" s="77"/>
      <c r="BE975" s="77"/>
      <c r="BF975" s="77"/>
      <c r="BG975" s="77"/>
      <c r="BH975" s="77"/>
      <c r="BI975" s="77"/>
      <c r="BJ975" s="77"/>
      <c r="BK975" s="77"/>
      <c r="BL975" s="77"/>
      <c r="BM975" s="77"/>
    </row>
    <row r="976">
      <c r="A976" s="99" t="s">
        <v>69</v>
      </c>
      <c r="B976" s="99" t="b">
        <v>0</v>
      </c>
      <c r="C976" s="99" t="b">
        <v>0</v>
      </c>
      <c r="D976" s="80"/>
      <c r="E976" s="81"/>
      <c r="F976" s="106"/>
      <c r="G976" s="107"/>
      <c r="H976" s="108"/>
      <c r="I976" s="108"/>
      <c r="J976" s="109"/>
      <c r="K976" s="107"/>
      <c r="L976" s="107"/>
      <c r="M976" s="110"/>
      <c r="N976" s="110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  <c r="AI976" s="70"/>
      <c r="AJ976" s="70"/>
      <c r="AK976" s="70"/>
      <c r="AL976" s="70"/>
      <c r="AM976" s="70"/>
      <c r="AN976" s="70"/>
      <c r="AO976" s="70"/>
      <c r="AP976" s="70"/>
      <c r="AQ976" s="77"/>
      <c r="AR976" s="77"/>
      <c r="AS976" s="77"/>
      <c r="AT976" s="77"/>
      <c r="AU976" s="77"/>
      <c r="AV976" s="77"/>
      <c r="AW976" s="77"/>
      <c r="AX976" s="77"/>
      <c r="AY976" s="77"/>
      <c r="AZ976" s="77"/>
      <c r="BA976" s="77"/>
      <c r="BB976" s="77"/>
      <c r="BC976" s="77"/>
      <c r="BD976" s="77"/>
      <c r="BE976" s="77"/>
      <c r="BF976" s="77"/>
      <c r="BG976" s="77"/>
      <c r="BH976" s="77"/>
      <c r="BI976" s="77"/>
      <c r="BJ976" s="77"/>
      <c r="BK976" s="77"/>
      <c r="BL976" s="77"/>
      <c r="BM976" s="77"/>
    </row>
    <row r="977">
      <c r="A977" s="100" t="s">
        <v>69</v>
      </c>
      <c r="B977" s="100" t="b">
        <v>0</v>
      </c>
      <c r="C977" s="100" t="b">
        <v>0</v>
      </c>
      <c r="D977" s="42"/>
      <c r="E977" s="43"/>
      <c r="F977" s="101"/>
      <c r="G977" s="102"/>
      <c r="H977" s="103"/>
      <c r="I977" s="103"/>
      <c r="J977" s="104"/>
      <c r="K977" s="102"/>
      <c r="L977" s="102"/>
      <c r="M977" s="105"/>
      <c r="N977" s="105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  <c r="AI977" s="70"/>
      <c r="AJ977" s="70"/>
      <c r="AK977" s="70"/>
      <c r="AL977" s="70"/>
      <c r="AM977" s="70"/>
      <c r="AN977" s="70"/>
      <c r="AO977" s="70"/>
      <c r="AP977" s="70"/>
      <c r="AQ977" s="77"/>
      <c r="AR977" s="77"/>
      <c r="AS977" s="77"/>
      <c r="AT977" s="77"/>
      <c r="AU977" s="77"/>
      <c r="AV977" s="77"/>
      <c r="AW977" s="77"/>
      <c r="AX977" s="77"/>
      <c r="AY977" s="77"/>
      <c r="AZ977" s="77"/>
      <c r="BA977" s="77"/>
      <c r="BB977" s="77"/>
      <c r="BC977" s="77"/>
      <c r="BD977" s="77"/>
      <c r="BE977" s="77"/>
      <c r="BF977" s="77"/>
      <c r="BG977" s="77"/>
      <c r="BH977" s="77"/>
      <c r="BI977" s="77"/>
      <c r="BJ977" s="77"/>
      <c r="BK977" s="77"/>
      <c r="BL977" s="77"/>
      <c r="BM977" s="77"/>
    </row>
    <row r="978">
      <c r="A978" s="99" t="s">
        <v>69</v>
      </c>
      <c r="B978" s="99" t="b">
        <v>0</v>
      </c>
      <c r="C978" s="99" t="b">
        <v>0</v>
      </c>
      <c r="D978" s="80"/>
      <c r="E978" s="81"/>
      <c r="F978" s="106"/>
      <c r="G978" s="107"/>
      <c r="H978" s="108"/>
      <c r="I978" s="108"/>
      <c r="J978" s="109"/>
      <c r="K978" s="107"/>
      <c r="L978" s="107"/>
      <c r="M978" s="110"/>
      <c r="N978" s="110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  <c r="AI978" s="70"/>
      <c r="AJ978" s="70"/>
      <c r="AK978" s="70"/>
      <c r="AL978" s="70"/>
      <c r="AM978" s="70"/>
      <c r="AN978" s="70"/>
      <c r="AO978" s="70"/>
      <c r="AP978" s="70"/>
      <c r="AQ978" s="77"/>
      <c r="AR978" s="77"/>
      <c r="AS978" s="77"/>
      <c r="AT978" s="77"/>
      <c r="AU978" s="77"/>
      <c r="AV978" s="77"/>
      <c r="AW978" s="77"/>
      <c r="AX978" s="77"/>
      <c r="AY978" s="77"/>
      <c r="AZ978" s="77"/>
      <c r="BA978" s="77"/>
      <c r="BB978" s="77"/>
      <c r="BC978" s="77"/>
      <c r="BD978" s="77"/>
      <c r="BE978" s="77"/>
      <c r="BF978" s="77"/>
      <c r="BG978" s="77"/>
      <c r="BH978" s="77"/>
      <c r="BI978" s="77"/>
      <c r="BJ978" s="77"/>
      <c r="BK978" s="77"/>
      <c r="BL978" s="77"/>
      <c r="BM978" s="77"/>
    </row>
    <row r="979">
      <c r="A979" s="100" t="s">
        <v>69</v>
      </c>
      <c r="B979" s="100" t="b">
        <v>0</v>
      </c>
      <c r="C979" s="100" t="b">
        <v>0</v>
      </c>
      <c r="D979" s="42"/>
      <c r="E979" s="43"/>
      <c r="F979" s="101"/>
      <c r="G979" s="102"/>
      <c r="H979" s="103"/>
      <c r="I979" s="103"/>
      <c r="J979" s="104"/>
      <c r="K979" s="102"/>
      <c r="L979" s="102"/>
      <c r="M979" s="105"/>
      <c r="N979" s="105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  <c r="AI979" s="70"/>
      <c r="AJ979" s="70"/>
      <c r="AK979" s="70"/>
      <c r="AL979" s="70"/>
      <c r="AM979" s="70"/>
      <c r="AN979" s="70"/>
      <c r="AO979" s="70"/>
      <c r="AP979" s="70"/>
      <c r="AQ979" s="77"/>
      <c r="AR979" s="77"/>
      <c r="AS979" s="77"/>
      <c r="AT979" s="77"/>
      <c r="AU979" s="77"/>
      <c r="AV979" s="77"/>
      <c r="AW979" s="77"/>
      <c r="AX979" s="77"/>
      <c r="AY979" s="77"/>
      <c r="AZ979" s="77"/>
      <c r="BA979" s="77"/>
      <c r="BB979" s="77"/>
      <c r="BC979" s="77"/>
      <c r="BD979" s="77"/>
      <c r="BE979" s="77"/>
      <c r="BF979" s="77"/>
      <c r="BG979" s="77"/>
      <c r="BH979" s="77"/>
      <c r="BI979" s="77"/>
      <c r="BJ979" s="77"/>
      <c r="BK979" s="77"/>
      <c r="BL979" s="77"/>
      <c r="BM979" s="77"/>
    </row>
    <row r="980">
      <c r="A980" s="99" t="s">
        <v>69</v>
      </c>
      <c r="B980" s="99" t="b">
        <v>0</v>
      </c>
      <c r="C980" s="99" t="b">
        <v>0</v>
      </c>
      <c r="D980" s="80"/>
      <c r="E980" s="81"/>
      <c r="F980" s="106"/>
      <c r="G980" s="107"/>
      <c r="H980" s="108"/>
      <c r="I980" s="108"/>
      <c r="J980" s="109"/>
      <c r="K980" s="107"/>
      <c r="L980" s="107"/>
      <c r="M980" s="110"/>
      <c r="N980" s="110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  <c r="AI980" s="70"/>
      <c r="AJ980" s="70"/>
      <c r="AK980" s="70"/>
      <c r="AL980" s="70"/>
      <c r="AM980" s="70"/>
      <c r="AN980" s="70"/>
      <c r="AO980" s="70"/>
      <c r="AP980" s="70"/>
      <c r="AQ980" s="77"/>
      <c r="AR980" s="77"/>
      <c r="AS980" s="77"/>
      <c r="AT980" s="77"/>
      <c r="AU980" s="77"/>
      <c r="AV980" s="77"/>
      <c r="AW980" s="77"/>
      <c r="AX980" s="77"/>
      <c r="AY980" s="77"/>
      <c r="AZ980" s="77"/>
      <c r="BA980" s="77"/>
      <c r="BB980" s="77"/>
      <c r="BC980" s="77"/>
      <c r="BD980" s="77"/>
      <c r="BE980" s="77"/>
      <c r="BF980" s="77"/>
      <c r="BG980" s="77"/>
      <c r="BH980" s="77"/>
      <c r="BI980" s="77"/>
      <c r="BJ980" s="77"/>
      <c r="BK980" s="77"/>
      <c r="BL980" s="77"/>
      <c r="BM980" s="77"/>
    </row>
    <row r="981">
      <c r="A981" s="100" t="s">
        <v>69</v>
      </c>
      <c r="B981" s="100" t="b">
        <v>0</v>
      </c>
      <c r="C981" s="100" t="b">
        <v>0</v>
      </c>
      <c r="D981" s="42"/>
      <c r="E981" s="43"/>
      <c r="F981" s="101"/>
      <c r="G981" s="102"/>
      <c r="H981" s="103"/>
      <c r="I981" s="103"/>
      <c r="J981" s="104"/>
      <c r="K981" s="102"/>
      <c r="L981" s="102"/>
      <c r="M981" s="105"/>
      <c r="N981" s="105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  <c r="AI981" s="70"/>
      <c r="AJ981" s="70"/>
      <c r="AK981" s="70"/>
      <c r="AL981" s="70"/>
      <c r="AM981" s="70"/>
      <c r="AN981" s="70"/>
      <c r="AO981" s="70"/>
      <c r="AP981" s="70"/>
      <c r="AQ981" s="77"/>
      <c r="AR981" s="77"/>
      <c r="AS981" s="77"/>
      <c r="AT981" s="77"/>
      <c r="AU981" s="77"/>
      <c r="AV981" s="77"/>
      <c r="AW981" s="77"/>
      <c r="AX981" s="77"/>
      <c r="AY981" s="77"/>
      <c r="AZ981" s="77"/>
      <c r="BA981" s="77"/>
      <c r="BB981" s="77"/>
      <c r="BC981" s="77"/>
      <c r="BD981" s="77"/>
      <c r="BE981" s="77"/>
      <c r="BF981" s="77"/>
      <c r="BG981" s="77"/>
      <c r="BH981" s="77"/>
      <c r="BI981" s="77"/>
      <c r="BJ981" s="77"/>
      <c r="BK981" s="77"/>
      <c r="BL981" s="77"/>
      <c r="BM981" s="77"/>
    </row>
    <row r="982">
      <c r="A982" s="99" t="s">
        <v>69</v>
      </c>
      <c r="B982" s="99" t="b">
        <v>0</v>
      </c>
      <c r="C982" s="99" t="b">
        <v>0</v>
      </c>
      <c r="D982" s="80"/>
      <c r="E982" s="81"/>
      <c r="F982" s="106"/>
      <c r="G982" s="107"/>
      <c r="H982" s="108"/>
      <c r="I982" s="108"/>
      <c r="J982" s="109"/>
      <c r="K982" s="107"/>
      <c r="L982" s="107"/>
      <c r="M982" s="110"/>
      <c r="N982" s="110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  <c r="AI982" s="70"/>
      <c r="AJ982" s="70"/>
      <c r="AK982" s="70"/>
      <c r="AL982" s="70"/>
      <c r="AM982" s="70"/>
      <c r="AN982" s="70"/>
      <c r="AO982" s="70"/>
      <c r="AP982" s="70"/>
      <c r="AQ982" s="77"/>
      <c r="AR982" s="77"/>
      <c r="AS982" s="77"/>
      <c r="AT982" s="77"/>
      <c r="AU982" s="77"/>
      <c r="AV982" s="77"/>
      <c r="AW982" s="77"/>
      <c r="AX982" s="77"/>
      <c r="AY982" s="77"/>
      <c r="AZ982" s="77"/>
      <c r="BA982" s="77"/>
      <c r="BB982" s="77"/>
      <c r="BC982" s="77"/>
      <c r="BD982" s="77"/>
      <c r="BE982" s="77"/>
      <c r="BF982" s="77"/>
      <c r="BG982" s="77"/>
      <c r="BH982" s="77"/>
      <c r="BI982" s="77"/>
      <c r="BJ982" s="77"/>
      <c r="BK982" s="77"/>
      <c r="BL982" s="77"/>
      <c r="BM982" s="77"/>
    </row>
    <row r="983">
      <c r="A983" s="100" t="s">
        <v>69</v>
      </c>
      <c r="B983" s="100" t="b">
        <v>0</v>
      </c>
      <c r="C983" s="100" t="b">
        <v>0</v>
      </c>
      <c r="D983" s="42"/>
      <c r="E983" s="43"/>
      <c r="F983" s="101"/>
      <c r="G983" s="102"/>
      <c r="H983" s="103"/>
      <c r="I983" s="103"/>
      <c r="J983" s="104"/>
      <c r="K983" s="102"/>
      <c r="L983" s="102"/>
      <c r="M983" s="105"/>
      <c r="N983" s="105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  <c r="AI983" s="70"/>
      <c r="AJ983" s="70"/>
      <c r="AK983" s="70"/>
      <c r="AL983" s="70"/>
      <c r="AM983" s="70"/>
      <c r="AN983" s="70"/>
      <c r="AO983" s="70"/>
      <c r="AP983" s="70"/>
      <c r="AQ983" s="77"/>
      <c r="AR983" s="77"/>
      <c r="AS983" s="77"/>
      <c r="AT983" s="77"/>
      <c r="AU983" s="77"/>
      <c r="AV983" s="77"/>
      <c r="AW983" s="77"/>
      <c r="AX983" s="77"/>
      <c r="AY983" s="77"/>
      <c r="AZ983" s="77"/>
      <c r="BA983" s="77"/>
      <c r="BB983" s="77"/>
      <c r="BC983" s="77"/>
      <c r="BD983" s="77"/>
      <c r="BE983" s="77"/>
      <c r="BF983" s="77"/>
      <c r="BG983" s="77"/>
      <c r="BH983" s="77"/>
      <c r="BI983" s="77"/>
      <c r="BJ983" s="77"/>
      <c r="BK983" s="77"/>
      <c r="BL983" s="77"/>
      <c r="BM983" s="77"/>
    </row>
    <row r="984">
      <c r="A984" s="99" t="s">
        <v>69</v>
      </c>
      <c r="B984" s="99" t="b">
        <v>0</v>
      </c>
      <c r="C984" s="99" t="b">
        <v>0</v>
      </c>
      <c r="D984" s="80"/>
      <c r="E984" s="81"/>
      <c r="F984" s="106"/>
      <c r="G984" s="107"/>
      <c r="H984" s="108"/>
      <c r="I984" s="108"/>
      <c r="J984" s="109"/>
      <c r="K984" s="107"/>
      <c r="L984" s="107"/>
      <c r="M984" s="110"/>
      <c r="N984" s="110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  <c r="AI984" s="70"/>
      <c r="AJ984" s="70"/>
      <c r="AK984" s="70"/>
      <c r="AL984" s="70"/>
      <c r="AM984" s="70"/>
      <c r="AN984" s="70"/>
      <c r="AO984" s="70"/>
      <c r="AP984" s="70"/>
      <c r="AQ984" s="77"/>
      <c r="AR984" s="77"/>
      <c r="AS984" s="77"/>
      <c r="AT984" s="77"/>
      <c r="AU984" s="77"/>
      <c r="AV984" s="77"/>
      <c r="AW984" s="77"/>
      <c r="AX984" s="77"/>
      <c r="AY984" s="77"/>
      <c r="AZ984" s="77"/>
      <c r="BA984" s="77"/>
      <c r="BB984" s="77"/>
      <c r="BC984" s="77"/>
      <c r="BD984" s="77"/>
      <c r="BE984" s="77"/>
      <c r="BF984" s="77"/>
      <c r="BG984" s="77"/>
      <c r="BH984" s="77"/>
      <c r="BI984" s="77"/>
      <c r="BJ984" s="77"/>
      <c r="BK984" s="77"/>
      <c r="BL984" s="77"/>
      <c r="BM984" s="77"/>
    </row>
    <row r="985">
      <c r="A985" s="100" t="s">
        <v>69</v>
      </c>
      <c r="B985" s="100" t="b">
        <v>0</v>
      </c>
      <c r="C985" s="100" t="b">
        <v>0</v>
      </c>
      <c r="D985" s="42"/>
      <c r="E985" s="43"/>
      <c r="F985" s="101"/>
      <c r="G985" s="102"/>
      <c r="H985" s="103"/>
      <c r="I985" s="103"/>
      <c r="J985" s="104"/>
      <c r="K985" s="102"/>
      <c r="L985" s="102"/>
      <c r="M985" s="105"/>
      <c r="N985" s="105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  <c r="AI985" s="70"/>
      <c r="AJ985" s="70"/>
      <c r="AK985" s="70"/>
      <c r="AL985" s="70"/>
      <c r="AM985" s="70"/>
      <c r="AN985" s="70"/>
      <c r="AO985" s="70"/>
      <c r="AP985" s="70"/>
      <c r="AQ985" s="77"/>
      <c r="AR985" s="77"/>
      <c r="AS985" s="77"/>
      <c r="AT985" s="77"/>
      <c r="AU985" s="77"/>
      <c r="AV985" s="77"/>
      <c r="AW985" s="77"/>
      <c r="AX985" s="77"/>
      <c r="AY985" s="77"/>
      <c r="AZ985" s="77"/>
      <c r="BA985" s="77"/>
      <c r="BB985" s="77"/>
      <c r="BC985" s="77"/>
      <c r="BD985" s="77"/>
      <c r="BE985" s="77"/>
      <c r="BF985" s="77"/>
      <c r="BG985" s="77"/>
      <c r="BH985" s="77"/>
      <c r="BI985" s="77"/>
      <c r="BJ985" s="77"/>
      <c r="BK985" s="77"/>
      <c r="BL985" s="77"/>
      <c r="BM985" s="77"/>
    </row>
    <row r="986">
      <c r="A986" s="99" t="s">
        <v>69</v>
      </c>
      <c r="B986" s="99" t="b">
        <v>0</v>
      </c>
      <c r="C986" s="99" t="b">
        <v>0</v>
      </c>
      <c r="D986" s="80"/>
      <c r="E986" s="81"/>
      <c r="F986" s="106"/>
      <c r="G986" s="107"/>
      <c r="H986" s="108"/>
      <c r="I986" s="108"/>
      <c r="J986" s="109"/>
      <c r="K986" s="107"/>
      <c r="L986" s="107"/>
      <c r="M986" s="110"/>
      <c r="N986" s="110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  <c r="AI986" s="70"/>
      <c r="AJ986" s="70"/>
      <c r="AK986" s="70"/>
      <c r="AL986" s="70"/>
      <c r="AM986" s="70"/>
      <c r="AN986" s="70"/>
      <c r="AO986" s="70"/>
      <c r="AP986" s="70"/>
      <c r="AQ986" s="77"/>
      <c r="AR986" s="77"/>
      <c r="AS986" s="77"/>
      <c r="AT986" s="77"/>
      <c r="AU986" s="77"/>
      <c r="AV986" s="77"/>
      <c r="AW986" s="77"/>
      <c r="AX986" s="77"/>
      <c r="AY986" s="77"/>
      <c r="AZ986" s="77"/>
      <c r="BA986" s="77"/>
      <c r="BB986" s="77"/>
      <c r="BC986" s="77"/>
      <c r="BD986" s="77"/>
      <c r="BE986" s="77"/>
      <c r="BF986" s="77"/>
      <c r="BG986" s="77"/>
      <c r="BH986" s="77"/>
      <c r="BI986" s="77"/>
      <c r="BJ986" s="77"/>
      <c r="BK986" s="77"/>
      <c r="BL986" s="77"/>
      <c r="BM986" s="77"/>
    </row>
    <row r="987">
      <c r="A987" s="100" t="s">
        <v>69</v>
      </c>
      <c r="B987" s="100" t="b">
        <v>0</v>
      </c>
      <c r="C987" s="100" t="b">
        <v>0</v>
      </c>
      <c r="D987" s="42"/>
      <c r="E987" s="43"/>
      <c r="F987" s="101"/>
      <c r="G987" s="102"/>
      <c r="H987" s="103"/>
      <c r="I987" s="103"/>
      <c r="J987" s="104"/>
      <c r="K987" s="102"/>
      <c r="L987" s="102"/>
      <c r="M987" s="105"/>
      <c r="N987" s="105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  <c r="AI987" s="70"/>
      <c r="AJ987" s="70"/>
      <c r="AK987" s="70"/>
      <c r="AL987" s="70"/>
      <c r="AM987" s="70"/>
      <c r="AN987" s="70"/>
      <c r="AO987" s="70"/>
      <c r="AP987" s="70"/>
      <c r="AQ987" s="77"/>
      <c r="AR987" s="77"/>
      <c r="AS987" s="77"/>
      <c r="AT987" s="77"/>
      <c r="AU987" s="77"/>
      <c r="AV987" s="77"/>
      <c r="AW987" s="77"/>
      <c r="AX987" s="77"/>
      <c r="AY987" s="77"/>
      <c r="AZ987" s="77"/>
      <c r="BA987" s="77"/>
      <c r="BB987" s="77"/>
      <c r="BC987" s="77"/>
      <c r="BD987" s="77"/>
      <c r="BE987" s="77"/>
      <c r="BF987" s="77"/>
      <c r="BG987" s="77"/>
      <c r="BH987" s="77"/>
      <c r="BI987" s="77"/>
      <c r="BJ987" s="77"/>
      <c r="BK987" s="77"/>
      <c r="BL987" s="77"/>
      <c r="BM987" s="77"/>
    </row>
    <row r="988">
      <c r="A988" s="99" t="s">
        <v>69</v>
      </c>
      <c r="B988" s="99" t="b">
        <v>0</v>
      </c>
      <c r="C988" s="99" t="b">
        <v>0</v>
      </c>
      <c r="D988" s="80"/>
      <c r="E988" s="81"/>
      <c r="F988" s="106"/>
      <c r="G988" s="107"/>
      <c r="H988" s="108"/>
      <c r="I988" s="108"/>
      <c r="J988" s="109"/>
      <c r="K988" s="107"/>
      <c r="L988" s="107"/>
      <c r="M988" s="110"/>
      <c r="N988" s="110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  <c r="AI988" s="70"/>
      <c r="AJ988" s="70"/>
      <c r="AK988" s="70"/>
      <c r="AL988" s="70"/>
      <c r="AM988" s="70"/>
      <c r="AN988" s="70"/>
      <c r="AO988" s="70"/>
      <c r="AP988" s="70"/>
      <c r="AQ988" s="77"/>
      <c r="AR988" s="77"/>
      <c r="AS988" s="77"/>
      <c r="AT988" s="77"/>
      <c r="AU988" s="77"/>
      <c r="AV988" s="77"/>
      <c r="AW988" s="77"/>
      <c r="AX988" s="77"/>
      <c r="AY988" s="77"/>
      <c r="AZ988" s="77"/>
      <c r="BA988" s="77"/>
      <c r="BB988" s="77"/>
      <c r="BC988" s="77"/>
      <c r="BD988" s="77"/>
      <c r="BE988" s="77"/>
      <c r="BF988" s="77"/>
      <c r="BG988" s="77"/>
      <c r="BH988" s="77"/>
      <c r="BI988" s="77"/>
      <c r="BJ988" s="77"/>
      <c r="BK988" s="77"/>
      <c r="BL988" s="77"/>
      <c r="BM988" s="77"/>
    </row>
    <row r="989">
      <c r="A989" s="100" t="s">
        <v>69</v>
      </c>
      <c r="B989" s="100" t="b">
        <v>0</v>
      </c>
      <c r="C989" s="100" t="b">
        <v>0</v>
      </c>
      <c r="D989" s="42"/>
      <c r="E989" s="43"/>
      <c r="F989" s="101"/>
      <c r="G989" s="102"/>
      <c r="H989" s="103"/>
      <c r="I989" s="103"/>
      <c r="J989" s="104"/>
      <c r="K989" s="102"/>
      <c r="L989" s="102"/>
      <c r="M989" s="105"/>
      <c r="N989" s="105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  <c r="AI989" s="70"/>
      <c r="AJ989" s="70"/>
      <c r="AK989" s="70"/>
      <c r="AL989" s="70"/>
      <c r="AM989" s="70"/>
      <c r="AN989" s="70"/>
      <c r="AO989" s="70"/>
      <c r="AP989" s="70"/>
      <c r="AQ989" s="77"/>
      <c r="AR989" s="77"/>
      <c r="AS989" s="77"/>
      <c r="AT989" s="77"/>
      <c r="AU989" s="77"/>
      <c r="AV989" s="77"/>
      <c r="AW989" s="77"/>
      <c r="AX989" s="77"/>
      <c r="AY989" s="77"/>
      <c r="AZ989" s="77"/>
      <c r="BA989" s="77"/>
      <c r="BB989" s="77"/>
      <c r="BC989" s="77"/>
      <c r="BD989" s="77"/>
      <c r="BE989" s="77"/>
      <c r="BF989" s="77"/>
      <c r="BG989" s="77"/>
      <c r="BH989" s="77"/>
      <c r="BI989" s="77"/>
      <c r="BJ989" s="77"/>
      <c r="BK989" s="77"/>
      <c r="BL989" s="77"/>
      <c r="BM989" s="77"/>
    </row>
    <row r="990">
      <c r="A990" s="99" t="s">
        <v>69</v>
      </c>
      <c r="B990" s="99" t="b">
        <v>0</v>
      </c>
      <c r="C990" s="99" t="b">
        <v>0</v>
      </c>
      <c r="D990" s="80"/>
      <c r="E990" s="81"/>
      <c r="F990" s="106"/>
      <c r="G990" s="107"/>
      <c r="H990" s="108"/>
      <c r="I990" s="108"/>
      <c r="J990" s="109"/>
      <c r="K990" s="107"/>
      <c r="L990" s="107"/>
      <c r="M990" s="110"/>
      <c r="N990" s="110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  <c r="AI990" s="70"/>
      <c r="AJ990" s="70"/>
      <c r="AK990" s="70"/>
      <c r="AL990" s="70"/>
      <c r="AM990" s="70"/>
      <c r="AN990" s="70"/>
      <c r="AO990" s="70"/>
      <c r="AP990" s="70"/>
      <c r="AQ990" s="77"/>
      <c r="AR990" s="77"/>
      <c r="AS990" s="77"/>
      <c r="AT990" s="77"/>
      <c r="AU990" s="77"/>
      <c r="AV990" s="77"/>
      <c r="AW990" s="77"/>
      <c r="AX990" s="77"/>
      <c r="AY990" s="77"/>
      <c r="AZ990" s="77"/>
      <c r="BA990" s="77"/>
      <c r="BB990" s="77"/>
      <c r="BC990" s="77"/>
      <c r="BD990" s="77"/>
      <c r="BE990" s="77"/>
      <c r="BF990" s="77"/>
      <c r="BG990" s="77"/>
      <c r="BH990" s="77"/>
      <c r="BI990" s="77"/>
      <c r="BJ990" s="77"/>
      <c r="BK990" s="77"/>
      <c r="BL990" s="77"/>
      <c r="BM990" s="77"/>
    </row>
    <row r="991">
      <c r="A991" s="100" t="s">
        <v>69</v>
      </c>
      <c r="B991" s="100" t="b">
        <v>0</v>
      </c>
      <c r="C991" s="100" t="b">
        <v>0</v>
      </c>
      <c r="D991" s="42"/>
      <c r="E991" s="43"/>
      <c r="F991" s="101"/>
      <c r="G991" s="102"/>
      <c r="H991" s="103"/>
      <c r="I991" s="103"/>
      <c r="J991" s="104"/>
      <c r="K991" s="102"/>
      <c r="L991" s="102"/>
      <c r="M991" s="105"/>
      <c r="N991" s="105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  <c r="AI991" s="70"/>
      <c r="AJ991" s="70"/>
      <c r="AK991" s="70"/>
      <c r="AL991" s="70"/>
      <c r="AM991" s="70"/>
      <c r="AN991" s="70"/>
      <c r="AO991" s="70"/>
      <c r="AP991" s="70"/>
      <c r="AQ991" s="77"/>
      <c r="AR991" s="77"/>
      <c r="AS991" s="77"/>
      <c r="AT991" s="77"/>
      <c r="AU991" s="77"/>
      <c r="AV991" s="77"/>
      <c r="AW991" s="77"/>
      <c r="AX991" s="77"/>
      <c r="AY991" s="77"/>
      <c r="AZ991" s="77"/>
      <c r="BA991" s="77"/>
      <c r="BB991" s="77"/>
      <c r="BC991" s="77"/>
      <c r="BD991" s="77"/>
      <c r="BE991" s="77"/>
      <c r="BF991" s="77"/>
      <c r="BG991" s="77"/>
      <c r="BH991" s="77"/>
      <c r="BI991" s="77"/>
      <c r="BJ991" s="77"/>
      <c r="BK991" s="77"/>
      <c r="BL991" s="77"/>
      <c r="BM991" s="77"/>
    </row>
    <row r="992">
      <c r="A992" s="99" t="s">
        <v>69</v>
      </c>
      <c r="B992" s="99" t="b">
        <v>0</v>
      </c>
      <c r="C992" s="99" t="b">
        <v>0</v>
      </c>
      <c r="D992" s="80"/>
      <c r="E992" s="81"/>
      <c r="F992" s="106"/>
      <c r="G992" s="107"/>
      <c r="H992" s="108"/>
      <c r="I992" s="108"/>
      <c r="J992" s="109"/>
      <c r="K992" s="107"/>
      <c r="L992" s="107"/>
      <c r="M992" s="110"/>
      <c r="N992" s="110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  <c r="AI992" s="70"/>
      <c r="AJ992" s="70"/>
      <c r="AK992" s="70"/>
      <c r="AL992" s="70"/>
      <c r="AM992" s="70"/>
      <c r="AN992" s="70"/>
      <c r="AO992" s="70"/>
      <c r="AP992" s="70"/>
      <c r="AQ992" s="77"/>
      <c r="AR992" s="77"/>
      <c r="AS992" s="77"/>
      <c r="AT992" s="77"/>
      <c r="AU992" s="77"/>
      <c r="AV992" s="77"/>
      <c r="AW992" s="77"/>
      <c r="AX992" s="77"/>
      <c r="AY992" s="77"/>
      <c r="AZ992" s="77"/>
      <c r="BA992" s="77"/>
      <c r="BB992" s="77"/>
      <c r="BC992" s="77"/>
      <c r="BD992" s="77"/>
      <c r="BE992" s="77"/>
      <c r="BF992" s="77"/>
      <c r="BG992" s="77"/>
      <c r="BH992" s="77"/>
      <c r="BI992" s="77"/>
      <c r="BJ992" s="77"/>
      <c r="BK992" s="77"/>
      <c r="BL992" s="77"/>
      <c r="BM992" s="77"/>
    </row>
    <row r="993">
      <c r="A993" s="100" t="s">
        <v>69</v>
      </c>
      <c r="B993" s="100" t="b">
        <v>0</v>
      </c>
      <c r="C993" s="100" t="b">
        <v>0</v>
      </c>
      <c r="D993" s="42"/>
      <c r="E993" s="43"/>
      <c r="F993" s="101"/>
      <c r="G993" s="102"/>
      <c r="H993" s="103"/>
      <c r="I993" s="103"/>
      <c r="J993" s="104"/>
      <c r="K993" s="102"/>
      <c r="L993" s="102"/>
      <c r="M993" s="105"/>
      <c r="N993" s="105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70"/>
      <c r="Z993" s="70"/>
      <c r="AA993" s="70"/>
      <c r="AB993" s="70"/>
      <c r="AC993" s="70"/>
      <c r="AD993" s="70"/>
      <c r="AE993" s="70"/>
      <c r="AF993" s="70"/>
      <c r="AG993" s="70"/>
      <c r="AH993" s="70"/>
      <c r="AI993" s="70"/>
      <c r="AJ993" s="70"/>
      <c r="AK993" s="70"/>
      <c r="AL993" s="70"/>
      <c r="AM993" s="70"/>
      <c r="AN993" s="70"/>
      <c r="AO993" s="70"/>
      <c r="AP993" s="70"/>
      <c r="AQ993" s="77"/>
      <c r="AR993" s="77"/>
      <c r="AS993" s="77"/>
      <c r="AT993" s="77"/>
      <c r="AU993" s="77"/>
      <c r="AV993" s="77"/>
      <c r="AW993" s="77"/>
      <c r="AX993" s="77"/>
      <c r="AY993" s="77"/>
      <c r="AZ993" s="77"/>
      <c r="BA993" s="77"/>
      <c r="BB993" s="77"/>
      <c r="BC993" s="77"/>
      <c r="BD993" s="77"/>
      <c r="BE993" s="77"/>
      <c r="BF993" s="77"/>
      <c r="BG993" s="77"/>
      <c r="BH993" s="77"/>
      <c r="BI993" s="77"/>
      <c r="BJ993" s="77"/>
      <c r="BK993" s="77"/>
      <c r="BL993" s="77"/>
      <c r="BM993" s="77"/>
    </row>
    <row r="994">
      <c r="A994" s="99" t="s">
        <v>69</v>
      </c>
      <c r="B994" s="99" t="b">
        <v>0</v>
      </c>
      <c r="C994" s="99" t="b">
        <v>0</v>
      </c>
      <c r="D994" s="80"/>
      <c r="E994" s="81"/>
      <c r="F994" s="106"/>
      <c r="G994" s="107"/>
      <c r="H994" s="108"/>
      <c r="I994" s="108"/>
      <c r="J994" s="109"/>
      <c r="K994" s="107"/>
      <c r="L994" s="107"/>
      <c r="M994" s="110"/>
      <c r="N994" s="110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70"/>
      <c r="Z994" s="70"/>
      <c r="AA994" s="70"/>
      <c r="AB994" s="70"/>
      <c r="AC994" s="70"/>
      <c r="AD994" s="70"/>
      <c r="AE994" s="70"/>
      <c r="AF994" s="70"/>
      <c r="AG994" s="70"/>
      <c r="AH994" s="70"/>
      <c r="AI994" s="70"/>
      <c r="AJ994" s="70"/>
      <c r="AK994" s="70"/>
      <c r="AL994" s="70"/>
      <c r="AM994" s="70"/>
      <c r="AN994" s="70"/>
      <c r="AO994" s="70"/>
      <c r="AP994" s="70"/>
      <c r="AQ994" s="77"/>
      <c r="AR994" s="77"/>
      <c r="AS994" s="77"/>
      <c r="AT994" s="77"/>
      <c r="AU994" s="77"/>
      <c r="AV994" s="77"/>
      <c r="AW994" s="77"/>
      <c r="AX994" s="77"/>
      <c r="AY994" s="77"/>
      <c r="AZ994" s="77"/>
      <c r="BA994" s="77"/>
      <c r="BB994" s="77"/>
      <c r="BC994" s="77"/>
      <c r="BD994" s="77"/>
      <c r="BE994" s="77"/>
      <c r="BF994" s="77"/>
      <c r="BG994" s="77"/>
      <c r="BH994" s="77"/>
      <c r="BI994" s="77"/>
      <c r="BJ994" s="77"/>
      <c r="BK994" s="77"/>
      <c r="BL994" s="77"/>
      <c r="BM994" s="77"/>
    </row>
    <row r="995">
      <c r="A995" s="100" t="s">
        <v>69</v>
      </c>
      <c r="B995" s="100" t="b">
        <v>0</v>
      </c>
      <c r="C995" s="100" t="b">
        <v>0</v>
      </c>
      <c r="D995" s="42"/>
      <c r="E995" s="43"/>
      <c r="F995" s="101"/>
      <c r="G995" s="102"/>
      <c r="H995" s="103"/>
      <c r="I995" s="103"/>
      <c r="J995" s="104"/>
      <c r="K995" s="102"/>
      <c r="L995" s="102"/>
      <c r="M995" s="105"/>
      <c r="N995" s="105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70"/>
      <c r="Z995" s="70"/>
      <c r="AA995" s="70"/>
      <c r="AB995" s="70"/>
      <c r="AC995" s="70"/>
      <c r="AD995" s="70"/>
      <c r="AE995" s="70"/>
      <c r="AF995" s="70"/>
      <c r="AG995" s="70"/>
      <c r="AH995" s="70"/>
      <c r="AI995" s="70"/>
      <c r="AJ995" s="70"/>
      <c r="AK995" s="70"/>
      <c r="AL995" s="70"/>
      <c r="AM995" s="70"/>
      <c r="AN995" s="70"/>
      <c r="AO995" s="70"/>
      <c r="AP995" s="70"/>
      <c r="AQ995" s="77"/>
      <c r="AR995" s="77"/>
      <c r="AS995" s="77"/>
      <c r="AT995" s="77"/>
      <c r="AU995" s="77"/>
      <c r="AV995" s="77"/>
      <c r="AW995" s="77"/>
      <c r="AX995" s="77"/>
      <c r="AY995" s="77"/>
      <c r="AZ995" s="77"/>
      <c r="BA995" s="77"/>
      <c r="BB995" s="77"/>
      <c r="BC995" s="77"/>
      <c r="BD995" s="77"/>
      <c r="BE995" s="77"/>
      <c r="BF995" s="77"/>
      <c r="BG995" s="77"/>
      <c r="BH995" s="77"/>
      <c r="BI995" s="77"/>
      <c r="BJ995" s="77"/>
      <c r="BK995" s="77"/>
      <c r="BL995" s="77"/>
      <c r="BM995" s="77"/>
    </row>
    <row r="996">
      <c r="A996" s="99" t="s">
        <v>69</v>
      </c>
      <c r="B996" s="99" t="b">
        <v>0</v>
      </c>
      <c r="C996" s="99" t="b">
        <v>0</v>
      </c>
      <c r="D996" s="80"/>
      <c r="E996" s="81"/>
      <c r="F996" s="106"/>
      <c r="G996" s="107"/>
      <c r="H996" s="108"/>
      <c r="I996" s="108"/>
      <c r="J996" s="109"/>
      <c r="K996" s="107"/>
      <c r="L996" s="107"/>
      <c r="M996" s="110"/>
      <c r="N996" s="110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70"/>
      <c r="Z996" s="70"/>
      <c r="AA996" s="70"/>
      <c r="AB996" s="70"/>
      <c r="AC996" s="70"/>
      <c r="AD996" s="70"/>
      <c r="AE996" s="70"/>
      <c r="AF996" s="70"/>
      <c r="AG996" s="70"/>
      <c r="AH996" s="70"/>
      <c r="AI996" s="70"/>
      <c r="AJ996" s="70"/>
      <c r="AK996" s="70"/>
      <c r="AL996" s="70"/>
      <c r="AM996" s="70"/>
      <c r="AN996" s="70"/>
      <c r="AO996" s="70"/>
      <c r="AP996" s="70"/>
      <c r="AQ996" s="77"/>
      <c r="AR996" s="77"/>
      <c r="AS996" s="77"/>
      <c r="AT996" s="77"/>
      <c r="AU996" s="77"/>
      <c r="AV996" s="77"/>
      <c r="AW996" s="77"/>
      <c r="AX996" s="77"/>
      <c r="AY996" s="77"/>
      <c r="AZ996" s="77"/>
      <c r="BA996" s="77"/>
      <c r="BB996" s="77"/>
      <c r="BC996" s="77"/>
      <c r="BD996" s="77"/>
      <c r="BE996" s="77"/>
      <c r="BF996" s="77"/>
      <c r="BG996" s="77"/>
      <c r="BH996" s="77"/>
      <c r="BI996" s="77"/>
      <c r="BJ996" s="77"/>
      <c r="BK996" s="77"/>
      <c r="BL996" s="77"/>
      <c r="BM996" s="77"/>
    </row>
    <row r="997">
      <c r="A997" s="100" t="s">
        <v>69</v>
      </c>
      <c r="B997" s="100" t="b">
        <v>0</v>
      </c>
      <c r="C997" s="100" t="b">
        <v>0</v>
      </c>
      <c r="D997" s="42"/>
      <c r="E997" s="43"/>
      <c r="F997" s="101"/>
      <c r="G997" s="102"/>
      <c r="H997" s="103"/>
      <c r="I997" s="103"/>
      <c r="J997" s="104"/>
      <c r="K997" s="102"/>
      <c r="L997" s="102"/>
      <c r="M997" s="105"/>
      <c r="N997" s="105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70"/>
      <c r="Z997" s="70"/>
      <c r="AA997" s="70"/>
      <c r="AB997" s="70"/>
      <c r="AC997" s="70"/>
      <c r="AD997" s="70"/>
      <c r="AE997" s="70"/>
      <c r="AF997" s="70"/>
      <c r="AG997" s="70"/>
      <c r="AH997" s="70"/>
      <c r="AI997" s="70"/>
      <c r="AJ997" s="70"/>
      <c r="AK997" s="70"/>
      <c r="AL997" s="70"/>
      <c r="AM997" s="70"/>
      <c r="AN997" s="70"/>
      <c r="AO997" s="70"/>
      <c r="AP997" s="70"/>
      <c r="AQ997" s="77"/>
      <c r="AR997" s="77"/>
      <c r="AS997" s="77"/>
      <c r="AT997" s="77"/>
      <c r="AU997" s="77"/>
      <c r="AV997" s="77"/>
      <c r="AW997" s="77"/>
      <c r="AX997" s="77"/>
      <c r="AY997" s="77"/>
      <c r="AZ997" s="77"/>
      <c r="BA997" s="77"/>
      <c r="BB997" s="77"/>
      <c r="BC997" s="77"/>
      <c r="BD997" s="77"/>
      <c r="BE997" s="77"/>
      <c r="BF997" s="77"/>
      <c r="BG997" s="77"/>
      <c r="BH997" s="77"/>
      <c r="BI997" s="77"/>
      <c r="BJ997" s="77"/>
      <c r="BK997" s="77"/>
      <c r="BL997" s="77"/>
      <c r="BM997" s="77"/>
    </row>
    <row r="998">
      <c r="A998" s="99" t="s">
        <v>69</v>
      </c>
      <c r="B998" s="99" t="b">
        <v>0</v>
      </c>
      <c r="C998" s="99" t="b">
        <v>0</v>
      </c>
      <c r="D998" s="80"/>
      <c r="E998" s="81"/>
      <c r="F998" s="106"/>
      <c r="G998" s="107"/>
      <c r="H998" s="108"/>
      <c r="I998" s="108"/>
      <c r="J998" s="109"/>
      <c r="K998" s="107"/>
      <c r="L998" s="107"/>
      <c r="M998" s="110"/>
      <c r="N998" s="110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70"/>
      <c r="Z998" s="70"/>
      <c r="AA998" s="70"/>
      <c r="AB998" s="70"/>
      <c r="AC998" s="70"/>
      <c r="AD998" s="70"/>
      <c r="AE998" s="70"/>
      <c r="AF998" s="70"/>
      <c r="AG998" s="70"/>
      <c r="AH998" s="70"/>
      <c r="AI998" s="70"/>
      <c r="AJ998" s="70"/>
      <c r="AK998" s="70"/>
      <c r="AL998" s="70"/>
      <c r="AM998" s="70"/>
      <c r="AN998" s="70"/>
      <c r="AO998" s="70"/>
      <c r="AP998" s="70"/>
      <c r="AQ998" s="77"/>
      <c r="AR998" s="77"/>
      <c r="AS998" s="77"/>
      <c r="AT998" s="77"/>
      <c r="AU998" s="77"/>
      <c r="AV998" s="77"/>
      <c r="AW998" s="77"/>
      <c r="AX998" s="77"/>
      <c r="AY998" s="77"/>
      <c r="AZ998" s="77"/>
      <c r="BA998" s="77"/>
      <c r="BB998" s="77"/>
      <c r="BC998" s="77"/>
      <c r="BD998" s="77"/>
      <c r="BE998" s="77"/>
      <c r="BF998" s="77"/>
      <c r="BG998" s="77"/>
      <c r="BH998" s="77"/>
      <c r="BI998" s="77"/>
      <c r="BJ998" s="77"/>
      <c r="BK998" s="77"/>
      <c r="BL998" s="77"/>
      <c r="BM998" s="77"/>
    </row>
    <row r="999">
      <c r="A999" s="100" t="s">
        <v>69</v>
      </c>
      <c r="B999" s="100" t="b">
        <v>0</v>
      </c>
      <c r="C999" s="100" t="b">
        <v>0</v>
      </c>
      <c r="D999" s="42"/>
      <c r="E999" s="43"/>
      <c r="F999" s="101"/>
      <c r="G999" s="102"/>
      <c r="H999" s="103"/>
      <c r="I999" s="103"/>
      <c r="J999" s="104"/>
      <c r="K999" s="102"/>
      <c r="L999" s="102"/>
      <c r="M999" s="105"/>
      <c r="N999" s="105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70"/>
      <c r="Z999" s="70"/>
      <c r="AA999" s="70"/>
      <c r="AB999" s="70"/>
      <c r="AC999" s="70"/>
      <c r="AD999" s="70"/>
      <c r="AE999" s="70"/>
      <c r="AF999" s="70"/>
      <c r="AG999" s="70"/>
      <c r="AH999" s="70"/>
      <c r="AI999" s="70"/>
      <c r="AJ999" s="70"/>
      <c r="AK999" s="70"/>
      <c r="AL999" s="70"/>
      <c r="AM999" s="70"/>
      <c r="AN999" s="70"/>
      <c r="AO999" s="70"/>
      <c r="AP999" s="70"/>
      <c r="AQ999" s="77"/>
      <c r="AR999" s="77"/>
      <c r="AS999" s="77"/>
      <c r="AT999" s="77"/>
      <c r="AU999" s="77"/>
      <c r="AV999" s="77"/>
      <c r="AW999" s="77"/>
      <c r="AX999" s="77"/>
      <c r="AY999" s="77"/>
      <c r="AZ999" s="77"/>
      <c r="BA999" s="77"/>
      <c r="BB999" s="77"/>
      <c r="BC999" s="77"/>
      <c r="BD999" s="77"/>
      <c r="BE999" s="77"/>
      <c r="BF999" s="77"/>
      <c r="BG999" s="77"/>
      <c r="BH999" s="77"/>
      <c r="BI999" s="77"/>
      <c r="BJ999" s="77"/>
      <c r="BK999" s="77"/>
      <c r="BL999" s="77"/>
      <c r="BM999" s="77"/>
    </row>
    <row r="1000">
      <c r="A1000" s="99" t="s">
        <v>69</v>
      </c>
      <c r="B1000" s="99" t="b">
        <v>0</v>
      </c>
      <c r="C1000" s="99" t="b">
        <v>0</v>
      </c>
      <c r="D1000" s="80"/>
      <c r="E1000" s="81"/>
      <c r="F1000" s="106"/>
      <c r="G1000" s="107"/>
      <c r="H1000" s="108"/>
      <c r="I1000" s="108"/>
      <c r="J1000" s="109"/>
      <c r="K1000" s="107"/>
      <c r="L1000" s="107"/>
      <c r="M1000" s="110"/>
      <c r="N1000" s="110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70"/>
      <c r="Z1000" s="70"/>
      <c r="AA1000" s="70"/>
      <c r="AB1000" s="70"/>
      <c r="AC1000" s="70"/>
      <c r="AD1000" s="70"/>
      <c r="AE1000" s="70"/>
      <c r="AF1000" s="70"/>
      <c r="AG1000" s="70"/>
      <c r="AH1000" s="70"/>
      <c r="AI1000" s="70"/>
      <c r="AJ1000" s="70"/>
      <c r="AK1000" s="70"/>
      <c r="AL1000" s="70"/>
      <c r="AM1000" s="70"/>
      <c r="AN1000" s="70"/>
      <c r="AO1000" s="70"/>
      <c r="AP1000" s="70"/>
      <c r="AQ1000" s="77"/>
      <c r="AR1000" s="77"/>
      <c r="AS1000" s="77"/>
      <c r="AT1000" s="77"/>
      <c r="AU1000" s="77"/>
      <c r="AV1000" s="77"/>
      <c r="AW1000" s="77"/>
      <c r="AX1000" s="77"/>
      <c r="AY1000" s="77"/>
      <c r="AZ1000" s="77"/>
      <c r="BA1000" s="77"/>
      <c r="BB1000" s="77"/>
      <c r="BC1000" s="77"/>
      <c r="BD1000" s="77"/>
      <c r="BE1000" s="77"/>
      <c r="BF1000" s="77"/>
      <c r="BG1000" s="77"/>
      <c r="BH1000" s="77"/>
      <c r="BI1000" s="77"/>
      <c r="BJ1000" s="77"/>
      <c r="BK1000" s="77"/>
      <c r="BL1000" s="77"/>
      <c r="BM1000" s="77"/>
    </row>
    <row r="1001">
      <c r="A1001" s="100" t="s">
        <v>69</v>
      </c>
      <c r="B1001" s="100" t="b">
        <v>0</v>
      </c>
      <c r="C1001" s="100" t="b">
        <v>0</v>
      </c>
      <c r="D1001" s="42"/>
      <c r="E1001" s="43"/>
      <c r="F1001" s="101"/>
      <c r="G1001" s="102"/>
      <c r="H1001" s="103"/>
      <c r="I1001" s="103"/>
      <c r="J1001" s="104"/>
      <c r="K1001" s="102"/>
      <c r="L1001" s="102"/>
      <c r="M1001" s="105"/>
      <c r="N1001" s="105"/>
      <c r="O1001" s="103"/>
      <c r="P1001" s="103"/>
      <c r="Q1001" s="103"/>
      <c r="R1001" s="103"/>
      <c r="S1001" s="103"/>
      <c r="T1001" s="103"/>
      <c r="U1001" s="103"/>
      <c r="V1001" s="103"/>
      <c r="W1001" s="103"/>
      <c r="X1001" s="103"/>
      <c r="Y1001" s="70"/>
      <c r="Z1001" s="70"/>
      <c r="AA1001" s="70"/>
      <c r="AB1001" s="70"/>
      <c r="AC1001" s="70"/>
      <c r="AD1001" s="70"/>
      <c r="AE1001" s="70"/>
      <c r="AF1001" s="70"/>
      <c r="AG1001" s="70"/>
      <c r="AH1001" s="70"/>
      <c r="AI1001" s="70"/>
      <c r="AJ1001" s="70"/>
      <c r="AK1001" s="70"/>
      <c r="AL1001" s="70"/>
      <c r="AM1001" s="70"/>
      <c r="AN1001" s="70"/>
      <c r="AO1001" s="70"/>
      <c r="AP1001" s="70"/>
      <c r="AQ1001" s="77"/>
      <c r="AR1001" s="77"/>
      <c r="AS1001" s="77"/>
      <c r="AT1001" s="77"/>
      <c r="AU1001" s="77"/>
      <c r="AV1001" s="77"/>
      <c r="AW1001" s="77"/>
      <c r="AX1001" s="77"/>
      <c r="AY1001" s="77"/>
      <c r="AZ1001" s="77"/>
      <c r="BA1001" s="77"/>
      <c r="BB1001" s="77"/>
      <c r="BC1001" s="77"/>
      <c r="BD1001" s="77"/>
      <c r="BE1001" s="77"/>
      <c r="BF1001" s="77"/>
      <c r="BG1001" s="77"/>
      <c r="BH1001" s="77"/>
      <c r="BI1001" s="77"/>
      <c r="BJ1001" s="77"/>
      <c r="BK1001" s="77"/>
      <c r="BL1001" s="77"/>
      <c r="BM1001" s="77"/>
    </row>
    <row r="1002">
      <c r="A1002" s="99" t="s">
        <v>69</v>
      </c>
      <c r="B1002" s="99" t="b">
        <v>0</v>
      </c>
      <c r="C1002" s="99" t="b">
        <v>0</v>
      </c>
      <c r="D1002" s="80"/>
      <c r="E1002" s="81"/>
      <c r="F1002" s="106"/>
      <c r="G1002" s="107"/>
      <c r="H1002" s="108"/>
      <c r="I1002" s="108"/>
      <c r="J1002" s="109"/>
      <c r="K1002" s="107"/>
      <c r="L1002" s="107"/>
      <c r="M1002" s="110"/>
      <c r="N1002" s="110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70"/>
      <c r="Z1002" s="70"/>
      <c r="AA1002" s="70"/>
      <c r="AB1002" s="70"/>
      <c r="AC1002" s="70"/>
      <c r="AD1002" s="70"/>
      <c r="AE1002" s="70"/>
      <c r="AF1002" s="70"/>
      <c r="AG1002" s="70"/>
      <c r="AH1002" s="70"/>
      <c r="AI1002" s="70"/>
      <c r="AJ1002" s="70"/>
      <c r="AK1002" s="70"/>
      <c r="AL1002" s="70"/>
      <c r="AM1002" s="70"/>
      <c r="AN1002" s="70"/>
      <c r="AO1002" s="70"/>
      <c r="AP1002" s="70"/>
      <c r="AQ1002" s="77"/>
      <c r="AR1002" s="77"/>
      <c r="AS1002" s="77"/>
      <c r="AT1002" s="77"/>
      <c r="AU1002" s="77"/>
      <c r="AV1002" s="77"/>
      <c r="AW1002" s="77"/>
      <c r="AX1002" s="77"/>
      <c r="AY1002" s="77"/>
      <c r="AZ1002" s="77"/>
      <c r="BA1002" s="77"/>
      <c r="BB1002" s="77"/>
      <c r="BC1002" s="77"/>
      <c r="BD1002" s="77"/>
      <c r="BE1002" s="77"/>
      <c r="BF1002" s="77"/>
      <c r="BG1002" s="77"/>
      <c r="BH1002" s="77"/>
      <c r="BI1002" s="77"/>
      <c r="BJ1002" s="77"/>
      <c r="BK1002" s="77"/>
      <c r="BL1002" s="77"/>
      <c r="BM1002" s="77"/>
    </row>
    <row r="1003">
      <c r="A1003" s="100" t="s">
        <v>69</v>
      </c>
      <c r="B1003" s="100" t="b">
        <v>0</v>
      </c>
      <c r="C1003" s="100" t="b">
        <v>0</v>
      </c>
      <c r="D1003" s="42"/>
      <c r="E1003" s="43"/>
      <c r="F1003" s="101"/>
      <c r="G1003" s="102"/>
      <c r="H1003" s="103"/>
      <c r="I1003" s="103"/>
      <c r="J1003" s="104"/>
      <c r="K1003" s="102"/>
      <c r="L1003" s="102"/>
      <c r="M1003" s="105"/>
      <c r="N1003" s="105"/>
      <c r="O1003" s="103"/>
      <c r="P1003" s="103"/>
      <c r="Q1003" s="103"/>
      <c r="R1003" s="103"/>
      <c r="S1003" s="103"/>
      <c r="T1003" s="103"/>
      <c r="U1003" s="103"/>
      <c r="V1003" s="103"/>
      <c r="W1003" s="103"/>
      <c r="X1003" s="103"/>
      <c r="Y1003" s="70"/>
      <c r="Z1003" s="70"/>
      <c r="AA1003" s="70"/>
      <c r="AB1003" s="70"/>
      <c r="AC1003" s="70"/>
      <c r="AD1003" s="70"/>
      <c r="AE1003" s="70"/>
      <c r="AF1003" s="70"/>
      <c r="AG1003" s="70"/>
      <c r="AH1003" s="70"/>
      <c r="AI1003" s="70"/>
      <c r="AJ1003" s="70"/>
      <c r="AK1003" s="70"/>
      <c r="AL1003" s="70"/>
      <c r="AM1003" s="70"/>
      <c r="AN1003" s="70"/>
      <c r="AO1003" s="70"/>
      <c r="AP1003" s="70"/>
      <c r="AQ1003" s="77"/>
      <c r="AR1003" s="77"/>
      <c r="AS1003" s="77"/>
      <c r="AT1003" s="77"/>
      <c r="AU1003" s="77"/>
      <c r="AV1003" s="77"/>
      <c r="AW1003" s="77"/>
      <c r="AX1003" s="77"/>
      <c r="AY1003" s="77"/>
      <c r="AZ1003" s="77"/>
      <c r="BA1003" s="77"/>
      <c r="BB1003" s="77"/>
      <c r="BC1003" s="77"/>
      <c r="BD1003" s="77"/>
      <c r="BE1003" s="77"/>
      <c r="BF1003" s="77"/>
      <c r="BG1003" s="77"/>
      <c r="BH1003" s="77"/>
      <c r="BI1003" s="77"/>
      <c r="BJ1003" s="77"/>
      <c r="BK1003" s="77"/>
      <c r="BL1003" s="77"/>
      <c r="BM1003" s="77"/>
    </row>
    <row r="1004">
      <c r="A1004" s="99" t="s">
        <v>69</v>
      </c>
      <c r="B1004" s="99" t="b">
        <v>0</v>
      </c>
      <c r="C1004" s="99" t="b">
        <v>0</v>
      </c>
      <c r="D1004" s="80"/>
      <c r="E1004" s="81"/>
      <c r="F1004" s="106"/>
      <c r="G1004" s="107"/>
      <c r="H1004" s="108"/>
      <c r="I1004" s="108"/>
      <c r="J1004" s="109"/>
      <c r="K1004" s="107"/>
      <c r="L1004" s="107"/>
      <c r="M1004" s="110"/>
      <c r="N1004" s="110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70"/>
      <c r="Z1004" s="70"/>
      <c r="AA1004" s="70"/>
      <c r="AB1004" s="70"/>
      <c r="AC1004" s="70"/>
      <c r="AD1004" s="70"/>
      <c r="AE1004" s="70"/>
      <c r="AF1004" s="70"/>
      <c r="AG1004" s="70"/>
      <c r="AH1004" s="70"/>
      <c r="AI1004" s="70"/>
      <c r="AJ1004" s="70"/>
      <c r="AK1004" s="70"/>
      <c r="AL1004" s="70"/>
      <c r="AM1004" s="70"/>
      <c r="AN1004" s="70"/>
      <c r="AO1004" s="70"/>
      <c r="AP1004" s="70"/>
      <c r="AQ1004" s="77"/>
      <c r="AR1004" s="77"/>
      <c r="AS1004" s="77"/>
      <c r="AT1004" s="77"/>
      <c r="AU1004" s="77"/>
      <c r="AV1004" s="77"/>
      <c r="AW1004" s="77"/>
      <c r="AX1004" s="77"/>
      <c r="AY1004" s="77"/>
      <c r="AZ1004" s="77"/>
      <c r="BA1004" s="77"/>
      <c r="BB1004" s="77"/>
      <c r="BC1004" s="77"/>
      <c r="BD1004" s="77"/>
      <c r="BE1004" s="77"/>
      <c r="BF1004" s="77"/>
      <c r="BG1004" s="77"/>
      <c r="BH1004" s="77"/>
      <c r="BI1004" s="77"/>
      <c r="BJ1004" s="77"/>
      <c r="BK1004" s="77"/>
      <c r="BL1004" s="77"/>
      <c r="BM1004" s="77"/>
    </row>
    <row r="1005">
      <c r="A1005" s="100" t="s">
        <v>69</v>
      </c>
      <c r="B1005" s="100" t="b">
        <v>0</v>
      </c>
      <c r="C1005" s="100" t="b">
        <v>0</v>
      </c>
      <c r="D1005" s="42"/>
      <c r="E1005" s="43"/>
      <c r="F1005" s="101"/>
      <c r="G1005" s="102"/>
      <c r="H1005" s="103"/>
      <c r="I1005" s="103"/>
      <c r="J1005" s="104"/>
      <c r="K1005" s="102"/>
      <c r="L1005" s="102"/>
      <c r="M1005" s="105"/>
      <c r="N1005" s="105"/>
      <c r="O1005" s="103"/>
      <c r="P1005" s="103"/>
      <c r="Q1005" s="103"/>
      <c r="R1005" s="103"/>
      <c r="S1005" s="103"/>
      <c r="T1005" s="103"/>
      <c r="U1005" s="103"/>
      <c r="V1005" s="103"/>
      <c r="W1005" s="103"/>
      <c r="X1005" s="103"/>
      <c r="Y1005" s="70"/>
      <c r="Z1005" s="70"/>
      <c r="AA1005" s="70"/>
      <c r="AB1005" s="70"/>
      <c r="AC1005" s="70"/>
      <c r="AD1005" s="70"/>
      <c r="AE1005" s="70"/>
      <c r="AF1005" s="70"/>
      <c r="AG1005" s="70"/>
      <c r="AH1005" s="70"/>
      <c r="AI1005" s="70"/>
      <c r="AJ1005" s="70"/>
      <c r="AK1005" s="70"/>
      <c r="AL1005" s="70"/>
      <c r="AM1005" s="70"/>
      <c r="AN1005" s="70"/>
      <c r="AO1005" s="70"/>
      <c r="AP1005" s="70"/>
      <c r="AQ1005" s="77"/>
      <c r="AR1005" s="77"/>
      <c r="AS1005" s="77"/>
      <c r="AT1005" s="77"/>
      <c r="AU1005" s="77"/>
      <c r="AV1005" s="77"/>
      <c r="AW1005" s="77"/>
      <c r="AX1005" s="77"/>
      <c r="AY1005" s="77"/>
      <c r="AZ1005" s="77"/>
      <c r="BA1005" s="77"/>
      <c r="BB1005" s="77"/>
      <c r="BC1005" s="77"/>
      <c r="BD1005" s="77"/>
      <c r="BE1005" s="77"/>
      <c r="BF1005" s="77"/>
      <c r="BG1005" s="77"/>
      <c r="BH1005" s="77"/>
      <c r="BI1005" s="77"/>
      <c r="BJ1005" s="77"/>
      <c r="BK1005" s="77"/>
      <c r="BL1005" s="77"/>
      <c r="BM1005" s="77"/>
    </row>
    <row r="1006">
      <c r="A1006" s="99" t="s">
        <v>69</v>
      </c>
      <c r="B1006" s="99" t="b">
        <v>0</v>
      </c>
      <c r="C1006" s="99" t="b">
        <v>0</v>
      </c>
      <c r="D1006" s="80"/>
      <c r="E1006" s="81"/>
      <c r="F1006" s="106"/>
      <c r="G1006" s="107"/>
      <c r="H1006" s="108"/>
      <c r="I1006" s="108"/>
      <c r="J1006" s="109"/>
      <c r="K1006" s="107"/>
      <c r="L1006" s="107"/>
      <c r="M1006" s="110"/>
      <c r="N1006" s="110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70"/>
      <c r="Z1006" s="70"/>
      <c r="AA1006" s="70"/>
      <c r="AB1006" s="70"/>
      <c r="AC1006" s="70"/>
      <c r="AD1006" s="70"/>
      <c r="AE1006" s="70"/>
      <c r="AF1006" s="70"/>
      <c r="AG1006" s="70"/>
      <c r="AH1006" s="70"/>
      <c r="AI1006" s="70"/>
      <c r="AJ1006" s="70"/>
      <c r="AK1006" s="70"/>
      <c r="AL1006" s="70"/>
      <c r="AM1006" s="70"/>
      <c r="AN1006" s="70"/>
      <c r="AO1006" s="70"/>
      <c r="AP1006" s="70"/>
      <c r="AQ1006" s="77"/>
      <c r="AR1006" s="77"/>
      <c r="AS1006" s="77"/>
      <c r="AT1006" s="77"/>
      <c r="AU1006" s="77"/>
      <c r="AV1006" s="77"/>
      <c r="AW1006" s="77"/>
      <c r="AX1006" s="77"/>
      <c r="AY1006" s="77"/>
      <c r="AZ1006" s="77"/>
      <c r="BA1006" s="77"/>
      <c r="BB1006" s="77"/>
      <c r="BC1006" s="77"/>
      <c r="BD1006" s="77"/>
      <c r="BE1006" s="77"/>
      <c r="BF1006" s="77"/>
      <c r="BG1006" s="77"/>
      <c r="BH1006" s="77"/>
      <c r="BI1006" s="77"/>
      <c r="BJ1006" s="77"/>
      <c r="BK1006" s="77"/>
      <c r="BL1006" s="77"/>
      <c r="BM1006" s="77"/>
    </row>
    <row r="1007">
      <c r="A1007" s="100" t="s">
        <v>69</v>
      </c>
      <c r="B1007" s="100" t="b">
        <v>0</v>
      </c>
      <c r="C1007" s="100" t="b">
        <v>0</v>
      </c>
      <c r="D1007" s="42"/>
      <c r="E1007" s="43"/>
      <c r="F1007" s="101"/>
      <c r="G1007" s="102"/>
      <c r="H1007" s="103"/>
      <c r="I1007" s="103"/>
      <c r="J1007" s="104"/>
      <c r="K1007" s="102"/>
      <c r="L1007" s="102"/>
      <c r="M1007" s="105"/>
      <c r="N1007" s="105"/>
      <c r="O1007" s="103"/>
      <c r="P1007" s="103"/>
      <c r="Q1007" s="103"/>
      <c r="R1007" s="103"/>
      <c r="S1007" s="103"/>
      <c r="T1007" s="103"/>
      <c r="U1007" s="103"/>
      <c r="V1007" s="103"/>
      <c r="W1007" s="103"/>
      <c r="X1007" s="103"/>
      <c r="Y1007" s="70"/>
      <c r="Z1007" s="70"/>
      <c r="AA1007" s="70"/>
      <c r="AB1007" s="70"/>
      <c r="AC1007" s="70"/>
      <c r="AD1007" s="70"/>
      <c r="AE1007" s="70"/>
      <c r="AF1007" s="70"/>
      <c r="AG1007" s="70"/>
      <c r="AH1007" s="70"/>
      <c r="AI1007" s="70"/>
      <c r="AJ1007" s="70"/>
      <c r="AK1007" s="70"/>
      <c r="AL1007" s="70"/>
      <c r="AM1007" s="70"/>
      <c r="AN1007" s="70"/>
      <c r="AO1007" s="70"/>
      <c r="AP1007" s="70"/>
      <c r="AQ1007" s="77"/>
      <c r="AR1007" s="77"/>
      <c r="AS1007" s="77"/>
      <c r="AT1007" s="77"/>
      <c r="AU1007" s="77"/>
      <c r="AV1007" s="77"/>
      <c r="AW1007" s="77"/>
      <c r="AX1007" s="77"/>
      <c r="AY1007" s="77"/>
      <c r="AZ1007" s="77"/>
      <c r="BA1007" s="77"/>
      <c r="BB1007" s="77"/>
      <c r="BC1007" s="77"/>
      <c r="BD1007" s="77"/>
      <c r="BE1007" s="77"/>
      <c r="BF1007" s="77"/>
      <c r="BG1007" s="77"/>
      <c r="BH1007" s="77"/>
      <c r="BI1007" s="77"/>
      <c r="BJ1007" s="77"/>
      <c r="BK1007" s="77"/>
      <c r="BL1007" s="77"/>
      <c r="BM1007" s="77"/>
    </row>
    <row r="1008">
      <c r="A1008" s="99" t="s">
        <v>69</v>
      </c>
      <c r="B1008" s="99" t="b">
        <v>0</v>
      </c>
      <c r="C1008" s="99" t="b">
        <v>0</v>
      </c>
      <c r="D1008" s="80"/>
      <c r="E1008" s="81"/>
      <c r="F1008" s="106"/>
      <c r="G1008" s="107"/>
      <c r="H1008" s="108"/>
      <c r="I1008" s="108"/>
      <c r="J1008" s="109"/>
      <c r="K1008" s="107"/>
      <c r="L1008" s="107"/>
      <c r="M1008" s="110"/>
      <c r="N1008" s="110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70"/>
      <c r="Z1008" s="70"/>
      <c r="AA1008" s="70"/>
      <c r="AB1008" s="70"/>
      <c r="AC1008" s="70"/>
      <c r="AD1008" s="70"/>
      <c r="AE1008" s="70"/>
      <c r="AF1008" s="70"/>
      <c r="AG1008" s="70"/>
      <c r="AH1008" s="70"/>
      <c r="AI1008" s="70"/>
      <c r="AJ1008" s="70"/>
      <c r="AK1008" s="70"/>
      <c r="AL1008" s="70"/>
      <c r="AM1008" s="70"/>
      <c r="AN1008" s="70"/>
      <c r="AO1008" s="70"/>
      <c r="AP1008" s="70"/>
      <c r="AQ1008" s="77"/>
      <c r="AR1008" s="77"/>
      <c r="AS1008" s="77"/>
      <c r="AT1008" s="77"/>
      <c r="AU1008" s="77"/>
      <c r="AV1008" s="77"/>
      <c r="AW1008" s="77"/>
      <c r="AX1008" s="77"/>
      <c r="AY1008" s="77"/>
      <c r="AZ1008" s="77"/>
      <c r="BA1008" s="77"/>
      <c r="BB1008" s="77"/>
      <c r="BC1008" s="77"/>
      <c r="BD1008" s="77"/>
      <c r="BE1008" s="77"/>
      <c r="BF1008" s="77"/>
      <c r="BG1008" s="77"/>
      <c r="BH1008" s="77"/>
      <c r="BI1008" s="77"/>
      <c r="BJ1008" s="77"/>
      <c r="BK1008" s="77"/>
      <c r="BL1008" s="77"/>
      <c r="BM1008" s="77"/>
    </row>
    <row r="1009">
      <c r="A1009" s="100" t="s">
        <v>69</v>
      </c>
      <c r="B1009" s="100" t="b">
        <v>0</v>
      </c>
      <c r="C1009" s="100" t="b">
        <v>0</v>
      </c>
      <c r="D1009" s="42"/>
      <c r="E1009" s="43"/>
      <c r="F1009" s="101"/>
      <c r="G1009" s="102"/>
      <c r="H1009" s="103"/>
      <c r="I1009" s="103"/>
      <c r="J1009" s="104"/>
      <c r="K1009" s="102"/>
      <c r="L1009" s="102"/>
      <c r="M1009" s="105"/>
      <c r="N1009" s="105"/>
      <c r="O1009" s="103"/>
      <c r="P1009" s="103"/>
      <c r="Q1009" s="103"/>
      <c r="R1009" s="103"/>
      <c r="S1009" s="103"/>
      <c r="T1009" s="103"/>
      <c r="U1009" s="103"/>
      <c r="V1009" s="103"/>
      <c r="W1009" s="103"/>
      <c r="X1009" s="103"/>
      <c r="Y1009" s="70"/>
      <c r="Z1009" s="70"/>
      <c r="AA1009" s="70"/>
      <c r="AB1009" s="70"/>
      <c r="AC1009" s="70"/>
      <c r="AD1009" s="70"/>
      <c r="AE1009" s="70"/>
      <c r="AF1009" s="70"/>
      <c r="AG1009" s="70"/>
      <c r="AH1009" s="70"/>
      <c r="AI1009" s="70"/>
      <c r="AJ1009" s="70"/>
      <c r="AK1009" s="70"/>
      <c r="AL1009" s="70"/>
      <c r="AM1009" s="70"/>
      <c r="AN1009" s="70"/>
      <c r="AO1009" s="70"/>
      <c r="AP1009" s="70"/>
      <c r="AQ1009" s="77"/>
      <c r="AR1009" s="77"/>
      <c r="AS1009" s="77"/>
      <c r="AT1009" s="77"/>
      <c r="AU1009" s="77"/>
      <c r="AV1009" s="77"/>
      <c r="AW1009" s="77"/>
      <c r="AX1009" s="77"/>
      <c r="AY1009" s="77"/>
      <c r="AZ1009" s="77"/>
      <c r="BA1009" s="77"/>
      <c r="BB1009" s="77"/>
      <c r="BC1009" s="77"/>
      <c r="BD1009" s="77"/>
      <c r="BE1009" s="77"/>
      <c r="BF1009" s="77"/>
      <c r="BG1009" s="77"/>
      <c r="BH1009" s="77"/>
      <c r="BI1009" s="77"/>
      <c r="BJ1009" s="77"/>
      <c r="BK1009" s="77"/>
      <c r="BL1009" s="77"/>
      <c r="BM1009" s="77"/>
    </row>
    <row r="1010">
      <c r="A1010" s="99" t="s">
        <v>69</v>
      </c>
      <c r="B1010" s="99" t="b">
        <v>0</v>
      </c>
      <c r="C1010" s="99" t="b">
        <v>0</v>
      </c>
      <c r="D1010" s="80"/>
      <c r="E1010" s="81"/>
      <c r="F1010" s="106"/>
      <c r="G1010" s="107"/>
      <c r="H1010" s="108"/>
      <c r="I1010" s="108"/>
      <c r="J1010" s="109"/>
      <c r="K1010" s="107"/>
      <c r="L1010" s="107"/>
      <c r="M1010" s="110"/>
      <c r="N1010" s="110"/>
      <c r="O1010" s="108"/>
      <c r="P1010" s="108"/>
      <c r="Q1010" s="108"/>
      <c r="R1010" s="108"/>
      <c r="S1010" s="108"/>
      <c r="T1010" s="108"/>
      <c r="U1010" s="108"/>
      <c r="V1010" s="108"/>
      <c r="W1010" s="108"/>
      <c r="X1010" s="108"/>
      <c r="Y1010" s="70"/>
      <c r="Z1010" s="70"/>
      <c r="AA1010" s="70"/>
      <c r="AB1010" s="70"/>
      <c r="AC1010" s="70"/>
      <c r="AD1010" s="70"/>
      <c r="AE1010" s="70"/>
      <c r="AF1010" s="70"/>
      <c r="AG1010" s="70"/>
      <c r="AH1010" s="70"/>
      <c r="AI1010" s="70"/>
      <c r="AJ1010" s="70"/>
      <c r="AK1010" s="70"/>
      <c r="AL1010" s="70"/>
      <c r="AM1010" s="70"/>
      <c r="AN1010" s="70"/>
      <c r="AO1010" s="70"/>
      <c r="AP1010" s="70"/>
      <c r="AQ1010" s="77"/>
      <c r="AR1010" s="77"/>
      <c r="AS1010" s="77"/>
      <c r="AT1010" s="77"/>
      <c r="AU1010" s="77"/>
      <c r="AV1010" s="77"/>
      <c r="AW1010" s="77"/>
      <c r="AX1010" s="77"/>
      <c r="AY1010" s="77"/>
      <c r="AZ1010" s="77"/>
      <c r="BA1010" s="77"/>
      <c r="BB1010" s="77"/>
      <c r="BC1010" s="77"/>
      <c r="BD1010" s="77"/>
      <c r="BE1010" s="77"/>
      <c r="BF1010" s="77"/>
      <c r="BG1010" s="77"/>
      <c r="BH1010" s="77"/>
      <c r="BI1010" s="77"/>
      <c r="BJ1010" s="77"/>
      <c r="BK1010" s="77"/>
      <c r="BL1010" s="77"/>
      <c r="BM1010" s="77"/>
    </row>
    <row r="1011">
      <c r="A1011" s="100" t="s">
        <v>69</v>
      </c>
      <c r="B1011" s="100" t="b">
        <v>0</v>
      </c>
      <c r="C1011" s="100" t="b">
        <v>0</v>
      </c>
      <c r="D1011" s="42"/>
      <c r="E1011" s="43"/>
      <c r="F1011" s="101"/>
      <c r="G1011" s="102"/>
      <c r="H1011" s="103"/>
      <c r="I1011" s="103"/>
      <c r="J1011" s="104"/>
      <c r="K1011" s="102"/>
      <c r="L1011" s="102"/>
      <c r="M1011" s="105"/>
      <c r="N1011" s="105"/>
      <c r="O1011" s="103"/>
      <c r="P1011" s="103"/>
      <c r="Q1011" s="103"/>
      <c r="R1011" s="103"/>
      <c r="S1011" s="103"/>
      <c r="T1011" s="103"/>
      <c r="U1011" s="103"/>
      <c r="V1011" s="103"/>
      <c r="W1011" s="103"/>
      <c r="X1011" s="103"/>
      <c r="Y1011" s="70"/>
      <c r="Z1011" s="70"/>
      <c r="AA1011" s="70"/>
      <c r="AB1011" s="70"/>
      <c r="AC1011" s="70"/>
      <c r="AD1011" s="70"/>
      <c r="AE1011" s="70"/>
      <c r="AF1011" s="70"/>
      <c r="AG1011" s="70"/>
      <c r="AH1011" s="70"/>
      <c r="AI1011" s="70"/>
      <c r="AJ1011" s="70"/>
      <c r="AK1011" s="70"/>
      <c r="AL1011" s="70"/>
      <c r="AM1011" s="70"/>
      <c r="AN1011" s="70"/>
      <c r="AO1011" s="70"/>
      <c r="AP1011" s="70"/>
      <c r="AQ1011" s="77"/>
      <c r="AR1011" s="77"/>
      <c r="AS1011" s="77"/>
      <c r="AT1011" s="77"/>
      <c r="AU1011" s="77"/>
      <c r="AV1011" s="77"/>
      <c r="AW1011" s="77"/>
      <c r="AX1011" s="77"/>
      <c r="AY1011" s="77"/>
      <c r="AZ1011" s="77"/>
      <c r="BA1011" s="77"/>
      <c r="BB1011" s="77"/>
      <c r="BC1011" s="77"/>
      <c r="BD1011" s="77"/>
      <c r="BE1011" s="77"/>
      <c r="BF1011" s="77"/>
      <c r="BG1011" s="77"/>
      <c r="BH1011" s="77"/>
      <c r="BI1011" s="77"/>
      <c r="BJ1011" s="77"/>
      <c r="BK1011" s="77"/>
      <c r="BL1011" s="77"/>
      <c r="BM1011" s="77"/>
    </row>
    <row r="1012">
      <c r="A1012" s="99" t="s">
        <v>69</v>
      </c>
      <c r="B1012" s="99" t="b">
        <v>0</v>
      </c>
      <c r="C1012" s="99" t="b">
        <v>0</v>
      </c>
      <c r="D1012" s="80"/>
      <c r="E1012" s="81"/>
      <c r="F1012" s="106"/>
      <c r="G1012" s="107"/>
      <c r="H1012" s="108"/>
      <c r="I1012" s="108"/>
      <c r="J1012" s="109"/>
      <c r="K1012" s="107"/>
      <c r="L1012" s="107"/>
      <c r="M1012" s="110"/>
      <c r="N1012" s="110"/>
      <c r="O1012" s="108"/>
      <c r="P1012" s="108"/>
      <c r="Q1012" s="108"/>
      <c r="R1012" s="108"/>
      <c r="S1012" s="108"/>
      <c r="T1012" s="108"/>
      <c r="U1012" s="108"/>
      <c r="V1012" s="108"/>
      <c r="W1012" s="108"/>
      <c r="X1012" s="108"/>
      <c r="Y1012" s="70"/>
      <c r="Z1012" s="70"/>
      <c r="AA1012" s="70"/>
      <c r="AB1012" s="70"/>
      <c r="AC1012" s="70"/>
      <c r="AD1012" s="70"/>
      <c r="AE1012" s="70"/>
      <c r="AF1012" s="70"/>
      <c r="AG1012" s="70"/>
      <c r="AH1012" s="70"/>
      <c r="AI1012" s="70"/>
      <c r="AJ1012" s="70"/>
      <c r="AK1012" s="70"/>
      <c r="AL1012" s="70"/>
      <c r="AM1012" s="70"/>
      <c r="AN1012" s="70"/>
      <c r="AO1012" s="70"/>
      <c r="AP1012" s="70"/>
      <c r="AQ1012" s="77"/>
      <c r="AR1012" s="77"/>
      <c r="AS1012" s="77"/>
      <c r="AT1012" s="77"/>
      <c r="AU1012" s="77"/>
      <c r="AV1012" s="77"/>
      <c r="AW1012" s="77"/>
      <c r="AX1012" s="77"/>
      <c r="AY1012" s="77"/>
      <c r="AZ1012" s="77"/>
      <c r="BA1012" s="77"/>
      <c r="BB1012" s="77"/>
      <c r="BC1012" s="77"/>
      <c r="BD1012" s="77"/>
      <c r="BE1012" s="77"/>
      <c r="BF1012" s="77"/>
      <c r="BG1012" s="77"/>
      <c r="BH1012" s="77"/>
      <c r="BI1012" s="77"/>
      <c r="BJ1012" s="77"/>
      <c r="BK1012" s="77"/>
      <c r="BL1012" s="77"/>
      <c r="BM1012" s="77"/>
    </row>
    <row r="1013">
      <c r="A1013" s="100" t="s">
        <v>69</v>
      </c>
      <c r="B1013" s="100" t="b">
        <v>0</v>
      </c>
      <c r="C1013" s="100" t="b">
        <v>0</v>
      </c>
      <c r="D1013" s="42"/>
      <c r="E1013" s="43"/>
      <c r="F1013" s="101"/>
      <c r="G1013" s="102"/>
      <c r="H1013" s="103"/>
      <c r="I1013" s="103"/>
      <c r="J1013" s="104"/>
      <c r="K1013" s="102"/>
      <c r="L1013" s="102"/>
      <c r="M1013" s="105"/>
      <c r="N1013" s="105"/>
      <c r="O1013" s="103"/>
      <c r="P1013" s="103"/>
      <c r="Q1013" s="103"/>
      <c r="R1013" s="103"/>
      <c r="S1013" s="103"/>
      <c r="T1013" s="103"/>
      <c r="U1013" s="103"/>
      <c r="V1013" s="103"/>
      <c r="W1013" s="103"/>
      <c r="X1013" s="103"/>
      <c r="Y1013" s="70"/>
      <c r="Z1013" s="70"/>
      <c r="AA1013" s="70"/>
      <c r="AB1013" s="70"/>
      <c r="AC1013" s="70"/>
      <c r="AD1013" s="70"/>
      <c r="AE1013" s="70"/>
      <c r="AF1013" s="70"/>
      <c r="AG1013" s="70"/>
      <c r="AH1013" s="70"/>
      <c r="AI1013" s="70"/>
      <c r="AJ1013" s="70"/>
      <c r="AK1013" s="70"/>
      <c r="AL1013" s="70"/>
      <c r="AM1013" s="70"/>
      <c r="AN1013" s="70"/>
      <c r="AO1013" s="70"/>
      <c r="AP1013" s="70"/>
      <c r="AQ1013" s="77"/>
      <c r="AR1013" s="77"/>
      <c r="AS1013" s="77"/>
      <c r="AT1013" s="77"/>
      <c r="AU1013" s="77"/>
      <c r="AV1013" s="77"/>
      <c r="AW1013" s="77"/>
      <c r="AX1013" s="77"/>
      <c r="AY1013" s="77"/>
      <c r="AZ1013" s="77"/>
      <c r="BA1013" s="77"/>
      <c r="BB1013" s="77"/>
      <c r="BC1013" s="77"/>
      <c r="BD1013" s="77"/>
      <c r="BE1013" s="77"/>
      <c r="BF1013" s="77"/>
      <c r="BG1013" s="77"/>
      <c r="BH1013" s="77"/>
      <c r="BI1013" s="77"/>
      <c r="BJ1013" s="77"/>
      <c r="BK1013" s="77"/>
      <c r="BL1013" s="77"/>
      <c r="BM1013" s="77"/>
    </row>
    <row r="1014">
      <c r="A1014" s="99" t="s">
        <v>69</v>
      </c>
      <c r="B1014" s="99" t="b">
        <v>0</v>
      </c>
      <c r="C1014" s="99" t="b">
        <v>0</v>
      </c>
      <c r="D1014" s="80"/>
      <c r="E1014" s="81"/>
      <c r="F1014" s="106"/>
      <c r="G1014" s="107"/>
      <c r="H1014" s="108"/>
      <c r="I1014" s="108"/>
      <c r="J1014" s="109"/>
      <c r="K1014" s="107"/>
      <c r="L1014" s="107"/>
      <c r="M1014" s="110"/>
      <c r="N1014" s="110"/>
      <c r="O1014" s="108"/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70"/>
      <c r="Z1014" s="70"/>
      <c r="AA1014" s="70"/>
      <c r="AB1014" s="70"/>
      <c r="AC1014" s="70"/>
      <c r="AD1014" s="70"/>
      <c r="AE1014" s="70"/>
      <c r="AF1014" s="70"/>
      <c r="AG1014" s="70"/>
      <c r="AH1014" s="70"/>
      <c r="AI1014" s="70"/>
      <c r="AJ1014" s="70"/>
      <c r="AK1014" s="70"/>
      <c r="AL1014" s="70"/>
      <c r="AM1014" s="70"/>
      <c r="AN1014" s="70"/>
      <c r="AO1014" s="70"/>
      <c r="AP1014" s="70"/>
      <c r="AQ1014" s="77"/>
      <c r="AR1014" s="77"/>
      <c r="AS1014" s="77"/>
      <c r="AT1014" s="77"/>
      <c r="AU1014" s="77"/>
      <c r="AV1014" s="77"/>
      <c r="AW1014" s="77"/>
      <c r="AX1014" s="77"/>
      <c r="AY1014" s="77"/>
      <c r="AZ1014" s="77"/>
      <c r="BA1014" s="77"/>
      <c r="BB1014" s="77"/>
      <c r="BC1014" s="77"/>
      <c r="BD1014" s="77"/>
      <c r="BE1014" s="77"/>
      <c r="BF1014" s="77"/>
      <c r="BG1014" s="77"/>
      <c r="BH1014" s="77"/>
      <c r="BI1014" s="77"/>
      <c r="BJ1014" s="77"/>
      <c r="BK1014" s="77"/>
      <c r="BL1014" s="77"/>
      <c r="BM1014" s="77"/>
    </row>
    <row r="1015">
      <c r="A1015" s="100" t="s">
        <v>69</v>
      </c>
      <c r="B1015" s="100" t="b">
        <v>0</v>
      </c>
      <c r="C1015" s="100" t="b">
        <v>0</v>
      </c>
      <c r="D1015" s="42"/>
      <c r="E1015" s="43"/>
      <c r="F1015" s="101"/>
      <c r="G1015" s="102"/>
      <c r="H1015" s="103"/>
      <c r="I1015" s="103"/>
      <c r="J1015" s="104"/>
      <c r="K1015" s="102"/>
      <c r="L1015" s="102"/>
      <c r="M1015" s="105"/>
      <c r="N1015" s="105"/>
      <c r="O1015" s="103"/>
      <c r="P1015" s="103"/>
      <c r="Q1015" s="103"/>
      <c r="R1015" s="103"/>
      <c r="S1015" s="103"/>
      <c r="T1015" s="103"/>
      <c r="U1015" s="103"/>
      <c r="V1015" s="103"/>
      <c r="W1015" s="103"/>
      <c r="X1015" s="103"/>
      <c r="Y1015" s="70"/>
      <c r="Z1015" s="70"/>
      <c r="AA1015" s="70"/>
      <c r="AB1015" s="70"/>
      <c r="AC1015" s="70"/>
      <c r="AD1015" s="70"/>
      <c r="AE1015" s="70"/>
      <c r="AF1015" s="70"/>
      <c r="AG1015" s="70"/>
      <c r="AH1015" s="70"/>
      <c r="AI1015" s="70"/>
      <c r="AJ1015" s="70"/>
      <c r="AK1015" s="70"/>
      <c r="AL1015" s="70"/>
      <c r="AM1015" s="70"/>
      <c r="AN1015" s="70"/>
      <c r="AO1015" s="70"/>
      <c r="AP1015" s="70"/>
      <c r="AQ1015" s="77"/>
      <c r="AR1015" s="77"/>
      <c r="AS1015" s="77"/>
      <c r="AT1015" s="77"/>
      <c r="AU1015" s="77"/>
      <c r="AV1015" s="77"/>
      <c r="AW1015" s="77"/>
      <c r="AX1015" s="77"/>
      <c r="AY1015" s="77"/>
      <c r="AZ1015" s="77"/>
      <c r="BA1015" s="77"/>
      <c r="BB1015" s="77"/>
      <c r="BC1015" s="77"/>
      <c r="BD1015" s="77"/>
      <c r="BE1015" s="77"/>
      <c r="BF1015" s="77"/>
      <c r="BG1015" s="77"/>
      <c r="BH1015" s="77"/>
      <c r="BI1015" s="77"/>
      <c r="BJ1015" s="77"/>
      <c r="BK1015" s="77"/>
      <c r="BL1015" s="77"/>
      <c r="BM1015" s="77"/>
    </row>
    <row r="1016">
      <c r="A1016" s="99" t="s">
        <v>69</v>
      </c>
      <c r="B1016" s="99" t="b">
        <v>0</v>
      </c>
      <c r="C1016" s="99" t="b">
        <v>0</v>
      </c>
      <c r="D1016" s="80"/>
      <c r="E1016" s="81"/>
      <c r="F1016" s="106"/>
      <c r="G1016" s="107"/>
      <c r="H1016" s="108"/>
      <c r="I1016" s="108"/>
      <c r="J1016" s="109"/>
      <c r="K1016" s="107"/>
      <c r="L1016" s="107"/>
      <c r="M1016" s="110"/>
      <c r="N1016" s="110"/>
      <c r="O1016" s="108"/>
      <c r="P1016" s="108"/>
      <c r="Q1016" s="108"/>
      <c r="R1016" s="108"/>
      <c r="S1016" s="108"/>
      <c r="T1016" s="108"/>
      <c r="U1016" s="108"/>
      <c r="V1016" s="108"/>
      <c r="W1016" s="108"/>
      <c r="X1016" s="108"/>
      <c r="Y1016" s="70"/>
      <c r="Z1016" s="70"/>
      <c r="AA1016" s="70"/>
      <c r="AB1016" s="70"/>
      <c r="AC1016" s="70"/>
      <c r="AD1016" s="70"/>
      <c r="AE1016" s="70"/>
      <c r="AF1016" s="70"/>
      <c r="AG1016" s="70"/>
      <c r="AH1016" s="70"/>
      <c r="AI1016" s="70"/>
      <c r="AJ1016" s="70"/>
      <c r="AK1016" s="70"/>
      <c r="AL1016" s="70"/>
      <c r="AM1016" s="70"/>
      <c r="AN1016" s="70"/>
      <c r="AO1016" s="70"/>
      <c r="AP1016" s="70"/>
      <c r="AQ1016" s="77"/>
      <c r="AR1016" s="77"/>
      <c r="AS1016" s="77"/>
      <c r="AT1016" s="77"/>
      <c r="AU1016" s="77"/>
      <c r="AV1016" s="77"/>
      <c r="AW1016" s="77"/>
      <c r="AX1016" s="77"/>
      <c r="AY1016" s="77"/>
      <c r="AZ1016" s="77"/>
      <c r="BA1016" s="77"/>
      <c r="BB1016" s="77"/>
      <c r="BC1016" s="77"/>
      <c r="BD1016" s="77"/>
      <c r="BE1016" s="77"/>
      <c r="BF1016" s="77"/>
      <c r="BG1016" s="77"/>
      <c r="BH1016" s="77"/>
      <c r="BI1016" s="77"/>
      <c r="BJ1016" s="77"/>
      <c r="BK1016" s="77"/>
      <c r="BL1016" s="77"/>
      <c r="BM1016" s="77"/>
    </row>
    <row r="1017">
      <c r="A1017" s="100" t="s">
        <v>69</v>
      </c>
      <c r="B1017" s="100" t="b">
        <v>0</v>
      </c>
      <c r="C1017" s="100" t="b">
        <v>0</v>
      </c>
      <c r="D1017" s="42"/>
      <c r="E1017" s="43"/>
      <c r="F1017" s="101"/>
      <c r="G1017" s="102"/>
      <c r="H1017" s="103"/>
      <c r="I1017" s="103"/>
      <c r="J1017" s="104"/>
      <c r="K1017" s="102"/>
      <c r="L1017" s="102"/>
      <c r="M1017" s="105"/>
      <c r="N1017" s="105"/>
      <c r="O1017" s="103"/>
      <c r="P1017" s="103"/>
      <c r="Q1017" s="103"/>
      <c r="R1017" s="103"/>
      <c r="S1017" s="103"/>
      <c r="T1017" s="103"/>
      <c r="U1017" s="103"/>
      <c r="V1017" s="103"/>
      <c r="W1017" s="103"/>
      <c r="X1017" s="103"/>
      <c r="Y1017" s="70"/>
      <c r="Z1017" s="70"/>
      <c r="AA1017" s="70"/>
      <c r="AB1017" s="70"/>
      <c r="AC1017" s="70"/>
      <c r="AD1017" s="70"/>
      <c r="AE1017" s="70"/>
      <c r="AF1017" s="70"/>
      <c r="AG1017" s="70"/>
      <c r="AH1017" s="70"/>
      <c r="AI1017" s="70"/>
      <c r="AJ1017" s="70"/>
      <c r="AK1017" s="70"/>
      <c r="AL1017" s="70"/>
      <c r="AM1017" s="70"/>
      <c r="AN1017" s="70"/>
      <c r="AO1017" s="70"/>
      <c r="AP1017" s="70"/>
      <c r="AQ1017" s="77"/>
      <c r="AR1017" s="77"/>
      <c r="AS1017" s="77"/>
      <c r="AT1017" s="77"/>
      <c r="AU1017" s="77"/>
      <c r="AV1017" s="77"/>
      <c r="AW1017" s="77"/>
      <c r="AX1017" s="77"/>
      <c r="AY1017" s="77"/>
      <c r="AZ1017" s="77"/>
      <c r="BA1017" s="77"/>
      <c r="BB1017" s="77"/>
      <c r="BC1017" s="77"/>
      <c r="BD1017" s="77"/>
      <c r="BE1017" s="77"/>
      <c r="BF1017" s="77"/>
      <c r="BG1017" s="77"/>
      <c r="BH1017" s="77"/>
      <c r="BI1017" s="77"/>
      <c r="BJ1017" s="77"/>
      <c r="BK1017" s="77"/>
      <c r="BL1017" s="77"/>
      <c r="BM1017" s="77"/>
    </row>
    <row r="1018">
      <c r="A1018" s="99" t="s">
        <v>69</v>
      </c>
      <c r="B1018" s="99" t="b">
        <v>0</v>
      </c>
      <c r="C1018" s="99" t="b">
        <v>0</v>
      </c>
      <c r="D1018" s="80"/>
      <c r="E1018" s="81"/>
      <c r="F1018" s="106"/>
      <c r="G1018" s="107"/>
      <c r="H1018" s="108"/>
      <c r="I1018" s="108"/>
      <c r="J1018" s="109"/>
      <c r="K1018" s="107"/>
      <c r="L1018" s="107"/>
      <c r="M1018" s="110"/>
      <c r="N1018" s="110"/>
      <c r="O1018" s="108"/>
      <c r="P1018" s="108"/>
      <c r="Q1018" s="108"/>
      <c r="R1018" s="108"/>
      <c r="S1018" s="108"/>
      <c r="T1018" s="108"/>
      <c r="U1018" s="108"/>
      <c r="V1018" s="108"/>
      <c r="W1018" s="108"/>
      <c r="X1018" s="108"/>
      <c r="Y1018" s="70"/>
      <c r="Z1018" s="70"/>
      <c r="AA1018" s="70"/>
      <c r="AB1018" s="70"/>
      <c r="AC1018" s="70"/>
      <c r="AD1018" s="70"/>
      <c r="AE1018" s="70"/>
      <c r="AF1018" s="70"/>
      <c r="AG1018" s="70"/>
      <c r="AH1018" s="70"/>
      <c r="AI1018" s="70"/>
      <c r="AJ1018" s="70"/>
      <c r="AK1018" s="70"/>
      <c r="AL1018" s="70"/>
      <c r="AM1018" s="70"/>
      <c r="AN1018" s="70"/>
      <c r="AO1018" s="70"/>
      <c r="AP1018" s="70"/>
      <c r="AQ1018" s="77"/>
      <c r="AR1018" s="77"/>
      <c r="AS1018" s="77"/>
      <c r="AT1018" s="77"/>
      <c r="AU1018" s="77"/>
      <c r="AV1018" s="77"/>
      <c r="AW1018" s="77"/>
      <c r="AX1018" s="77"/>
      <c r="AY1018" s="77"/>
      <c r="AZ1018" s="77"/>
      <c r="BA1018" s="77"/>
      <c r="BB1018" s="77"/>
      <c r="BC1018" s="77"/>
      <c r="BD1018" s="77"/>
      <c r="BE1018" s="77"/>
      <c r="BF1018" s="77"/>
      <c r="BG1018" s="77"/>
      <c r="BH1018" s="77"/>
      <c r="BI1018" s="77"/>
      <c r="BJ1018" s="77"/>
      <c r="BK1018" s="77"/>
      <c r="BL1018" s="77"/>
      <c r="BM1018" s="77"/>
    </row>
    <row r="1019">
      <c r="A1019" s="100" t="s">
        <v>69</v>
      </c>
      <c r="B1019" s="100" t="b">
        <v>0</v>
      </c>
      <c r="C1019" s="100" t="b">
        <v>0</v>
      </c>
      <c r="D1019" s="42"/>
      <c r="E1019" s="43"/>
      <c r="F1019" s="101"/>
      <c r="G1019" s="102"/>
      <c r="H1019" s="103"/>
      <c r="I1019" s="103"/>
      <c r="J1019" s="104"/>
      <c r="K1019" s="102"/>
      <c r="L1019" s="102"/>
      <c r="M1019" s="105"/>
      <c r="N1019" s="105"/>
      <c r="O1019" s="103"/>
      <c r="P1019" s="103"/>
      <c r="Q1019" s="103"/>
      <c r="R1019" s="103"/>
      <c r="S1019" s="103"/>
      <c r="T1019" s="103"/>
      <c r="U1019" s="103"/>
      <c r="V1019" s="103"/>
      <c r="W1019" s="103"/>
      <c r="X1019" s="103"/>
      <c r="Y1019" s="70"/>
      <c r="Z1019" s="70"/>
      <c r="AA1019" s="70"/>
      <c r="AB1019" s="70"/>
      <c r="AC1019" s="70"/>
      <c r="AD1019" s="70"/>
      <c r="AE1019" s="70"/>
      <c r="AF1019" s="70"/>
      <c r="AG1019" s="70"/>
      <c r="AH1019" s="70"/>
      <c r="AI1019" s="70"/>
      <c r="AJ1019" s="70"/>
      <c r="AK1019" s="70"/>
      <c r="AL1019" s="70"/>
      <c r="AM1019" s="70"/>
      <c r="AN1019" s="70"/>
      <c r="AO1019" s="70"/>
      <c r="AP1019" s="70"/>
      <c r="AQ1019" s="77"/>
      <c r="AR1019" s="77"/>
      <c r="AS1019" s="77"/>
      <c r="AT1019" s="77"/>
      <c r="AU1019" s="77"/>
      <c r="AV1019" s="77"/>
      <c r="AW1019" s="77"/>
      <c r="AX1019" s="77"/>
      <c r="AY1019" s="77"/>
      <c r="AZ1019" s="77"/>
      <c r="BA1019" s="77"/>
      <c r="BB1019" s="77"/>
      <c r="BC1019" s="77"/>
      <c r="BD1019" s="77"/>
      <c r="BE1019" s="77"/>
      <c r="BF1019" s="77"/>
      <c r="BG1019" s="77"/>
      <c r="BH1019" s="77"/>
      <c r="BI1019" s="77"/>
      <c r="BJ1019" s="77"/>
      <c r="BK1019" s="77"/>
      <c r="BL1019" s="77"/>
      <c r="BM1019" s="77"/>
    </row>
    <row r="1020">
      <c r="A1020" s="99" t="s">
        <v>69</v>
      </c>
      <c r="B1020" s="99" t="b">
        <v>0</v>
      </c>
      <c r="C1020" s="99" t="b">
        <v>0</v>
      </c>
      <c r="D1020" s="80"/>
      <c r="E1020" s="81"/>
      <c r="F1020" s="106"/>
      <c r="G1020" s="107"/>
      <c r="H1020" s="108"/>
      <c r="I1020" s="108"/>
      <c r="J1020" s="109"/>
      <c r="K1020" s="107"/>
      <c r="L1020" s="107"/>
      <c r="M1020" s="110"/>
      <c r="N1020" s="110"/>
      <c r="O1020" s="108"/>
      <c r="P1020" s="108"/>
      <c r="Q1020" s="108"/>
      <c r="R1020" s="108"/>
      <c r="S1020" s="108"/>
      <c r="T1020" s="108"/>
      <c r="U1020" s="108"/>
      <c r="V1020" s="108"/>
      <c r="W1020" s="108"/>
      <c r="X1020" s="108"/>
      <c r="Y1020" s="70"/>
      <c r="Z1020" s="70"/>
      <c r="AA1020" s="70"/>
      <c r="AB1020" s="70"/>
      <c r="AC1020" s="70"/>
      <c r="AD1020" s="70"/>
      <c r="AE1020" s="70"/>
      <c r="AF1020" s="70"/>
      <c r="AG1020" s="70"/>
      <c r="AH1020" s="70"/>
      <c r="AI1020" s="70"/>
      <c r="AJ1020" s="70"/>
      <c r="AK1020" s="70"/>
      <c r="AL1020" s="70"/>
      <c r="AM1020" s="70"/>
      <c r="AN1020" s="70"/>
      <c r="AO1020" s="70"/>
      <c r="AP1020" s="70"/>
      <c r="AQ1020" s="77"/>
      <c r="AR1020" s="77"/>
      <c r="AS1020" s="77"/>
      <c r="AT1020" s="77"/>
      <c r="AU1020" s="77"/>
      <c r="AV1020" s="77"/>
      <c r="AW1020" s="77"/>
      <c r="AX1020" s="77"/>
      <c r="AY1020" s="77"/>
      <c r="AZ1020" s="77"/>
      <c r="BA1020" s="77"/>
      <c r="BB1020" s="77"/>
      <c r="BC1020" s="77"/>
      <c r="BD1020" s="77"/>
      <c r="BE1020" s="77"/>
      <c r="BF1020" s="77"/>
      <c r="BG1020" s="77"/>
      <c r="BH1020" s="77"/>
      <c r="BI1020" s="77"/>
      <c r="BJ1020" s="77"/>
      <c r="BK1020" s="77"/>
      <c r="BL1020" s="77"/>
      <c r="BM1020" s="77"/>
    </row>
    <row r="1021">
      <c r="A1021" s="100" t="s">
        <v>69</v>
      </c>
      <c r="B1021" s="100" t="b">
        <v>0</v>
      </c>
      <c r="C1021" s="100" t="b">
        <v>0</v>
      </c>
      <c r="D1021" s="42"/>
      <c r="E1021" s="43"/>
      <c r="F1021" s="101"/>
      <c r="G1021" s="102"/>
      <c r="H1021" s="103"/>
      <c r="I1021" s="103"/>
      <c r="J1021" s="104"/>
      <c r="K1021" s="102"/>
      <c r="L1021" s="102"/>
      <c r="M1021" s="105"/>
      <c r="N1021" s="105"/>
      <c r="O1021" s="103"/>
      <c r="P1021" s="103"/>
      <c r="Q1021" s="103"/>
      <c r="R1021" s="103"/>
      <c r="S1021" s="103"/>
      <c r="T1021" s="103"/>
      <c r="U1021" s="103"/>
      <c r="V1021" s="103"/>
      <c r="W1021" s="103"/>
      <c r="X1021" s="103"/>
      <c r="Y1021" s="70"/>
      <c r="Z1021" s="70"/>
      <c r="AA1021" s="70"/>
      <c r="AB1021" s="70"/>
      <c r="AC1021" s="70"/>
      <c r="AD1021" s="70"/>
      <c r="AE1021" s="70"/>
      <c r="AF1021" s="70"/>
      <c r="AG1021" s="70"/>
      <c r="AH1021" s="70"/>
      <c r="AI1021" s="70"/>
      <c r="AJ1021" s="70"/>
      <c r="AK1021" s="70"/>
      <c r="AL1021" s="70"/>
      <c r="AM1021" s="70"/>
      <c r="AN1021" s="70"/>
      <c r="AO1021" s="70"/>
      <c r="AP1021" s="70"/>
      <c r="AQ1021" s="77"/>
      <c r="AR1021" s="77"/>
      <c r="AS1021" s="77"/>
      <c r="AT1021" s="77"/>
      <c r="AU1021" s="77"/>
      <c r="AV1021" s="77"/>
      <c r="AW1021" s="77"/>
      <c r="AX1021" s="77"/>
      <c r="AY1021" s="77"/>
      <c r="AZ1021" s="77"/>
      <c r="BA1021" s="77"/>
      <c r="BB1021" s="77"/>
      <c r="BC1021" s="77"/>
      <c r="BD1021" s="77"/>
      <c r="BE1021" s="77"/>
      <c r="BF1021" s="77"/>
      <c r="BG1021" s="77"/>
      <c r="BH1021" s="77"/>
      <c r="BI1021" s="77"/>
      <c r="BJ1021" s="77"/>
      <c r="BK1021" s="77"/>
      <c r="BL1021" s="77"/>
      <c r="BM1021" s="77"/>
    </row>
    <row r="1022">
      <c r="A1022" s="99" t="s">
        <v>69</v>
      </c>
      <c r="B1022" s="99" t="b">
        <v>0</v>
      </c>
      <c r="C1022" s="99" t="b">
        <v>0</v>
      </c>
      <c r="D1022" s="80"/>
      <c r="E1022" s="81"/>
      <c r="F1022" s="106"/>
      <c r="G1022" s="107"/>
      <c r="H1022" s="108"/>
      <c r="I1022" s="108"/>
      <c r="J1022" s="109"/>
      <c r="K1022" s="107"/>
      <c r="L1022" s="107"/>
      <c r="M1022" s="110"/>
      <c r="N1022" s="110"/>
      <c r="O1022" s="108"/>
      <c r="P1022" s="108"/>
      <c r="Q1022" s="108"/>
      <c r="R1022" s="108"/>
      <c r="S1022" s="108"/>
      <c r="T1022" s="108"/>
      <c r="U1022" s="108"/>
      <c r="V1022" s="108"/>
      <c r="W1022" s="108"/>
      <c r="X1022" s="108"/>
      <c r="Y1022" s="70"/>
      <c r="Z1022" s="70"/>
      <c r="AA1022" s="70"/>
      <c r="AB1022" s="70"/>
      <c r="AC1022" s="70"/>
      <c r="AD1022" s="70"/>
      <c r="AE1022" s="70"/>
      <c r="AF1022" s="70"/>
      <c r="AG1022" s="70"/>
      <c r="AH1022" s="70"/>
      <c r="AI1022" s="70"/>
      <c r="AJ1022" s="70"/>
      <c r="AK1022" s="70"/>
      <c r="AL1022" s="70"/>
      <c r="AM1022" s="70"/>
      <c r="AN1022" s="70"/>
      <c r="AO1022" s="70"/>
      <c r="AP1022" s="70"/>
      <c r="AQ1022" s="77"/>
      <c r="AR1022" s="77"/>
      <c r="AS1022" s="77"/>
      <c r="AT1022" s="77"/>
      <c r="AU1022" s="77"/>
      <c r="AV1022" s="77"/>
      <c r="AW1022" s="77"/>
      <c r="AX1022" s="77"/>
      <c r="AY1022" s="77"/>
      <c r="AZ1022" s="77"/>
      <c r="BA1022" s="77"/>
      <c r="BB1022" s="77"/>
      <c r="BC1022" s="77"/>
      <c r="BD1022" s="77"/>
      <c r="BE1022" s="77"/>
      <c r="BF1022" s="77"/>
      <c r="BG1022" s="77"/>
      <c r="BH1022" s="77"/>
      <c r="BI1022" s="77"/>
      <c r="BJ1022" s="77"/>
      <c r="BK1022" s="77"/>
      <c r="BL1022" s="77"/>
      <c r="BM1022" s="77"/>
    </row>
    <row r="1023">
      <c r="A1023" s="100" t="s">
        <v>69</v>
      </c>
      <c r="B1023" s="100" t="b">
        <v>0</v>
      </c>
      <c r="C1023" s="100" t="b">
        <v>0</v>
      </c>
      <c r="D1023" s="42"/>
      <c r="E1023" s="43"/>
      <c r="F1023" s="101"/>
      <c r="G1023" s="102"/>
      <c r="H1023" s="103"/>
      <c r="I1023" s="103"/>
      <c r="J1023" s="104"/>
      <c r="K1023" s="102"/>
      <c r="L1023" s="102"/>
      <c r="M1023" s="105"/>
      <c r="N1023" s="105"/>
      <c r="O1023" s="103"/>
      <c r="P1023" s="103"/>
      <c r="Q1023" s="103"/>
      <c r="R1023" s="103"/>
      <c r="S1023" s="103"/>
      <c r="T1023" s="103"/>
      <c r="U1023" s="103"/>
      <c r="V1023" s="103"/>
      <c r="W1023" s="103"/>
      <c r="X1023" s="103"/>
      <c r="Y1023" s="70"/>
      <c r="Z1023" s="70"/>
      <c r="AA1023" s="70"/>
      <c r="AB1023" s="70"/>
      <c r="AC1023" s="70"/>
      <c r="AD1023" s="70"/>
      <c r="AE1023" s="70"/>
      <c r="AF1023" s="70"/>
      <c r="AG1023" s="70"/>
      <c r="AH1023" s="70"/>
      <c r="AI1023" s="70"/>
      <c r="AJ1023" s="70"/>
      <c r="AK1023" s="70"/>
      <c r="AL1023" s="70"/>
      <c r="AM1023" s="70"/>
      <c r="AN1023" s="70"/>
      <c r="AO1023" s="70"/>
      <c r="AP1023" s="70"/>
      <c r="AQ1023" s="77"/>
      <c r="AR1023" s="77"/>
      <c r="AS1023" s="77"/>
      <c r="AT1023" s="77"/>
      <c r="AU1023" s="77"/>
      <c r="AV1023" s="77"/>
      <c r="AW1023" s="77"/>
      <c r="AX1023" s="77"/>
      <c r="AY1023" s="77"/>
      <c r="AZ1023" s="77"/>
      <c r="BA1023" s="77"/>
      <c r="BB1023" s="77"/>
      <c r="BC1023" s="77"/>
      <c r="BD1023" s="77"/>
      <c r="BE1023" s="77"/>
      <c r="BF1023" s="77"/>
      <c r="BG1023" s="77"/>
      <c r="BH1023" s="77"/>
      <c r="BI1023" s="77"/>
      <c r="BJ1023" s="77"/>
      <c r="BK1023" s="77"/>
      <c r="BL1023" s="77"/>
      <c r="BM1023" s="77"/>
    </row>
    <row r="1024">
      <c r="A1024" s="99" t="s">
        <v>69</v>
      </c>
      <c r="B1024" s="99" t="b">
        <v>0</v>
      </c>
      <c r="C1024" s="99" t="b">
        <v>0</v>
      </c>
      <c r="D1024" s="80"/>
      <c r="E1024" s="81"/>
      <c r="F1024" s="106"/>
      <c r="G1024" s="107"/>
      <c r="H1024" s="108"/>
      <c r="I1024" s="108"/>
      <c r="J1024" s="109"/>
      <c r="K1024" s="107"/>
      <c r="L1024" s="107"/>
      <c r="M1024" s="110"/>
      <c r="N1024" s="110"/>
      <c r="O1024" s="108"/>
      <c r="P1024" s="108"/>
      <c r="Q1024" s="108"/>
      <c r="R1024" s="108"/>
      <c r="S1024" s="108"/>
      <c r="T1024" s="108"/>
      <c r="U1024" s="108"/>
      <c r="V1024" s="108"/>
      <c r="W1024" s="108"/>
      <c r="X1024" s="108"/>
      <c r="Y1024" s="70"/>
      <c r="Z1024" s="70"/>
      <c r="AA1024" s="70"/>
      <c r="AB1024" s="70"/>
      <c r="AC1024" s="70"/>
      <c r="AD1024" s="70"/>
      <c r="AE1024" s="70"/>
      <c r="AF1024" s="70"/>
      <c r="AG1024" s="70"/>
      <c r="AH1024" s="70"/>
      <c r="AI1024" s="70"/>
      <c r="AJ1024" s="70"/>
      <c r="AK1024" s="70"/>
      <c r="AL1024" s="70"/>
      <c r="AM1024" s="70"/>
      <c r="AN1024" s="70"/>
      <c r="AO1024" s="70"/>
      <c r="AP1024" s="70"/>
      <c r="AQ1024" s="77"/>
      <c r="AR1024" s="77"/>
      <c r="AS1024" s="77"/>
      <c r="AT1024" s="77"/>
      <c r="AU1024" s="77"/>
      <c r="AV1024" s="77"/>
      <c r="AW1024" s="77"/>
      <c r="AX1024" s="77"/>
      <c r="AY1024" s="77"/>
      <c r="AZ1024" s="77"/>
      <c r="BA1024" s="77"/>
      <c r="BB1024" s="77"/>
      <c r="BC1024" s="77"/>
      <c r="BD1024" s="77"/>
      <c r="BE1024" s="77"/>
      <c r="BF1024" s="77"/>
      <c r="BG1024" s="77"/>
      <c r="BH1024" s="77"/>
      <c r="BI1024" s="77"/>
      <c r="BJ1024" s="77"/>
      <c r="BK1024" s="77"/>
      <c r="BL1024" s="77"/>
      <c r="BM1024" s="77"/>
    </row>
    <row r="1025">
      <c r="A1025" s="100" t="s">
        <v>69</v>
      </c>
      <c r="B1025" s="100" t="b">
        <v>0</v>
      </c>
      <c r="C1025" s="100" t="b">
        <v>0</v>
      </c>
      <c r="D1025" s="42"/>
      <c r="E1025" s="43"/>
      <c r="F1025" s="101"/>
      <c r="G1025" s="102"/>
      <c r="H1025" s="103"/>
      <c r="I1025" s="103"/>
      <c r="J1025" s="104"/>
      <c r="K1025" s="102"/>
      <c r="L1025" s="102"/>
      <c r="M1025" s="105"/>
      <c r="N1025" s="105"/>
      <c r="O1025" s="103"/>
      <c r="P1025" s="103"/>
      <c r="Q1025" s="103"/>
      <c r="R1025" s="103"/>
      <c r="S1025" s="103"/>
      <c r="T1025" s="103"/>
      <c r="U1025" s="103"/>
      <c r="V1025" s="103"/>
      <c r="W1025" s="103"/>
      <c r="X1025" s="103"/>
      <c r="Y1025" s="70"/>
      <c r="Z1025" s="70"/>
      <c r="AA1025" s="70"/>
      <c r="AB1025" s="70"/>
      <c r="AC1025" s="70"/>
      <c r="AD1025" s="70"/>
      <c r="AE1025" s="70"/>
      <c r="AF1025" s="70"/>
      <c r="AG1025" s="70"/>
      <c r="AH1025" s="70"/>
      <c r="AI1025" s="70"/>
      <c r="AJ1025" s="70"/>
      <c r="AK1025" s="70"/>
      <c r="AL1025" s="70"/>
      <c r="AM1025" s="70"/>
      <c r="AN1025" s="70"/>
      <c r="AO1025" s="70"/>
      <c r="AP1025" s="70"/>
      <c r="AQ1025" s="77"/>
      <c r="AR1025" s="77"/>
      <c r="AS1025" s="77"/>
      <c r="AT1025" s="77"/>
      <c r="AU1025" s="77"/>
      <c r="AV1025" s="77"/>
      <c r="AW1025" s="77"/>
      <c r="AX1025" s="77"/>
      <c r="AY1025" s="77"/>
      <c r="AZ1025" s="77"/>
      <c r="BA1025" s="77"/>
      <c r="BB1025" s="77"/>
      <c r="BC1025" s="77"/>
      <c r="BD1025" s="77"/>
      <c r="BE1025" s="77"/>
      <c r="BF1025" s="77"/>
      <c r="BG1025" s="77"/>
      <c r="BH1025" s="77"/>
      <c r="BI1025" s="77"/>
      <c r="BJ1025" s="77"/>
      <c r="BK1025" s="77"/>
      <c r="BL1025" s="77"/>
      <c r="BM1025" s="77"/>
    </row>
    <row r="1026">
      <c r="A1026" s="99" t="s">
        <v>69</v>
      </c>
      <c r="B1026" s="99" t="b">
        <v>0</v>
      </c>
      <c r="C1026" s="99" t="b">
        <v>0</v>
      </c>
      <c r="D1026" s="80"/>
      <c r="E1026" s="81"/>
      <c r="F1026" s="106"/>
      <c r="G1026" s="107"/>
      <c r="H1026" s="108"/>
      <c r="I1026" s="108"/>
      <c r="J1026" s="109"/>
      <c r="K1026" s="107"/>
      <c r="L1026" s="107"/>
      <c r="M1026" s="110"/>
      <c r="N1026" s="110"/>
      <c r="O1026" s="108"/>
      <c r="P1026" s="108"/>
      <c r="Q1026" s="108"/>
      <c r="R1026" s="108"/>
      <c r="S1026" s="108"/>
      <c r="T1026" s="108"/>
      <c r="U1026" s="108"/>
      <c r="V1026" s="108"/>
      <c r="W1026" s="108"/>
      <c r="X1026" s="108"/>
      <c r="Y1026" s="70"/>
      <c r="Z1026" s="70"/>
      <c r="AA1026" s="70"/>
      <c r="AB1026" s="70"/>
      <c r="AC1026" s="70"/>
      <c r="AD1026" s="70"/>
      <c r="AE1026" s="70"/>
      <c r="AF1026" s="70"/>
      <c r="AG1026" s="70"/>
      <c r="AH1026" s="70"/>
      <c r="AI1026" s="70"/>
      <c r="AJ1026" s="70"/>
      <c r="AK1026" s="70"/>
      <c r="AL1026" s="70"/>
      <c r="AM1026" s="70"/>
      <c r="AN1026" s="70"/>
      <c r="AO1026" s="70"/>
      <c r="AP1026" s="70"/>
      <c r="AQ1026" s="77"/>
      <c r="AR1026" s="77"/>
      <c r="AS1026" s="77"/>
      <c r="AT1026" s="77"/>
      <c r="AU1026" s="77"/>
      <c r="AV1026" s="77"/>
      <c r="AW1026" s="77"/>
      <c r="AX1026" s="77"/>
      <c r="AY1026" s="77"/>
      <c r="AZ1026" s="77"/>
      <c r="BA1026" s="77"/>
      <c r="BB1026" s="77"/>
      <c r="BC1026" s="77"/>
      <c r="BD1026" s="77"/>
      <c r="BE1026" s="77"/>
      <c r="BF1026" s="77"/>
      <c r="BG1026" s="77"/>
      <c r="BH1026" s="77"/>
      <c r="BI1026" s="77"/>
      <c r="BJ1026" s="77"/>
      <c r="BK1026" s="77"/>
      <c r="BL1026" s="77"/>
      <c r="BM1026" s="77"/>
    </row>
    <row r="1027">
      <c r="A1027" s="100" t="s">
        <v>69</v>
      </c>
      <c r="B1027" s="100" t="b">
        <v>0</v>
      </c>
      <c r="C1027" s="100" t="b">
        <v>0</v>
      </c>
      <c r="D1027" s="42"/>
      <c r="E1027" s="43"/>
      <c r="F1027" s="101"/>
      <c r="G1027" s="102"/>
      <c r="H1027" s="103"/>
      <c r="I1027" s="103"/>
      <c r="J1027" s="104"/>
      <c r="K1027" s="102"/>
      <c r="L1027" s="102"/>
      <c r="M1027" s="105"/>
      <c r="N1027" s="105"/>
      <c r="O1027" s="103"/>
      <c r="P1027" s="103"/>
      <c r="Q1027" s="103"/>
      <c r="R1027" s="103"/>
      <c r="S1027" s="103"/>
      <c r="T1027" s="103"/>
      <c r="U1027" s="103"/>
      <c r="V1027" s="103"/>
      <c r="W1027" s="103"/>
      <c r="X1027" s="103"/>
      <c r="Y1027" s="70"/>
      <c r="Z1027" s="70"/>
      <c r="AA1027" s="70"/>
      <c r="AB1027" s="70"/>
      <c r="AC1027" s="70"/>
      <c r="AD1027" s="70"/>
      <c r="AE1027" s="70"/>
      <c r="AF1027" s="70"/>
      <c r="AG1027" s="70"/>
      <c r="AH1027" s="70"/>
      <c r="AI1027" s="70"/>
      <c r="AJ1027" s="70"/>
      <c r="AK1027" s="70"/>
      <c r="AL1027" s="70"/>
      <c r="AM1027" s="70"/>
      <c r="AN1027" s="70"/>
      <c r="AO1027" s="70"/>
      <c r="AP1027" s="70"/>
      <c r="AQ1027" s="77"/>
      <c r="AR1027" s="77"/>
      <c r="AS1027" s="77"/>
      <c r="AT1027" s="77"/>
      <c r="AU1027" s="77"/>
      <c r="AV1027" s="77"/>
      <c r="AW1027" s="77"/>
      <c r="AX1027" s="77"/>
      <c r="AY1027" s="77"/>
      <c r="AZ1027" s="77"/>
      <c r="BA1027" s="77"/>
      <c r="BB1027" s="77"/>
      <c r="BC1027" s="77"/>
      <c r="BD1027" s="77"/>
      <c r="BE1027" s="77"/>
      <c r="BF1027" s="77"/>
      <c r="BG1027" s="77"/>
      <c r="BH1027" s="77"/>
      <c r="BI1027" s="77"/>
      <c r="BJ1027" s="77"/>
      <c r="BK1027" s="77"/>
      <c r="BL1027" s="77"/>
      <c r="BM1027" s="77"/>
    </row>
    <row r="1028">
      <c r="A1028" s="99" t="s">
        <v>69</v>
      </c>
      <c r="B1028" s="99" t="b">
        <v>0</v>
      </c>
      <c r="C1028" s="99" t="b">
        <v>0</v>
      </c>
      <c r="D1028" s="80"/>
      <c r="E1028" s="81"/>
      <c r="F1028" s="106"/>
      <c r="G1028" s="107"/>
      <c r="H1028" s="108"/>
      <c r="I1028" s="108"/>
      <c r="J1028" s="109"/>
      <c r="K1028" s="107"/>
      <c r="L1028" s="107"/>
      <c r="M1028" s="110"/>
      <c r="N1028" s="110"/>
      <c r="O1028" s="108"/>
      <c r="P1028" s="108"/>
      <c r="Q1028" s="108"/>
      <c r="R1028" s="108"/>
      <c r="S1028" s="108"/>
      <c r="T1028" s="108"/>
      <c r="U1028" s="108"/>
      <c r="V1028" s="108"/>
      <c r="W1028" s="108"/>
      <c r="X1028" s="108"/>
      <c r="Y1028" s="70"/>
      <c r="Z1028" s="70"/>
      <c r="AA1028" s="70"/>
      <c r="AB1028" s="70"/>
      <c r="AC1028" s="70"/>
      <c r="AD1028" s="70"/>
      <c r="AE1028" s="70"/>
      <c r="AF1028" s="70"/>
      <c r="AG1028" s="70"/>
      <c r="AH1028" s="70"/>
      <c r="AI1028" s="70"/>
      <c r="AJ1028" s="70"/>
      <c r="AK1028" s="70"/>
      <c r="AL1028" s="70"/>
      <c r="AM1028" s="70"/>
      <c r="AN1028" s="70"/>
      <c r="AO1028" s="70"/>
      <c r="AP1028" s="70"/>
      <c r="AQ1028" s="77"/>
      <c r="AR1028" s="77"/>
      <c r="AS1028" s="77"/>
      <c r="AT1028" s="77"/>
      <c r="AU1028" s="77"/>
      <c r="AV1028" s="77"/>
      <c r="AW1028" s="77"/>
      <c r="AX1028" s="77"/>
      <c r="AY1028" s="77"/>
      <c r="AZ1028" s="77"/>
      <c r="BA1028" s="77"/>
      <c r="BB1028" s="77"/>
      <c r="BC1028" s="77"/>
      <c r="BD1028" s="77"/>
      <c r="BE1028" s="77"/>
      <c r="BF1028" s="77"/>
      <c r="BG1028" s="77"/>
      <c r="BH1028" s="77"/>
      <c r="BI1028" s="77"/>
      <c r="BJ1028" s="77"/>
      <c r="BK1028" s="77"/>
      <c r="BL1028" s="77"/>
      <c r="BM1028" s="77"/>
    </row>
    <row r="1029">
      <c r="A1029" s="100" t="s">
        <v>69</v>
      </c>
      <c r="B1029" s="100" t="b">
        <v>0</v>
      </c>
      <c r="C1029" s="100" t="b">
        <v>0</v>
      </c>
      <c r="D1029" s="42"/>
      <c r="E1029" s="43"/>
      <c r="F1029" s="101"/>
      <c r="G1029" s="102"/>
      <c r="H1029" s="103"/>
      <c r="I1029" s="103"/>
      <c r="J1029" s="104"/>
      <c r="K1029" s="102"/>
      <c r="L1029" s="102"/>
      <c r="M1029" s="105"/>
      <c r="N1029" s="105"/>
      <c r="O1029" s="103"/>
      <c r="P1029" s="103"/>
      <c r="Q1029" s="103"/>
      <c r="R1029" s="103"/>
      <c r="S1029" s="103"/>
      <c r="T1029" s="103"/>
      <c r="U1029" s="103"/>
      <c r="V1029" s="103"/>
      <c r="W1029" s="103"/>
      <c r="X1029" s="103"/>
      <c r="Y1029" s="70"/>
      <c r="Z1029" s="70"/>
      <c r="AA1029" s="70"/>
      <c r="AB1029" s="70"/>
      <c r="AC1029" s="70"/>
      <c r="AD1029" s="70"/>
      <c r="AE1029" s="70"/>
      <c r="AF1029" s="70"/>
      <c r="AG1029" s="70"/>
      <c r="AH1029" s="70"/>
      <c r="AI1029" s="70"/>
      <c r="AJ1029" s="70"/>
      <c r="AK1029" s="70"/>
      <c r="AL1029" s="70"/>
      <c r="AM1029" s="70"/>
      <c r="AN1029" s="70"/>
      <c r="AO1029" s="70"/>
      <c r="AP1029" s="70"/>
      <c r="AQ1029" s="77"/>
      <c r="AR1029" s="77"/>
      <c r="AS1029" s="77"/>
      <c r="AT1029" s="77"/>
      <c r="AU1029" s="77"/>
      <c r="AV1029" s="77"/>
      <c r="AW1029" s="77"/>
      <c r="AX1029" s="77"/>
      <c r="AY1029" s="77"/>
      <c r="AZ1029" s="77"/>
      <c r="BA1029" s="77"/>
      <c r="BB1029" s="77"/>
      <c r="BC1029" s="77"/>
      <c r="BD1029" s="77"/>
      <c r="BE1029" s="77"/>
      <c r="BF1029" s="77"/>
      <c r="BG1029" s="77"/>
      <c r="BH1029" s="77"/>
      <c r="BI1029" s="77"/>
      <c r="BJ1029" s="77"/>
      <c r="BK1029" s="77"/>
      <c r="BL1029" s="77"/>
      <c r="BM1029" s="77"/>
    </row>
    <row r="1030">
      <c r="A1030" s="99" t="s">
        <v>69</v>
      </c>
      <c r="B1030" s="99" t="b">
        <v>0</v>
      </c>
      <c r="C1030" s="99" t="b">
        <v>0</v>
      </c>
      <c r="D1030" s="80"/>
      <c r="E1030" s="81"/>
      <c r="F1030" s="106"/>
      <c r="G1030" s="107"/>
      <c r="H1030" s="108"/>
      <c r="I1030" s="108"/>
      <c r="J1030" s="109"/>
      <c r="K1030" s="107"/>
      <c r="L1030" s="107"/>
      <c r="M1030" s="110"/>
      <c r="N1030" s="110"/>
      <c r="O1030" s="108"/>
      <c r="P1030" s="108"/>
      <c r="Q1030" s="108"/>
      <c r="R1030" s="108"/>
      <c r="S1030" s="108"/>
      <c r="T1030" s="108"/>
      <c r="U1030" s="108"/>
      <c r="V1030" s="108"/>
      <c r="W1030" s="108"/>
      <c r="X1030" s="108"/>
      <c r="Y1030" s="70"/>
      <c r="Z1030" s="70"/>
      <c r="AA1030" s="70"/>
      <c r="AB1030" s="70"/>
      <c r="AC1030" s="70"/>
      <c r="AD1030" s="70"/>
      <c r="AE1030" s="70"/>
      <c r="AF1030" s="70"/>
      <c r="AG1030" s="70"/>
      <c r="AH1030" s="70"/>
      <c r="AI1030" s="70"/>
      <c r="AJ1030" s="70"/>
      <c r="AK1030" s="70"/>
      <c r="AL1030" s="70"/>
      <c r="AM1030" s="70"/>
      <c r="AN1030" s="70"/>
      <c r="AO1030" s="70"/>
      <c r="AP1030" s="70"/>
      <c r="AQ1030" s="77"/>
      <c r="AR1030" s="77"/>
      <c r="AS1030" s="77"/>
      <c r="AT1030" s="77"/>
      <c r="AU1030" s="77"/>
      <c r="AV1030" s="77"/>
      <c r="AW1030" s="77"/>
      <c r="AX1030" s="77"/>
      <c r="AY1030" s="77"/>
      <c r="AZ1030" s="77"/>
      <c r="BA1030" s="77"/>
      <c r="BB1030" s="77"/>
      <c r="BC1030" s="77"/>
      <c r="BD1030" s="77"/>
      <c r="BE1030" s="77"/>
      <c r="BF1030" s="77"/>
      <c r="BG1030" s="77"/>
      <c r="BH1030" s="77"/>
      <c r="BI1030" s="77"/>
      <c r="BJ1030" s="77"/>
      <c r="BK1030" s="77"/>
      <c r="BL1030" s="77"/>
      <c r="BM1030" s="77"/>
    </row>
    <row r="1031">
      <c r="A1031" s="100" t="s">
        <v>69</v>
      </c>
      <c r="B1031" s="100" t="b">
        <v>0</v>
      </c>
      <c r="C1031" s="100" t="b">
        <v>0</v>
      </c>
      <c r="D1031" s="42"/>
      <c r="E1031" s="43"/>
      <c r="F1031" s="101"/>
      <c r="G1031" s="102"/>
      <c r="H1031" s="103"/>
      <c r="I1031" s="103"/>
      <c r="J1031" s="104"/>
      <c r="K1031" s="102"/>
      <c r="L1031" s="102"/>
      <c r="M1031" s="105"/>
      <c r="N1031" s="105"/>
      <c r="O1031" s="103"/>
      <c r="P1031" s="103"/>
      <c r="Q1031" s="103"/>
      <c r="R1031" s="103"/>
      <c r="S1031" s="103"/>
      <c r="T1031" s="103"/>
      <c r="U1031" s="103"/>
      <c r="V1031" s="103"/>
      <c r="W1031" s="103"/>
      <c r="X1031" s="103"/>
      <c r="Y1031" s="70"/>
      <c r="Z1031" s="70"/>
      <c r="AA1031" s="70"/>
      <c r="AB1031" s="70"/>
      <c r="AC1031" s="70"/>
      <c r="AD1031" s="70"/>
      <c r="AE1031" s="70"/>
      <c r="AF1031" s="70"/>
      <c r="AG1031" s="70"/>
      <c r="AH1031" s="70"/>
      <c r="AI1031" s="70"/>
      <c r="AJ1031" s="70"/>
      <c r="AK1031" s="70"/>
      <c r="AL1031" s="70"/>
      <c r="AM1031" s="70"/>
      <c r="AN1031" s="70"/>
      <c r="AO1031" s="70"/>
      <c r="AP1031" s="70"/>
      <c r="AQ1031" s="77"/>
      <c r="AR1031" s="77"/>
      <c r="AS1031" s="77"/>
      <c r="AT1031" s="77"/>
      <c r="AU1031" s="77"/>
      <c r="AV1031" s="77"/>
      <c r="AW1031" s="77"/>
      <c r="AX1031" s="77"/>
      <c r="AY1031" s="77"/>
      <c r="AZ1031" s="77"/>
      <c r="BA1031" s="77"/>
      <c r="BB1031" s="77"/>
      <c r="BC1031" s="77"/>
      <c r="BD1031" s="77"/>
      <c r="BE1031" s="77"/>
      <c r="BF1031" s="77"/>
      <c r="BG1031" s="77"/>
      <c r="BH1031" s="77"/>
      <c r="BI1031" s="77"/>
      <c r="BJ1031" s="77"/>
      <c r="BK1031" s="77"/>
      <c r="BL1031" s="77"/>
      <c r="BM1031" s="77"/>
    </row>
    <row r="1032">
      <c r="A1032" s="99" t="s">
        <v>69</v>
      </c>
      <c r="B1032" s="99" t="b">
        <v>0</v>
      </c>
      <c r="C1032" s="99" t="b">
        <v>0</v>
      </c>
      <c r="D1032" s="80"/>
      <c r="E1032" s="81"/>
      <c r="F1032" s="106"/>
      <c r="G1032" s="107"/>
      <c r="H1032" s="108"/>
      <c r="I1032" s="108"/>
      <c r="J1032" s="109"/>
      <c r="K1032" s="107"/>
      <c r="L1032" s="107"/>
      <c r="M1032" s="110"/>
      <c r="N1032" s="110"/>
      <c r="O1032" s="108"/>
      <c r="P1032" s="108"/>
      <c r="Q1032" s="108"/>
      <c r="R1032" s="108"/>
      <c r="S1032" s="108"/>
      <c r="T1032" s="108"/>
      <c r="U1032" s="108"/>
      <c r="V1032" s="108"/>
      <c r="W1032" s="108"/>
      <c r="X1032" s="108"/>
      <c r="Y1032" s="70"/>
      <c r="Z1032" s="70"/>
      <c r="AA1032" s="70"/>
      <c r="AB1032" s="70"/>
      <c r="AC1032" s="70"/>
      <c r="AD1032" s="70"/>
      <c r="AE1032" s="70"/>
      <c r="AF1032" s="70"/>
      <c r="AG1032" s="70"/>
      <c r="AH1032" s="70"/>
      <c r="AI1032" s="70"/>
      <c r="AJ1032" s="70"/>
      <c r="AK1032" s="70"/>
      <c r="AL1032" s="70"/>
      <c r="AM1032" s="70"/>
      <c r="AN1032" s="70"/>
      <c r="AO1032" s="70"/>
      <c r="AP1032" s="70"/>
      <c r="AQ1032" s="77"/>
      <c r="AR1032" s="77"/>
      <c r="AS1032" s="77"/>
      <c r="AT1032" s="77"/>
      <c r="AU1032" s="77"/>
      <c r="AV1032" s="77"/>
      <c r="AW1032" s="77"/>
      <c r="AX1032" s="77"/>
      <c r="AY1032" s="77"/>
      <c r="AZ1032" s="77"/>
      <c r="BA1032" s="77"/>
      <c r="BB1032" s="77"/>
      <c r="BC1032" s="77"/>
      <c r="BD1032" s="77"/>
      <c r="BE1032" s="77"/>
      <c r="BF1032" s="77"/>
      <c r="BG1032" s="77"/>
      <c r="BH1032" s="77"/>
      <c r="BI1032" s="77"/>
      <c r="BJ1032" s="77"/>
      <c r="BK1032" s="77"/>
      <c r="BL1032" s="77"/>
      <c r="BM1032" s="77"/>
    </row>
    <row r="1033">
      <c r="A1033" s="100" t="s">
        <v>69</v>
      </c>
      <c r="B1033" s="100" t="b">
        <v>0</v>
      </c>
      <c r="C1033" s="100" t="b">
        <v>0</v>
      </c>
      <c r="D1033" s="42"/>
      <c r="E1033" s="43"/>
      <c r="F1033" s="101"/>
      <c r="G1033" s="102"/>
      <c r="H1033" s="103"/>
      <c r="I1033" s="103"/>
      <c r="J1033" s="104"/>
      <c r="K1033" s="102"/>
      <c r="L1033" s="102"/>
      <c r="M1033" s="105"/>
      <c r="N1033" s="105"/>
      <c r="O1033" s="103"/>
      <c r="P1033" s="103"/>
      <c r="Q1033" s="103"/>
      <c r="R1033" s="103"/>
      <c r="S1033" s="103"/>
      <c r="T1033" s="103"/>
      <c r="U1033" s="103"/>
      <c r="V1033" s="103"/>
      <c r="W1033" s="103"/>
      <c r="X1033" s="103"/>
      <c r="Y1033" s="70"/>
      <c r="Z1033" s="70"/>
      <c r="AA1033" s="70"/>
      <c r="AB1033" s="70"/>
      <c r="AC1033" s="70"/>
      <c r="AD1033" s="70"/>
      <c r="AE1033" s="70"/>
      <c r="AF1033" s="70"/>
      <c r="AG1033" s="70"/>
      <c r="AH1033" s="70"/>
      <c r="AI1033" s="70"/>
      <c r="AJ1033" s="70"/>
      <c r="AK1033" s="70"/>
      <c r="AL1033" s="70"/>
      <c r="AM1033" s="70"/>
      <c r="AN1033" s="70"/>
      <c r="AO1033" s="70"/>
      <c r="AP1033" s="70"/>
      <c r="AQ1033" s="77"/>
      <c r="AR1033" s="77"/>
      <c r="AS1033" s="77"/>
      <c r="AT1033" s="77"/>
      <c r="AU1033" s="77"/>
      <c r="AV1033" s="77"/>
      <c r="AW1033" s="77"/>
      <c r="AX1033" s="77"/>
      <c r="AY1033" s="77"/>
      <c r="AZ1033" s="77"/>
      <c r="BA1033" s="77"/>
      <c r="BB1033" s="77"/>
      <c r="BC1033" s="77"/>
      <c r="BD1033" s="77"/>
      <c r="BE1033" s="77"/>
      <c r="BF1033" s="77"/>
      <c r="BG1033" s="77"/>
      <c r="BH1033" s="77"/>
      <c r="BI1033" s="77"/>
      <c r="BJ1033" s="77"/>
      <c r="BK1033" s="77"/>
      <c r="BL1033" s="77"/>
      <c r="BM1033" s="77"/>
    </row>
    <row r="1034">
      <c r="A1034" s="99" t="s">
        <v>69</v>
      </c>
      <c r="B1034" s="99" t="b">
        <v>0</v>
      </c>
      <c r="C1034" s="99" t="b">
        <v>0</v>
      </c>
      <c r="D1034" s="80"/>
      <c r="E1034" s="81"/>
      <c r="F1034" s="106"/>
      <c r="G1034" s="107"/>
      <c r="H1034" s="108"/>
      <c r="I1034" s="108"/>
      <c r="J1034" s="109"/>
      <c r="K1034" s="107"/>
      <c r="L1034" s="107"/>
      <c r="M1034" s="110"/>
      <c r="N1034" s="110"/>
      <c r="O1034" s="108"/>
      <c r="P1034" s="108"/>
      <c r="Q1034" s="108"/>
      <c r="R1034" s="108"/>
      <c r="S1034" s="108"/>
      <c r="T1034" s="108"/>
      <c r="U1034" s="108"/>
      <c r="V1034" s="108"/>
      <c r="W1034" s="108"/>
      <c r="X1034" s="108"/>
      <c r="Y1034" s="70"/>
      <c r="Z1034" s="70"/>
      <c r="AA1034" s="70"/>
      <c r="AB1034" s="70"/>
      <c r="AC1034" s="70"/>
      <c r="AD1034" s="70"/>
      <c r="AE1034" s="70"/>
      <c r="AF1034" s="70"/>
      <c r="AG1034" s="70"/>
      <c r="AH1034" s="70"/>
      <c r="AI1034" s="70"/>
      <c r="AJ1034" s="70"/>
      <c r="AK1034" s="70"/>
      <c r="AL1034" s="70"/>
      <c r="AM1034" s="70"/>
      <c r="AN1034" s="70"/>
      <c r="AO1034" s="70"/>
      <c r="AP1034" s="70"/>
      <c r="AQ1034" s="77"/>
      <c r="AR1034" s="77"/>
      <c r="AS1034" s="77"/>
      <c r="AT1034" s="77"/>
      <c r="AU1034" s="77"/>
      <c r="AV1034" s="77"/>
      <c r="AW1034" s="77"/>
      <c r="AX1034" s="77"/>
      <c r="AY1034" s="77"/>
      <c r="AZ1034" s="77"/>
      <c r="BA1034" s="77"/>
      <c r="BB1034" s="77"/>
      <c r="BC1034" s="77"/>
      <c r="BD1034" s="77"/>
      <c r="BE1034" s="77"/>
      <c r="BF1034" s="77"/>
      <c r="BG1034" s="77"/>
      <c r="BH1034" s="77"/>
      <c r="BI1034" s="77"/>
      <c r="BJ1034" s="77"/>
      <c r="BK1034" s="77"/>
      <c r="BL1034" s="77"/>
      <c r="BM1034" s="77"/>
    </row>
    <row r="1035">
      <c r="A1035" s="100" t="s">
        <v>69</v>
      </c>
      <c r="B1035" s="100" t="b">
        <v>0</v>
      </c>
      <c r="C1035" s="100" t="b">
        <v>0</v>
      </c>
      <c r="D1035" s="42"/>
      <c r="E1035" s="43"/>
      <c r="F1035" s="101"/>
      <c r="G1035" s="102"/>
      <c r="H1035" s="103"/>
      <c r="I1035" s="103"/>
      <c r="J1035" s="104"/>
      <c r="K1035" s="102"/>
      <c r="L1035" s="102"/>
      <c r="M1035" s="105"/>
      <c r="N1035" s="105"/>
      <c r="O1035" s="103"/>
      <c r="P1035" s="103"/>
      <c r="Q1035" s="103"/>
      <c r="R1035" s="103"/>
      <c r="S1035" s="103"/>
      <c r="T1035" s="103"/>
      <c r="U1035" s="103"/>
      <c r="V1035" s="103"/>
      <c r="W1035" s="103"/>
      <c r="X1035" s="103"/>
      <c r="Y1035" s="70"/>
      <c r="Z1035" s="70"/>
      <c r="AA1035" s="70"/>
      <c r="AB1035" s="70"/>
      <c r="AC1035" s="70"/>
      <c r="AD1035" s="70"/>
      <c r="AE1035" s="70"/>
      <c r="AF1035" s="70"/>
      <c r="AG1035" s="70"/>
      <c r="AH1035" s="70"/>
      <c r="AI1035" s="70"/>
      <c r="AJ1035" s="70"/>
      <c r="AK1035" s="70"/>
      <c r="AL1035" s="70"/>
      <c r="AM1035" s="70"/>
      <c r="AN1035" s="70"/>
      <c r="AO1035" s="70"/>
      <c r="AP1035" s="70"/>
      <c r="AQ1035" s="77"/>
      <c r="AR1035" s="77"/>
      <c r="AS1035" s="77"/>
      <c r="AT1035" s="77"/>
      <c r="AU1035" s="77"/>
      <c r="AV1035" s="77"/>
      <c r="AW1035" s="77"/>
      <c r="AX1035" s="77"/>
      <c r="AY1035" s="77"/>
      <c r="AZ1035" s="77"/>
      <c r="BA1035" s="77"/>
      <c r="BB1035" s="77"/>
      <c r="BC1035" s="77"/>
      <c r="BD1035" s="77"/>
      <c r="BE1035" s="77"/>
      <c r="BF1035" s="77"/>
      <c r="BG1035" s="77"/>
      <c r="BH1035" s="77"/>
      <c r="BI1035" s="77"/>
      <c r="BJ1035" s="77"/>
      <c r="BK1035" s="77"/>
      <c r="BL1035" s="77"/>
      <c r="BM1035" s="77"/>
    </row>
    <row r="1036">
      <c r="A1036" s="99" t="s">
        <v>69</v>
      </c>
      <c r="B1036" s="99" t="b">
        <v>0</v>
      </c>
      <c r="C1036" s="99" t="b">
        <v>0</v>
      </c>
      <c r="D1036" s="80"/>
      <c r="E1036" s="81"/>
      <c r="F1036" s="106"/>
      <c r="G1036" s="107"/>
      <c r="H1036" s="108"/>
      <c r="I1036" s="108"/>
      <c r="J1036" s="109"/>
      <c r="K1036" s="107"/>
      <c r="L1036" s="107"/>
      <c r="M1036" s="110"/>
      <c r="N1036" s="110"/>
      <c r="O1036" s="108"/>
      <c r="P1036" s="108"/>
      <c r="Q1036" s="108"/>
      <c r="R1036" s="108"/>
      <c r="S1036" s="108"/>
      <c r="T1036" s="108"/>
      <c r="U1036" s="108"/>
      <c r="V1036" s="108"/>
      <c r="W1036" s="108"/>
      <c r="X1036" s="108"/>
      <c r="Y1036" s="70"/>
      <c r="Z1036" s="70"/>
      <c r="AA1036" s="70"/>
      <c r="AB1036" s="70"/>
      <c r="AC1036" s="70"/>
      <c r="AD1036" s="70"/>
      <c r="AE1036" s="70"/>
      <c r="AF1036" s="70"/>
      <c r="AG1036" s="70"/>
      <c r="AH1036" s="70"/>
      <c r="AI1036" s="70"/>
      <c r="AJ1036" s="70"/>
      <c r="AK1036" s="70"/>
      <c r="AL1036" s="70"/>
      <c r="AM1036" s="70"/>
      <c r="AN1036" s="70"/>
      <c r="AO1036" s="70"/>
      <c r="AP1036" s="70"/>
      <c r="AQ1036" s="77"/>
      <c r="AR1036" s="77"/>
      <c r="AS1036" s="77"/>
      <c r="AT1036" s="77"/>
      <c r="AU1036" s="77"/>
      <c r="AV1036" s="77"/>
      <c r="AW1036" s="77"/>
      <c r="AX1036" s="77"/>
      <c r="AY1036" s="77"/>
      <c r="AZ1036" s="77"/>
      <c r="BA1036" s="77"/>
      <c r="BB1036" s="77"/>
      <c r="BC1036" s="77"/>
      <c r="BD1036" s="77"/>
      <c r="BE1036" s="77"/>
      <c r="BF1036" s="77"/>
      <c r="BG1036" s="77"/>
      <c r="BH1036" s="77"/>
      <c r="BI1036" s="77"/>
      <c r="BJ1036" s="77"/>
      <c r="BK1036" s="77"/>
      <c r="BL1036" s="77"/>
      <c r="BM1036" s="77"/>
    </row>
    <row r="1037">
      <c r="A1037" s="100" t="s">
        <v>69</v>
      </c>
      <c r="B1037" s="100" t="b">
        <v>0</v>
      </c>
      <c r="C1037" s="100" t="b">
        <v>0</v>
      </c>
      <c r="D1037" s="42"/>
      <c r="E1037" s="43"/>
      <c r="F1037" s="101"/>
      <c r="G1037" s="102"/>
      <c r="H1037" s="103"/>
      <c r="I1037" s="103"/>
      <c r="J1037" s="104"/>
      <c r="K1037" s="102"/>
      <c r="L1037" s="102"/>
      <c r="M1037" s="105"/>
      <c r="N1037" s="105"/>
      <c r="O1037" s="103"/>
      <c r="P1037" s="103"/>
      <c r="Q1037" s="103"/>
      <c r="R1037" s="103"/>
      <c r="S1037" s="103"/>
      <c r="T1037" s="103"/>
      <c r="U1037" s="103"/>
      <c r="V1037" s="103"/>
      <c r="W1037" s="103"/>
      <c r="X1037" s="103"/>
      <c r="Y1037" s="70"/>
      <c r="Z1037" s="70"/>
      <c r="AA1037" s="70"/>
      <c r="AB1037" s="70"/>
      <c r="AC1037" s="70"/>
      <c r="AD1037" s="70"/>
      <c r="AE1037" s="70"/>
      <c r="AF1037" s="70"/>
      <c r="AG1037" s="70"/>
      <c r="AH1037" s="70"/>
      <c r="AI1037" s="70"/>
      <c r="AJ1037" s="70"/>
      <c r="AK1037" s="70"/>
      <c r="AL1037" s="70"/>
      <c r="AM1037" s="70"/>
      <c r="AN1037" s="70"/>
      <c r="AO1037" s="70"/>
      <c r="AP1037" s="70"/>
      <c r="AQ1037" s="77"/>
      <c r="AR1037" s="77"/>
      <c r="AS1037" s="77"/>
      <c r="AT1037" s="77"/>
      <c r="AU1037" s="77"/>
      <c r="AV1037" s="77"/>
      <c r="AW1037" s="77"/>
      <c r="AX1037" s="77"/>
      <c r="AY1037" s="77"/>
      <c r="AZ1037" s="77"/>
      <c r="BA1037" s="77"/>
      <c r="BB1037" s="77"/>
      <c r="BC1037" s="77"/>
      <c r="BD1037" s="77"/>
      <c r="BE1037" s="77"/>
      <c r="BF1037" s="77"/>
      <c r="BG1037" s="77"/>
      <c r="BH1037" s="77"/>
      <c r="BI1037" s="77"/>
      <c r="BJ1037" s="77"/>
      <c r="BK1037" s="77"/>
      <c r="BL1037" s="77"/>
      <c r="BM1037" s="77"/>
    </row>
    <row r="1038">
      <c r="A1038" s="99" t="s">
        <v>69</v>
      </c>
      <c r="B1038" s="99" t="b">
        <v>0</v>
      </c>
      <c r="C1038" s="99" t="b">
        <v>0</v>
      </c>
      <c r="D1038" s="80"/>
      <c r="E1038" s="81"/>
      <c r="F1038" s="106"/>
      <c r="G1038" s="107"/>
      <c r="H1038" s="108"/>
      <c r="I1038" s="108"/>
      <c r="J1038" s="109"/>
      <c r="K1038" s="107"/>
      <c r="L1038" s="107"/>
      <c r="M1038" s="110"/>
      <c r="N1038" s="110"/>
      <c r="O1038" s="108"/>
      <c r="P1038" s="108"/>
      <c r="Q1038" s="108"/>
      <c r="R1038" s="108"/>
      <c r="S1038" s="108"/>
      <c r="T1038" s="108"/>
      <c r="U1038" s="108"/>
      <c r="V1038" s="108"/>
      <c r="W1038" s="108"/>
      <c r="X1038" s="108"/>
      <c r="Y1038" s="70"/>
      <c r="Z1038" s="70"/>
      <c r="AA1038" s="70"/>
      <c r="AB1038" s="70"/>
      <c r="AC1038" s="70"/>
      <c r="AD1038" s="70"/>
      <c r="AE1038" s="70"/>
      <c r="AF1038" s="70"/>
      <c r="AG1038" s="70"/>
      <c r="AH1038" s="70"/>
      <c r="AI1038" s="70"/>
      <c r="AJ1038" s="70"/>
      <c r="AK1038" s="70"/>
      <c r="AL1038" s="70"/>
      <c r="AM1038" s="70"/>
      <c r="AN1038" s="70"/>
      <c r="AO1038" s="70"/>
      <c r="AP1038" s="70"/>
      <c r="AQ1038" s="77"/>
      <c r="AR1038" s="77"/>
      <c r="AS1038" s="77"/>
      <c r="AT1038" s="77"/>
      <c r="AU1038" s="77"/>
      <c r="AV1038" s="77"/>
      <c r="AW1038" s="77"/>
      <c r="AX1038" s="77"/>
      <c r="AY1038" s="77"/>
      <c r="AZ1038" s="77"/>
      <c r="BA1038" s="77"/>
      <c r="BB1038" s="77"/>
      <c r="BC1038" s="77"/>
      <c r="BD1038" s="77"/>
      <c r="BE1038" s="77"/>
      <c r="BF1038" s="77"/>
      <c r="BG1038" s="77"/>
      <c r="BH1038" s="77"/>
      <c r="BI1038" s="77"/>
      <c r="BJ1038" s="77"/>
      <c r="BK1038" s="77"/>
      <c r="BL1038" s="77"/>
      <c r="BM1038" s="77"/>
    </row>
    <row r="1039">
      <c r="A1039" s="100" t="s">
        <v>69</v>
      </c>
      <c r="B1039" s="100" t="b">
        <v>0</v>
      </c>
      <c r="C1039" s="100" t="b">
        <v>0</v>
      </c>
      <c r="D1039" s="42"/>
      <c r="E1039" s="43"/>
      <c r="F1039" s="101"/>
      <c r="G1039" s="102"/>
      <c r="H1039" s="103"/>
      <c r="I1039" s="103"/>
      <c r="J1039" s="104"/>
      <c r="K1039" s="102"/>
      <c r="L1039" s="102"/>
      <c r="M1039" s="105"/>
      <c r="N1039" s="105"/>
      <c r="O1039" s="103"/>
      <c r="P1039" s="103"/>
      <c r="Q1039" s="103"/>
      <c r="R1039" s="103"/>
      <c r="S1039" s="103"/>
      <c r="T1039" s="103"/>
      <c r="U1039" s="103"/>
      <c r="V1039" s="103"/>
      <c r="W1039" s="103"/>
      <c r="X1039" s="103"/>
      <c r="Y1039" s="70"/>
      <c r="Z1039" s="70"/>
      <c r="AA1039" s="70"/>
      <c r="AB1039" s="70"/>
      <c r="AC1039" s="70"/>
      <c r="AD1039" s="70"/>
      <c r="AE1039" s="70"/>
      <c r="AF1039" s="70"/>
      <c r="AG1039" s="70"/>
      <c r="AH1039" s="70"/>
      <c r="AI1039" s="70"/>
      <c r="AJ1039" s="70"/>
      <c r="AK1039" s="70"/>
      <c r="AL1039" s="70"/>
      <c r="AM1039" s="70"/>
      <c r="AN1039" s="70"/>
      <c r="AO1039" s="70"/>
      <c r="AP1039" s="70"/>
      <c r="AQ1039" s="77"/>
      <c r="AR1039" s="77"/>
      <c r="AS1039" s="77"/>
      <c r="AT1039" s="77"/>
      <c r="AU1039" s="77"/>
      <c r="AV1039" s="77"/>
      <c r="AW1039" s="77"/>
      <c r="AX1039" s="77"/>
      <c r="AY1039" s="77"/>
      <c r="AZ1039" s="77"/>
      <c r="BA1039" s="77"/>
      <c r="BB1039" s="77"/>
      <c r="BC1039" s="77"/>
      <c r="BD1039" s="77"/>
      <c r="BE1039" s="77"/>
      <c r="BF1039" s="77"/>
      <c r="BG1039" s="77"/>
      <c r="BH1039" s="77"/>
      <c r="BI1039" s="77"/>
      <c r="BJ1039" s="77"/>
      <c r="BK1039" s="77"/>
      <c r="BL1039" s="77"/>
      <c r="BM1039" s="77"/>
    </row>
    <row r="1040">
      <c r="A1040" s="99" t="s">
        <v>69</v>
      </c>
      <c r="B1040" s="99" t="b">
        <v>0</v>
      </c>
      <c r="C1040" s="99" t="b">
        <v>0</v>
      </c>
      <c r="D1040" s="80"/>
      <c r="E1040" s="81"/>
      <c r="F1040" s="106"/>
      <c r="G1040" s="107"/>
      <c r="H1040" s="108"/>
      <c r="I1040" s="108"/>
      <c r="J1040" s="109"/>
      <c r="K1040" s="107"/>
      <c r="L1040" s="107"/>
      <c r="M1040" s="110"/>
      <c r="N1040" s="110"/>
      <c r="O1040" s="108"/>
      <c r="P1040" s="108"/>
      <c r="Q1040" s="108"/>
      <c r="R1040" s="108"/>
      <c r="S1040" s="108"/>
      <c r="T1040" s="108"/>
      <c r="U1040" s="108"/>
      <c r="V1040" s="108"/>
      <c r="W1040" s="108"/>
      <c r="X1040" s="108"/>
      <c r="Y1040" s="70"/>
      <c r="Z1040" s="70"/>
      <c r="AA1040" s="70"/>
      <c r="AB1040" s="70"/>
      <c r="AC1040" s="70"/>
      <c r="AD1040" s="70"/>
      <c r="AE1040" s="70"/>
      <c r="AF1040" s="70"/>
      <c r="AG1040" s="70"/>
      <c r="AH1040" s="70"/>
      <c r="AI1040" s="70"/>
      <c r="AJ1040" s="70"/>
      <c r="AK1040" s="70"/>
      <c r="AL1040" s="70"/>
      <c r="AM1040" s="70"/>
      <c r="AN1040" s="70"/>
      <c r="AO1040" s="70"/>
      <c r="AP1040" s="70"/>
      <c r="AQ1040" s="77"/>
      <c r="AR1040" s="77"/>
      <c r="AS1040" s="77"/>
      <c r="AT1040" s="77"/>
      <c r="AU1040" s="77"/>
      <c r="AV1040" s="77"/>
      <c r="AW1040" s="77"/>
      <c r="AX1040" s="77"/>
      <c r="AY1040" s="77"/>
      <c r="AZ1040" s="77"/>
      <c r="BA1040" s="77"/>
      <c r="BB1040" s="77"/>
      <c r="BC1040" s="77"/>
      <c r="BD1040" s="77"/>
      <c r="BE1040" s="77"/>
      <c r="BF1040" s="77"/>
      <c r="BG1040" s="77"/>
      <c r="BH1040" s="77"/>
      <c r="BI1040" s="77"/>
      <c r="BJ1040" s="77"/>
      <c r="BK1040" s="77"/>
      <c r="BL1040" s="77"/>
      <c r="BM1040" s="77"/>
    </row>
    <row r="1041">
      <c r="A1041" s="100" t="s">
        <v>69</v>
      </c>
      <c r="B1041" s="100" t="b">
        <v>0</v>
      </c>
      <c r="C1041" s="100" t="b">
        <v>0</v>
      </c>
      <c r="D1041" s="42"/>
      <c r="E1041" s="43"/>
      <c r="F1041" s="101"/>
      <c r="G1041" s="102"/>
      <c r="H1041" s="103"/>
      <c r="I1041" s="103"/>
      <c r="J1041" s="104"/>
      <c r="K1041" s="102"/>
      <c r="L1041" s="102"/>
      <c r="M1041" s="105"/>
      <c r="N1041" s="105"/>
      <c r="O1041" s="103"/>
      <c r="P1041" s="103"/>
      <c r="Q1041" s="103"/>
      <c r="R1041" s="103"/>
      <c r="S1041" s="103"/>
      <c r="T1041" s="103"/>
      <c r="U1041" s="103"/>
      <c r="V1041" s="103"/>
      <c r="W1041" s="103"/>
      <c r="X1041" s="103"/>
      <c r="Y1041" s="70"/>
      <c r="Z1041" s="70"/>
      <c r="AA1041" s="70"/>
      <c r="AB1041" s="70"/>
      <c r="AC1041" s="70"/>
      <c r="AD1041" s="70"/>
      <c r="AE1041" s="70"/>
      <c r="AF1041" s="70"/>
      <c r="AG1041" s="70"/>
      <c r="AH1041" s="70"/>
      <c r="AI1041" s="70"/>
      <c r="AJ1041" s="70"/>
      <c r="AK1041" s="70"/>
      <c r="AL1041" s="70"/>
      <c r="AM1041" s="70"/>
      <c r="AN1041" s="70"/>
      <c r="AO1041" s="70"/>
      <c r="AP1041" s="70"/>
      <c r="AQ1041" s="77"/>
      <c r="AR1041" s="77"/>
      <c r="AS1041" s="77"/>
      <c r="AT1041" s="77"/>
      <c r="AU1041" s="77"/>
      <c r="AV1041" s="77"/>
      <c r="AW1041" s="77"/>
      <c r="AX1041" s="77"/>
      <c r="AY1041" s="77"/>
      <c r="AZ1041" s="77"/>
      <c r="BA1041" s="77"/>
      <c r="BB1041" s="77"/>
      <c r="BC1041" s="77"/>
      <c r="BD1041" s="77"/>
      <c r="BE1041" s="77"/>
      <c r="BF1041" s="77"/>
      <c r="BG1041" s="77"/>
      <c r="BH1041" s="77"/>
      <c r="BI1041" s="77"/>
      <c r="BJ1041" s="77"/>
      <c r="BK1041" s="77"/>
      <c r="BL1041" s="77"/>
      <c r="BM1041" s="77"/>
    </row>
    <row r="1042">
      <c r="A1042" s="99" t="s">
        <v>69</v>
      </c>
      <c r="B1042" s="99" t="b">
        <v>0</v>
      </c>
      <c r="C1042" s="99" t="b">
        <v>0</v>
      </c>
      <c r="D1042" s="80"/>
      <c r="E1042" s="81"/>
      <c r="F1042" s="106"/>
      <c r="G1042" s="107"/>
      <c r="H1042" s="108"/>
      <c r="I1042" s="108"/>
      <c r="J1042" s="109"/>
      <c r="K1042" s="107"/>
      <c r="L1042" s="107"/>
      <c r="M1042" s="110"/>
      <c r="N1042" s="110"/>
      <c r="O1042" s="108"/>
      <c r="P1042" s="108"/>
      <c r="Q1042" s="108"/>
      <c r="R1042" s="108"/>
      <c r="S1042" s="108"/>
      <c r="T1042" s="108"/>
      <c r="U1042" s="108"/>
      <c r="V1042" s="108"/>
      <c r="W1042" s="108"/>
      <c r="X1042" s="108"/>
      <c r="Y1042" s="70"/>
      <c r="Z1042" s="70"/>
      <c r="AA1042" s="70"/>
      <c r="AB1042" s="70"/>
      <c r="AC1042" s="70"/>
      <c r="AD1042" s="70"/>
      <c r="AE1042" s="70"/>
      <c r="AF1042" s="70"/>
      <c r="AG1042" s="70"/>
      <c r="AH1042" s="70"/>
      <c r="AI1042" s="70"/>
      <c r="AJ1042" s="70"/>
      <c r="AK1042" s="70"/>
      <c r="AL1042" s="70"/>
      <c r="AM1042" s="70"/>
      <c r="AN1042" s="70"/>
      <c r="AO1042" s="70"/>
      <c r="AP1042" s="70"/>
      <c r="AQ1042" s="77"/>
      <c r="AR1042" s="77"/>
      <c r="AS1042" s="77"/>
      <c r="AT1042" s="77"/>
      <c r="AU1042" s="77"/>
      <c r="AV1042" s="77"/>
      <c r="AW1042" s="77"/>
      <c r="AX1042" s="77"/>
      <c r="AY1042" s="77"/>
      <c r="AZ1042" s="77"/>
      <c r="BA1042" s="77"/>
      <c r="BB1042" s="77"/>
      <c r="BC1042" s="77"/>
      <c r="BD1042" s="77"/>
      <c r="BE1042" s="77"/>
      <c r="BF1042" s="77"/>
      <c r="BG1042" s="77"/>
      <c r="BH1042" s="77"/>
      <c r="BI1042" s="77"/>
      <c r="BJ1042" s="77"/>
      <c r="BK1042" s="77"/>
      <c r="BL1042" s="77"/>
      <c r="BM1042" s="77"/>
    </row>
    <row r="1043">
      <c r="A1043" s="100" t="s">
        <v>69</v>
      </c>
      <c r="B1043" s="100" t="b">
        <v>0</v>
      </c>
      <c r="C1043" s="100" t="b">
        <v>0</v>
      </c>
      <c r="D1043" s="42"/>
      <c r="E1043" s="43"/>
      <c r="F1043" s="101"/>
      <c r="G1043" s="102"/>
      <c r="H1043" s="103"/>
      <c r="I1043" s="103"/>
      <c r="J1043" s="104"/>
      <c r="K1043" s="102"/>
      <c r="L1043" s="102"/>
      <c r="M1043" s="105"/>
      <c r="N1043" s="105"/>
      <c r="O1043" s="103"/>
      <c r="P1043" s="103"/>
      <c r="Q1043" s="103"/>
      <c r="R1043" s="103"/>
      <c r="S1043" s="103"/>
      <c r="T1043" s="103"/>
      <c r="U1043" s="103"/>
      <c r="V1043" s="103"/>
      <c r="W1043" s="103"/>
      <c r="X1043" s="103"/>
      <c r="Y1043" s="70"/>
      <c r="Z1043" s="70"/>
      <c r="AA1043" s="70"/>
      <c r="AB1043" s="70"/>
      <c r="AC1043" s="70"/>
      <c r="AD1043" s="70"/>
      <c r="AE1043" s="70"/>
      <c r="AF1043" s="70"/>
      <c r="AG1043" s="70"/>
      <c r="AH1043" s="70"/>
      <c r="AI1043" s="70"/>
      <c r="AJ1043" s="70"/>
      <c r="AK1043" s="70"/>
      <c r="AL1043" s="70"/>
      <c r="AM1043" s="70"/>
      <c r="AN1043" s="70"/>
      <c r="AO1043" s="70"/>
      <c r="AP1043" s="70"/>
      <c r="AQ1043" s="77"/>
      <c r="AR1043" s="77"/>
      <c r="AS1043" s="77"/>
      <c r="AT1043" s="77"/>
      <c r="AU1043" s="77"/>
      <c r="AV1043" s="77"/>
      <c r="AW1043" s="77"/>
      <c r="AX1043" s="77"/>
      <c r="AY1043" s="77"/>
      <c r="AZ1043" s="77"/>
      <c r="BA1043" s="77"/>
      <c r="BB1043" s="77"/>
      <c r="BC1043" s="77"/>
      <c r="BD1043" s="77"/>
      <c r="BE1043" s="77"/>
      <c r="BF1043" s="77"/>
      <c r="BG1043" s="77"/>
      <c r="BH1043" s="77"/>
      <c r="BI1043" s="77"/>
      <c r="BJ1043" s="77"/>
      <c r="BK1043" s="77"/>
      <c r="BL1043" s="77"/>
      <c r="BM1043" s="77"/>
    </row>
    <row r="1044">
      <c r="A1044" s="99" t="s">
        <v>69</v>
      </c>
      <c r="B1044" s="99" t="b">
        <v>0</v>
      </c>
      <c r="C1044" s="99" t="b">
        <v>0</v>
      </c>
      <c r="D1044" s="80"/>
      <c r="E1044" s="81"/>
      <c r="F1044" s="106"/>
      <c r="G1044" s="107"/>
      <c r="H1044" s="108"/>
      <c r="I1044" s="108"/>
      <c r="J1044" s="109"/>
      <c r="K1044" s="107"/>
      <c r="L1044" s="107"/>
      <c r="M1044" s="110"/>
      <c r="N1044" s="110"/>
      <c r="O1044" s="108"/>
      <c r="P1044" s="108"/>
      <c r="Q1044" s="108"/>
      <c r="R1044" s="108"/>
      <c r="S1044" s="108"/>
      <c r="T1044" s="108"/>
      <c r="U1044" s="108"/>
      <c r="V1044" s="108"/>
      <c r="W1044" s="108"/>
      <c r="X1044" s="108"/>
      <c r="Y1044" s="70"/>
      <c r="Z1044" s="70"/>
      <c r="AA1044" s="70"/>
      <c r="AB1044" s="70"/>
      <c r="AC1044" s="70"/>
      <c r="AD1044" s="70"/>
      <c r="AE1044" s="70"/>
      <c r="AF1044" s="70"/>
      <c r="AG1044" s="70"/>
      <c r="AH1044" s="70"/>
      <c r="AI1044" s="70"/>
      <c r="AJ1044" s="70"/>
      <c r="AK1044" s="70"/>
      <c r="AL1044" s="70"/>
      <c r="AM1044" s="70"/>
      <c r="AN1044" s="70"/>
      <c r="AO1044" s="70"/>
      <c r="AP1044" s="70"/>
      <c r="AQ1044" s="77"/>
      <c r="AR1044" s="77"/>
      <c r="AS1044" s="77"/>
      <c r="AT1044" s="77"/>
      <c r="AU1044" s="77"/>
      <c r="AV1044" s="77"/>
      <c r="AW1044" s="77"/>
      <c r="AX1044" s="77"/>
      <c r="AY1044" s="77"/>
      <c r="AZ1044" s="77"/>
      <c r="BA1044" s="77"/>
      <c r="BB1044" s="77"/>
      <c r="BC1044" s="77"/>
      <c r="BD1044" s="77"/>
      <c r="BE1044" s="77"/>
      <c r="BF1044" s="77"/>
      <c r="BG1044" s="77"/>
      <c r="BH1044" s="77"/>
      <c r="BI1044" s="77"/>
      <c r="BJ1044" s="77"/>
      <c r="BK1044" s="77"/>
      <c r="BL1044" s="77"/>
      <c r="BM1044" s="77"/>
    </row>
    <row r="1045">
      <c r="A1045" s="100" t="s">
        <v>69</v>
      </c>
      <c r="B1045" s="100" t="b">
        <v>0</v>
      </c>
      <c r="C1045" s="100" t="b">
        <v>0</v>
      </c>
      <c r="D1045" s="42"/>
      <c r="E1045" s="43"/>
      <c r="F1045" s="101"/>
      <c r="G1045" s="102"/>
      <c r="H1045" s="103"/>
      <c r="I1045" s="103"/>
      <c r="J1045" s="104"/>
      <c r="K1045" s="102"/>
      <c r="L1045" s="102"/>
      <c r="M1045" s="105"/>
      <c r="N1045" s="105"/>
      <c r="O1045" s="103"/>
      <c r="P1045" s="103"/>
      <c r="Q1045" s="103"/>
      <c r="R1045" s="103"/>
      <c r="S1045" s="103"/>
      <c r="T1045" s="103"/>
      <c r="U1045" s="103"/>
      <c r="V1045" s="103"/>
      <c r="W1045" s="103"/>
      <c r="X1045" s="103"/>
      <c r="Y1045" s="70"/>
      <c r="Z1045" s="70"/>
      <c r="AA1045" s="70"/>
      <c r="AB1045" s="70"/>
      <c r="AC1045" s="70"/>
      <c r="AD1045" s="70"/>
      <c r="AE1045" s="70"/>
      <c r="AF1045" s="70"/>
      <c r="AG1045" s="70"/>
      <c r="AH1045" s="70"/>
      <c r="AI1045" s="70"/>
      <c r="AJ1045" s="70"/>
      <c r="AK1045" s="70"/>
      <c r="AL1045" s="70"/>
      <c r="AM1045" s="70"/>
      <c r="AN1045" s="70"/>
      <c r="AO1045" s="70"/>
      <c r="AP1045" s="70"/>
      <c r="AQ1045" s="77"/>
      <c r="AR1045" s="77"/>
      <c r="AS1045" s="77"/>
      <c r="AT1045" s="77"/>
      <c r="AU1045" s="77"/>
      <c r="AV1045" s="77"/>
      <c r="AW1045" s="77"/>
      <c r="AX1045" s="77"/>
      <c r="AY1045" s="77"/>
      <c r="AZ1045" s="77"/>
      <c r="BA1045" s="77"/>
      <c r="BB1045" s="77"/>
      <c r="BC1045" s="77"/>
      <c r="BD1045" s="77"/>
      <c r="BE1045" s="77"/>
      <c r="BF1045" s="77"/>
      <c r="BG1045" s="77"/>
      <c r="BH1045" s="77"/>
      <c r="BI1045" s="77"/>
      <c r="BJ1045" s="77"/>
      <c r="BK1045" s="77"/>
      <c r="BL1045" s="77"/>
      <c r="BM1045" s="77"/>
    </row>
    <row r="1046">
      <c r="A1046" s="99" t="s">
        <v>69</v>
      </c>
      <c r="B1046" s="99" t="b">
        <v>0</v>
      </c>
      <c r="C1046" s="99" t="b">
        <v>0</v>
      </c>
      <c r="D1046" s="80"/>
      <c r="E1046" s="81"/>
      <c r="F1046" s="106"/>
      <c r="G1046" s="107"/>
      <c r="H1046" s="108"/>
      <c r="I1046" s="108"/>
      <c r="J1046" s="109"/>
      <c r="K1046" s="107"/>
      <c r="L1046" s="107"/>
      <c r="M1046" s="110"/>
      <c r="N1046" s="110"/>
      <c r="O1046" s="108"/>
      <c r="P1046" s="108"/>
      <c r="Q1046" s="108"/>
      <c r="R1046" s="108"/>
      <c r="S1046" s="108"/>
      <c r="T1046" s="108"/>
      <c r="U1046" s="108"/>
      <c r="V1046" s="108"/>
      <c r="W1046" s="108"/>
      <c r="X1046" s="108"/>
      <c r="Y1046" s="70"/>
      <c r="Z1046" s="70"/>
      <c r="AA1046" s="70"/>
      <c r="AB1046" s="70"/>
      <c r="AC1046" s="70"/>
      <c r="AD1046" s="70"/>
      <c r="AE1046" s="70"/>
      <c r="AF1046" s="70"/>
      <c r="AG1046" s="70"/>
      <c r="AH1046" s="70"/>
      <c r="AI1046" s="70"/>
      <c r="AJ1046" s="70"/>
      <c r="AK1046" s="70"/>
      <c r="AL1046" s="70"/>
      <c r="AM1046" s="70"/>
      <c r="AN1046" s="70"/>
      <c r="AO1046" s="70"/>
      <c r="AP1046" s="70"/>
      <c r="AQ1046" s="77"/>
      <c r="AR1046" s="77"/>
      <c r="AS1046" s="77"/>
      <c r="AT1046" s="77"/>
      <c r="AU1046" s="77"/>
      <c r="AV1046" s="77"/>
      <c r="AW1046" s="77"/>
      <c r="AX1046" s="77"/>
      <c r="AY1046" s="77"/>
      <c r="AZ1046" s="77"/>
      <c r="BA1046" s="77"/>
      <c r="BB1046" s="77"/>
      <c r="BC1046" s="77"/>
      <c r="BD1046" s="77"/>
      <c r="BE1046" s="77"/>
      <c r="BF1046" s="77"/>
      <c r="BG1046" s="77"/>
      <c r="BH1046" s="77"/>
      <c r="BI1046" s="77"/>
      <c r="BJ1046" s="77"/>
      <c r="BK1046" s="77"/>
      <c r="BL1046" s="77"/>
      <c r="BM1046" s="77"/>
    </row>
    <row r="1047">
      <c r="A1047" s="100" t="s">
        <v>69</v>
      </c>
      <c r="B1047" s="100" t="b">
        <v>0</v>
      </c>
      <c r="C1047" s="100" t="b">
        <v>0</v>
      </c>
      <c r="D1047" s="42"/>
      <c r="E1047" s="43"/>
      <c r="F1047" s="101"/>
      <c r="G1047" s="102"/>
      <c r="H1047" s="103"/>
      <c r="I1047" s="103"/>
      <c r="J1047" s="104"/>
      <c r="K1047" s="102"/>
      <c r="L1047" s="102"/>
      <c r="M1047" s="105"/>
      <c r="N1047" s="105"/>
      <c r="O1047" s="103"/>
      <c r="P1047" s="103"/>
      <c r="Q1047" s="103"/>
      <c r="R1047" s="103"/>
      <c r="S1047" s="103"/>
      <c r="T1047" s="103"/>
      <c r="U1047" s="103"/>
      <c r="V1047" s="103"/>
      <c r="W1047" s="103"/>
      <c r="X1047" s="103"/>
      <c r="Y1047" s="70"/>
      <c r="Z1047" s="70"/>
      <c r="AA1047" s="70"/>
      <c r="AB1047" s="70"/>
      <c r="AC1047" s="70"/>
      <c r="AD1047" s="70"/>
      <c r="AE1047" s="70"/>
      <c r="AF1047" s="70"/>
      <c r="AG1047" s="70"/>
      <c r="AH1047" s="70"/>
      <c r="AI1047" s="70"/>
      <c r="AJ1047" s="70"/>
      <c r="AK1047" s="70"/>
      <c r="AL1047" s="70"/>
      <c r="AM1047" s="70"/>
      <c r="AN1047" s="70"/>
      <c r="AO1047" s="70"/>
      <c r="AP1047" s="70"/>
      <c r="AQ1047" s="77"/>
      <c r="AR1047" s="77"/>
      <c r="AS1047" s="77"/>
      <c r="AT1047" s="77"/>
      <c r="AU1047" s="77"/>
      <c r="AV1047" s="77"/>
      <c r="AW1047" s="77"/>
      <c r="AX1047" s="77"/>
      <c r="AY1047" s="77"/>
      <c r="AZ1047" s="77"/>
      <c r="BA1047" s="77"/>
      <c r="BB1047" s="77"/>
      <c r="BC1047" s="77"/>
      <c r="BD1047" s="77"/>
      <c r="BE1047" s="77"/>
      <c r="BF1047" s="77"/>
      <c r="BG1047" s="77"/>
      <c r="BH1047" s="77"/>
      <c r="BI1047" s="77"/>
      <c r="BJ1047" s="77"/>
      <c r="BK1047" s="77"/>
      <c r="BL1047" s="77"/>
      <c r="BM1047" s="77"/>
    </row>
    <row r="1048">
      <c r="A1048" s="99" t="s">
        <v>69</v>
      </c>
      <c r="B1048" s="99" t="b">
        <v>0</v>
      </c>
      <c r="C1048" s="99" t="b">
        <v>0</v>
      </c>
      <c r="D1048" s="80"/>
      <c r="E1048" s="81"/>
      <c r="F1048" s="106"/>
      <c r="G1048" s="107"/>
      <c r="H1048" s="108"/>
      <c r="I1048" s="108"/>
      <c r="J1048" s="109"/>
      <c r="K1048" s="107"/>
      <c r="L1048" s="107"/>
      <c r="M1048" s="110"/>
      <c r="N1048" s="110"/>
      <c r="O1048" s="108"/>
      <c r="P1048" s="108"/>
      <c r="Q1048" s="108"/>
      <c r="R1048" s="108"/>
      <c r="S1048" s="108"/>
      <c r="T1048" s="108"/>
      <c r="U1048" s="108"/>
      <c r="V1048" s="108"/>
      <c r="W1048" s="108"/>
      <c r="X1048" s="108"/>
      <c r="Y1048" s="70"/>
      <c r="Z1048" s="70"/>
      <c r="AA1048" s="70"/>
      <c r="AB1048" s="70"/>
      <c r="AC1048" s="70"/>
      <c r="AD1048" s="70"/>
      <c r="AE1048" s="70"/>
      <c r="AF1048" s="70"/>
      <c r="AG1048" s="70"/>
      <c r="AH1048" s="70"/>
      <c r="AI1048" s="70"/>
      <c r="AJ1048" s="70"/>
      <c r="AK1048" s="70"/>
      <c r="AL1048" s="70"/>
      <c r="AM1048" s="70"/>
      <c r="AN1048" s="70"/>
      <c r="AO1048" s="70"/>
      <c r="AP1048" s="70"/>
      <c r="AQ1048" s="77"/>
      <c r="AR1048" s="77"/>
      <c r="AS1048" s="77"/>
      <c r="AT1048" s="77"/>
      <c r="AU1048" s="77"/>
      <c r="AV1048" s="77"/>
      <c r="AW1048" s="77"/>
      <c r="AX1048" s="77"/>
      <c r="AY1048" s="77"/>
      <c r="AZ1048" s="77"/>
      <c r="BA1048" s="77"/>
      <c r="BB1048" s="77"/>
      <c r="BC1048" s="77"/>
      <c r="BD1048" s="77"/>
      <c r="BE1048" s="77"/>
      <c r="BF1048" s="77"/>
      <c r="BG1048" s="77"/>
      <c r="BH1048" s="77"/>
      <c r="BI1048" s="77"/>
      <c r="BJ1048" s="77"/>
      <c r="BK1048" s="77"/>
      <c r="BL1048" s="77"/>
      <c r="BM1048" s="77"/>
    </row>
    <row r="1049">
      <c r="A1049" s="100" t="s">
        <v>69</v>
      </c>
      <c r="B1049" s="100" t="b">
        <v>0</v>
      </c>
      <c r="C1049" s="100" t="b">
        <v>0</v>
      </c>
      <c r="D1049" s="42"/>
      <c r="E1049" s="43"/>
      <c r="F1049" s="101"/>
      <c r="G1049" s="102"/>
      <c r="H1049" s="103"/>
      <c r="I1049" s="103"/>
      <c r="J1049" s="104"/>
      <c r="K1049" s="102"/>
      <c r="L1049" s="102"/>
      <c r="M1049" s="105"/>
      <c r="N1049" s="105"/>
      <c r="O1049" s="103"/>
      <c r="P1049" s="103"/>
      <c r="Q1049" s="103"/>
      <c r="R1049" s="103"/>
      <c r="S1049" s="103"/>
      <c r="T1049" s="103"/>
      <c r="U1049" s="103"/>
      <c r="V1049" s="103"/>
      <c r="W1049" s="103"/>
      <c r="X1049" s="103"/>
      <c r="Y1049" s="70"/>
      <c r="Z1049" s="70"/>
      <c r="AA1049" s="70"/>
      <c r="AB1049" s="70"/>
      <c r="AC1049" s="70"/>
      <c r="AD1049" s="70"/>
      <c r="AE1049" s="70"/>
      <c r="AF1049" s="70"/>
      <c r="AG1049" s="70"/>
      <c r="AH1049" s="70"/>
      <c r="AI1049" s="70"/>
      <c r="AJ1049" s="70"/>
      <c r="AK1049" s="70"/>
      <c r="AL1049" s="70"/>
      <c r="AM1049" s="70"/>
      <c r="AN1049" s="70"/>
      <c r="AO1049" s="70"/>
      <c r="AP1049" s="70"/>
      <c r="AQ1049" s="77"/>
      <c r="AR1049" s="77"/>
      <c r="AS1049" s="77"/>
      <c r="AT1049" s="77"/>
      <c r="AU1049" s="77"/>
      <c r="AV1049" s="77"/>
      <c r="AW1049" s="77"/>
      <c r="AX1049" s="77"/>
      <c r="AY1049" s="77"/>
      <c r="AZ1049" s="77"/>
      <c r="BA1049" s="77"/>
      <c r="BB1049" s="77"/>
      <c r="BC1049" s="77"/>
      <c r="BD1049" s="77"/>
      <c r="BE1049" s="77"/>
      <c r="BF1049" s="77"/>
      <c r="BG1049" s="77"/>
      <c r="BH1049" s="77"/>
      <c r="BI1049" s="77"/>
      <c r="BJ1049" s="77"/>
      <c r="BK1049" s="77"/>
      <c r="BL1049" s="77"/>
      <c r="BM1049" s="77"/>
    </row>
    <row r="1050">
      <c r="A1050" s="99" t="s">
        <v>69</v>
      </c>
      <c r="B1050" s="99" t="b">
        <v>0</v>
      </c>
      <c r="C1050" s="99" t="b">
        <v>0</v>
      </c>
      <c r="D1050" s="80"/>
      <c r="E1050" s="81"/>
      <c r="F1050" s="106"/>
      <c r="G1050" s="107"/>
      <c r="H1050" s="108"/>
      <c r="I1050" s="108"/>
      <c r="J1050" s="109"/>
      <c r="K1050" s="107"/>
      <c r="L1050" s="107"/>
      <c r="M1050" s="110"/>
      <c r="N1050" s="110"/>
      <c r="O1050" s="108"/>
      <c r="P1050" s="108"/>
      <c r="Q1050" s="108"/>
      <c r="R1050" s="108"/>
      <c r="S1050" s="108"/>
      <c r="T1050" s="108"/>
      <c r="U1050" s="108"/>
      <c r="V1050" s="108"/>
      <c r="W1050" s="108"/>
      <c r="X1050" s="108"/>
      <c r="Y1050" s="70"/>
      <c r="Z1050" s="70"/>
      <c r="AA1050" s="70"/>
      <c r="AB1050" s="70"/>
      <c r="AC1050" s="70"/>
      <c r="AD1050" s="70"/>
      <c r="AE1050" s="70"/>
      <c r="AF1050" s="70"/>
      <c r="AG1050" s="70"/>
      <c r="AH1050" s="70"/>
      <c r="AI1050" s="70"/>
      <c r="AJ1050" s="70"/>
      <c r="AK1050" s="70"/>
      <c r="AL1050" s="70"/>
      <c r="AM1050" s="70"/>
      <c r="AN1050" s="70"/>
      <c r="AO1050" s="70"/>
      <c r="AP1050" s="70"/>
      <c r="AQ1050" s="77"/>
      <c r="AR1050" s="77"/>
      <c r="AS1050" s="77"/>
      <c r="AT1050" s="77"/>
      <c r="AU1050" s="77"/>
      <c r="AV1050" s="77"/>
      <c r="AW1050" s="77"/>
      <c r="AX1050" s="77"/>
      <c r="AY1050" s="77"/>
      <c r="AZ1050" s="77"/>
      <c r="BA1050" s="77"/>
      <c r="BB1050" s="77"/>
      <c r="BC1050" s="77"/>
      <c r="BD1050" s="77"/>
      <c r="BE1050" s="77"/>
      <c r="BF1050" s="77"/>
      <c r="BG1050" s="77"/>
      <c r="BH1050" s="77"/>
      <c r="BI1050" s="77"/>
      <c r="BJ1050" s="77"/>
      <c r="BK1050" s="77"/>
      <c r="BL1050" s="77"/>
      <c r="BM1050" s="77"/>
    </row>
    <row r="1051">
      <c r="A1051" s="100" t="s">
        <v>69</v>
      </c>
      <c r="B1051" s="100" t="b">
        <v>0</v>
      </c>
      <c r="C1051" s="100" t="b">
        <v>0</v>
      </c>
      <c r="D1051" s="42"/>
      <c r="E1051" s="43"/>
      <c r="F1051" s="101"/>
      <c r="G1051" s="102"/>
      <c r="H1051" s="103"/>
      <c r="I1051" s="103"/>
      <c r="J1051" s="104"/>
      <c r="K1051" s="102"/>
      <c r="L1051" s="102"/>
      <c r="M1051" s="105"/>
      <c r="N1051" s="105"/>
      <c r="O1051" s="103"/>
      <c r="P1051" s="103"/>
      <c r="Q1051" s="103"/>
      <c r="R1051" s="103"/>
      <c r="S1051" s="103"/>
      <c r="T1051" s="103"/>
      <c r="U1051" s="103"/>
      <c r="V1051" s="103"/>
      <c r="W1051" s="103"/>
      <c r="X1051" s="103"/>
      <c r="Y1051" s="70"/>
      <c r="Z1051" s="70"/>
      <c r="AA1051" s="70"/>
      <c r="AB1051" s="70"/>
      <c r="AC1051" s="70"/>
      <c r="AD1051" s="70"/>
      <c r="AE1051" s="70"/>
      <c r="AF1051" s="70"/>
      <c r="AG1051" s="70"/>
      <c r="AH1051" s="70"/>
      <c r="AI1051" s="70"/>
      <c r="AJ1051" s="70"/>
      <c r="AK1051" s="70"/>
      <c r="AL1051" s="70"/>
      <c r="AM1051" s="70"/>
      <c r="AN1051" s="70"/>
      <c r="AO1051" s="70"/>
      <c r="AP1051" s="70"/>
      <c r="AQ1051" s="77"/>
      <c r="AR1051" s="77"/>
      <c r="AS1051" s="77"/>
      <c r="AT1051" s="77"/>
      <c r="AU1051" s="77"/>
      <c r="AV1051" s="77"/>
      <c r="AW1051" s="77"/>
      <c r="AX1051" s="77"/>
      <c r="AY1051" s="77"/>
      <c r="AZ1051" s="77"/>
      <c r="BA1051" s="77"/>
      <c r="BB1051" s="77"/>
      <c r="BC1051" s="77"/>
      <c r="BD1051" s="77"/>
      <c r="BE1051" s="77"/>
      <c r="BF1051" s="77"/>
      <c r="BG1051" s="77"/>
      <c r="BH1051" s="77"/>
      <c r="BI1051" s="77"/>
      <c r="BJ1051" s="77"/>
      <c r="BK1051" s="77"/>
      <c r="BL1051" s="77"/>
      <c r="BM1051" s="77"/>
    </row>
    <row r="1052">
      <c r="A1052" s="99" t="s">
        <v>69</v>
      </c>
      <c r="B1052" s="99" t="b">
        <v>0</v>
      </c>
      <c r="C1052" s="99" t="b">
        <v>0</v>
      </c>
      <c r="D1052" s="80"/>
      <c r="E1052" s="81"/>
      <c r="F1052" s="106"/>
      <c r="G1052" s="107"/>
      <c r="H1052" s="108"/>
      <c r="I1052" s="108"/>
      <c r="J1052" s="109"/>
      <c r="K1052" s="107"/>
      <c r="L1052" s="107"/>
      <c r="M1052" s="110"/>
      <c r="N1052" s="110"/>
      <c r="O1052" s="108"/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70"/>
      <c r="Z1052" s="70"/>
      <c r="AA1052" s="70"/>
      <c r="AB1052" s="70"/>
      <c r="AC1052" s="70"/>
      <c r="AD1052" s="70"/>
      <c r="AE1052" s="70"/>
      <c r="AF1052" s="70"/>
      <c r="AG1052" s="70"/>
      <c r="AH1052" s="70"/>
      <c r="AI1052" s="70"/>
      <c r="AJ1052" s="70"/>
      <c r="AK1052" s="70"/>
      <c r="AL1052" s="70"/>
      <c r="AM1052" s="70"/>
      <c r="AN1052" s="70"/>
      <c r="AO1052" s="70"/>
      <c r="AP1052" s="70"/>
      <c r="AQ1052" s="77"/>
      <c r="AR1052" s="77"/>
      <c r="AS1052" s="77"/>
      <c r="AT1052" s="77"/>
      <c r="AU1052" s="77"/>
      <c r="AV1052" s="77"/>
      <c r="AW1052" s="77"/>
      <c r="AX1052" s="77"/>
      <c r="AY1052" s="77"/>
      <c r="AZ1052" s="77"/>
      <c r="BA1052" s="77"/>
      <c r="BB1052" s="77"/>
      <c r="BC1052" s="77"/>
      <c r="BD1052" s="77"/>
      <c r="BE1052" s="77"/>
      <c r="BF1052" s="77"/>
      <c r="BG1052" s="77"/>
      <c r="BH1052" s="77"/>
      <c r="BI1052" s="77"/>
      <c r="BJ1052" s="77"/>
      <c r="BK1052" s="77"/>
      <c r="BL1052" s="77"/>
      <c r="BM1052" s="77"/>
    </row>
    <row r="1053">
      <c r="A1053" s="100" t="s">
        <v>69</v>
      </c>
      <c r="B1053" s="100" t="b">
        <v>0</v>
      </c>
      <c r="C1053" s="100" t="b">
        <v>0</v>
      </c>
      <c r="D1053" s="42"/>
      <c r="E1053" s="43"/>
      <c r="F1053" s="101"/>
      <c r="G1053" s="102"/>
      <c r="H1053" s="103"/>
      <c r="I1053" s="103"/>
      <c r="J1053" s="104"/>
      <c r="K1053" s="102"/>
      <c r="L1053" s="102"/>
      <c r="M1053" s="105"/>
      <c r="N1053" s="105"/>
      <c r="O1053" s="103"/>
      <c r="P1053" s="103"/>
      <c r="Q1053" s="103"/>
      <c r="R1053" s="103"/>
      <c r="S1053" s="103"/>
      <c r="T1053" s="103"/>
      <c r="U1053" s="103"/>
      <c r="V1053" s="103"/>
      <c r="W1053" s="103"/>
      <c r="X1053" s="103"/>
      <c r="Y1053" s="70"/>
      <c r="Z1053" s="70"/>
      <c r="AA1053" s="70"/>
      <c r="AB1053" s="70"/>
      <c r="AC1053" s="70"/>
      <c r="AD1053" s="70"/>
      <c r="AE1053" s="70"/>
      <c r="AF1053" s="70"/>
      <c r="AG1053" s="70"/>
      <c r="AH1053" s="70"/>
      <c r="AI1053" s="70"/>
      <c r="AJ1053" s="70"/>
      <c r="AK1053" s="70"/>
      <c r="AL1053" s="70"/>
      <c r="AM1053" s="70"/>
      <c r="AN1053" s="70"/>
      <c r="AO1053" s="70"/>
      <c r="AP1053" s="70"/>
      <c r="AQ1053" s="77"/>
      <c r="AR1053" s="77"/>
      <c r="AS1053" s="77"/>
      <c r="AT1053" s="77"/>
      <c r="AU1053" s="77"/>
      <c r="AV1053" s="77"/>
      <c r="AW1053" s="77"/>
      <c r="AX1053" s="77"/>
      <c r="AY1053" s="77"/>
      <c r="AZ1053" s="77"/>
      <c r="BA1053" s="77"/>
      <c r="BB1053" s="77"/>
      <c r="BC1053" s="77"/>
      <c r="BD1053" s="77"/>
      <c r="BE1053" s="77"/>
      <c r="BF1053" s="77"/>
      <c r="BG1053" s="77"/>
      <c r="BH1053" s="77"/>
      <c r="BI1053" s="77"/>
      <c r="BJ1053" s="77"/>
      <c r="BK1053" s="77"/>
      <c r="BL1053" s="77"/>
      <c r="BM1053" s="77"/>
    </row>
    <row r="1054">
      <c r="A1054" s="99" t="s">
        <v>69</v>
      </c>
      <c r="B1054" s="99" t="b">
        <v>0</v>
      </c>
      <c r="C1054" s="99" t="b">
        <v>0</v>
      </c>
      <c r="D1054" s="80"/>
      <c r="E1054" s="81"/>
      <c r="F1054" s="106"/>
      <c r="G1054" s="107"/>
      <c r="H1054" s="108"/>
      <c r="I1054" s="108"/>
      <c r="J1054" s="109"/>
      <c r="K1054" s="107"/>
      <c r="L1054" s="107"/>
      <c r="M1054" s="110"/>
      <c r="N1054" s="110"/>
      <c r="O1054" s="108"/>
      <c r="P1054" s="108"/>
      <c r="Q1054" s="108"/>
      <c r="R1054" s="108"/>
      <c r="S1054" s="108"/>
      <c r="T1054" s="108"/>
      <c r="U1054" s="108"/>
      <c r="V1054" s="108"/>
      <c r="W1054" s="108"/>
      <c r="X1054" s="108"/>
      <c r="Y1054" s="70"/>
      <c r="Z1054" s="70"/>
      <c r="AA1054" s="70"/>
      <c r="AB1054" s="70"/>
      <c r="AC1054" s="70"/>
      <c r="AD1054" s="70"/>
      <c r="AE1054" s="70"/>
      <c r="AF1054" s="70"/>
      <c r="AG1054" s="70"/>
      <c r="AH1054" s="70"/>
      <c r="AI1054" s="70"/>
      <c r="AJ1054" s="70"/>
      <c r="AK1054" s="70"/>
      <c r="AL1054" s="70"/>
      <c r="AM1054" s="70"/>
      <c r="AN1054" s="70"/>
      <c r="AO1054" s="70"/>
      <c r="AP1054" s="70"/>
      <c r="AQ1054" s="77"/>
      <c r="AR1054" s="77"/>
      <c r="AS1054" s="77"/>
      <c r="AT1054" s="77"/>
      <c r="AU1054" s="77"/>
      <c r="AV1054" s="77"/>
      <c r="AW1054" s="77"/>
      <c r="AX1054" s="77"/>
      <c r="AY1054" s="77"/>
      <c r="AZ1054" s="77"/>
      <c r="BA1054" s="77"/>
      <c r="BB1054" s="77"/>
      <c r="BC1054" s="77"/>
      <c r="BD1054" s="77"/>
      <c r="BE1054" s="77"/>
      <c r="BF1054" s="77"/>
      <c r="BG1054" s="77"/>
      <c r="BH1054" s="77"/>
      <c r="BI1054" s="77"/>
      <c r="BJ1054" s="77"/>
      <c r="BK1054" s="77"/>
      <c r="BL1054" s="77"/>
      <c r="BM1054" s="77"/>
    </row>
    <row r="1055">
      <c r="A1055" s="100" t="s">
        <v>69</v>
      </c>
      <c r="B1055" s="100" t="b">
        <v>0</v>
      </c>
      <c r="C1055" s="100" t="b">
        <v>0</v>
      </c>
      <c r="D1055" s="42"/>
      <c r="E1055" s="43"/>
      <c r="F1055" s="101"/>
      <c r="G1055" s="102"/>
      <c r="H1055" s="103"/>
      <c r="I1055" s="103"/>
      <c r="J1055" s="104"/>
      <c r="K1055" s="102"/>
      <c r="L1055" s="102"/>
      <c r="M1055" s="105"/>
      <c r="N1055" s="105"/>
      <c r="O1055" s="103"/>
      <c r="P1055" s="103"/>
      <c r="Q1055" s="103"/>
      <c r="R1055" s="103"/>
      <c r="S1055" s="103"/>
      <c r="T1055" s="103"/>
      <c r="U1055" s="103"/>
      <c r="V1055" s="103"/>
      <c r="W1055" s="103"/>
      <c r="X1055" s="103"/>
      <c r="Y1055" s="70"/>
      <c r="Z1055" s="70"/>
      <c r="AA1055" s="70"/>
      <c r="AB1055" s="70"/>
      <c r="AC1055" s="70"/>
      <c r="AD1055" s="70"/>
      <c r="AE1055" s="70"/>
      <c r="AF1055" s="70"/>
      <c r="AG1055" s="70"/>
      <c r="AH1055" s="70"/>
      <c r="AI1055" s="70"/>
      <c r="AJ1055" s="70"/>
      <c r="AK1055" s="70"/>
      <c r="AL1055" s="70"/>
      <c r="AM1055" s="70"/>
      <c r="AN1055" s="70"/>
      <c r="AO1055" s="70"/>
      <c r="AP1055" s="70"/>
      <c r="AQ1055" s="77"/>
      <c r="AR1055" s="77"/>
      <c r="AS1055" s="77"/>
      <c r="AT1055" s="77"/>
      <c r="AU1055" s="77"/>
      <c r="AV1055" s="77"/>
      <c r="AW1055" s="77"/>
      <c r="AX1055" s="77"/>
      <c r="AY1055" s="77"/>
      <c r="AZ1055" s="77"/>
      <c r="BA1055" s="77"/>
      <c r="BB1055" s="77"/>
      <c r="BC1055" s="77"/>
      <c r="BD1055" s="77"/>
      <c r="BE1055" s="77"/>
      <c r="BF1055" s="77"/>
      <c r="BG1055" s="77"/>
      <c r="BH1055" s="77"/>
      <c r="BI1055" s="77"/>
      <c r="BJ1055" s="77"/>
      <c r="BK1055" s="77"/>
      <c r="BL1055" s="77"/>
      <c r="BM1055" s="77"/>
    </row>
    <row r="1056">
      <c r="A1056" s="99" t="s">
        <v>69</v>
      </c>
      <c r="B1056" s="99" t="b">
        <v>0</v>
      </c>
      <c r="C1056" s="99" t="b">
        <v>0</v>
      </c>
      <c r="D1056" s="80"/>
      <c r="E1056" s="81"/>
      <c r="F1056" s="106"/>
      <c r="G1056" s="107"/>
      <c r="H1056" s="108"/>
      <c r="I1056" s="108"/>
      <c r="J1056" s="109"/>
      <c r="K1056" s="107"/>
      <c r="L1056" s="107"/>
      <c r="M1056" s="110"/>
      <c r="N1056" s="110"/>
      <c r="O1056" s="108"/>
      <c r="P1056" s="108"/>
      <c r="Q1056" s="108"/>
      <c r="R1056" s="108"/>
      <c r="S1056" s="108"/>
      <c r="T1056" s="108"/>
      <c r="U1056" s="108"/>
      <c r="V1056" s="108"/>
      <c r="W1056" s="108"/>
      <c r="X1056" s="108"/>
      <c r="Y1056" s="70"/>
      <c r="Z1056" s="70"/>
      <c r="AA1056" s="70"/>
      <c r="AB1056" s="70"/>
      <c r="AC1056" s="70"/>
      <c r="AD1056" s="70"/>
      <c r="AE1056" s="70"/>
      <c r="AF1056" s="70"/>
      <c r="AG1056" s="70"/>
      <c r="AH1056" s="70"/>
      <c r="AI1056" s="70"/>
      <c r="AJ1056" s="70"/>
      <c r="AK1056" s="70"/>
      <c r="AL1056" s="70"/>
      <c r="AM1056" s="70"/>
      <c r="AN1056" s="70"/>
      <c r="AO1056" s="70"/>
      <c r="AP1056" s="70"/>
      <c r="AQ1056" s="77"/>
      <c r="AR1056" s="77"/>
      <c r="AS1056" s="77"/>
      <c r="AT1056" s="77"/>
      <c r="AU1056" s="77"/>
      <c r="AV1056" s="77"/>
      <c r="AW1056" s="77"/>
      <c r="AX1056" s="77"/>
      <c r="AY1056" s="77"/>
      <c r="AZ1056" s="77"/>
      <c r="BA1056" s="77"/>
      <c r="BB1056" s="77"/>
      <c r="BC1056" s="77"/>
      <c r="BD1056" s="77"/>
      <c r="BE1056" s="77"/>
      <c r="BF1056" s="77"/>
      <c r="BG1056" s="77"/>
      <c r="BH1056" s="77"/>
      <c r="BI1056" s="77"/>
      <c r="BJ1056" s="77"/>
      <c r="BK1056" s="77"/>
      <c r="BL1056" s="77"/>
      <c r="BM1056" s="77"/>
    </row>
    <row r="1057">
      <c r="A1057" s="100" t="s">
        <v>69</v>
      </c>
      <c r="B1057" s="100" t="b">
        <v>0</v>
      </c>
      <c r="C1057" s="100" t="b">
        <v>0</v>
      </c>
      <c r="D1057" s="42"/>
      <c r="E1057" s="43"/>
      <c r="F1057" s="101"/>
      <c r="G1057" s="102"/>
      <c r="H1057" s="103"/>
      <c r="I1057" s="103"/>
      <c r="J1057" s="104"/>
      <c r="K1057" s="102"/>
      <c r="L1057" s="102"/>
      <c r="M1057" s="105"/>
      <c r="N1057" s="105"/>
      <c r="O1057" s="103"/>
      <c r="P1057" s="103"/>
      <c r="Q1057" s="103"/>
      <c r="R1057" s="103"/>
      <c r="S1057" s="103"/>
      <c r="T1057" s="103"/>
      <c r="U1057" s="103"/>
      <c r="V1057" s="103"/>
      <c r="W1057" s="103"/>
      <c r="X1057" s="103"/>
      <c r="Y1057" s="70"/>
      <c r="Z1057" s="70"/>
      <c r="AA1057" s="70"/>
      <c r="AB1057" s="70"/>
      <c r="AC1057" s="70"/>
      <c r="AD1057" s="70"/>
      <c r="AE1057" s="70"/>
      <c r="AF1057" s="70"/>
      <c r="AG1057" s="70"/>
      <c r="AH1057" s="70"/>
      <c r="AI1057" s="70"/>
      <c r="AJ1057" s="70"/>
      <c r="AK1057" s="70"/>
      <c r="AL1057" s="70"/>
      <c r="AM1057" s="70"/>
      <c r="AN1057" s="70"/>
      <c r="AO1057" s="70"/>
      <c r="AP1057" s="70"/>
      <c r="AQ1057" s="77"/>
      <c r="AR1057" s="77"/>
      <c r="AS1057" s="77"/>
      <c r="AT1057" s="77"/>
      <c r="AU1057" s="77"/>
      <c r="AV1057" s="77"/>
      <c r="AW1057" s="77"/>
      <c r="AX1057" s="77"/>
      <c r="AY1057" s="77"/>
      <c r="AZ1057" s="77"/>
      <c r="BA1057" s="77"/>
      <c r="BB1057" s="77"/>
      <c r="BC1057" s="77"/>
      <c r="BD1057" s="77"/>
      <c r="BE1057" s="77"/>
      <c r="BF1057" s="77"/>
      <c r="BG1057" s="77"/>
      <c r="BH1057" s="77"/>
      <c r="BI1057" s="77"/>
      <c r="BJ1057" s="77"/>
      <c r="BK1057" s="77"/>
      <c r="BL1057" s="77"/>
      <c r="BM1057" s="77"/>
    </row>
    <row r="1058">
      <c r="A1058" s="99" t="s">
        <v>69</v>
      </c>
      <c r="B1058" s="99" t="b">
        <v>0</v>
      </c>
      <c r="C1058" s="99" t="b">
        <v>0</v>
      </c>
      <c r="D1058" s="80"/>
      <c r="E1058" s="81"/>
      <c r="F1058" s="106"/>
      <c r="G1058" s="107"/>
      <c r="H1058" s="108"/>
      <c r="I1058" s="108"/>
      <c r="J1058" s="109"/>
      <c r="K1058" s="107"/>
      <c r="L1058" s="107"/>
      <c r="M1058" s="110"/>
      <c r="N1058" s="110"/>
      <c r="O1058" s="108"/>
      <c r="P1058" s="108"/>
      <c r="Q1058" s="108"/>
      <c r="R1058" s="108"/>
      <c r="S1058" s="108"/>
      <c r="T1058" s="108"/>
      <c r="U1058" s="108"/>
      <c r="V1058" s="108"/>
      <c r="W1058" s="108"/>
      <c r="X1058" s="108"/>
      <c r="Y1058" s="70"/>
      <c r="Z1058" s="70"/>
      <c r="AA1058" s="70"/>
      <c r="AB1058" s="70"/>
      <c r="AC1058" s="70"/>
      <c r="AD1058" s="70"/>
      <c r="AE1058" s="70"/>
      <c r="AF1058" s="70"/>
      <c r="AG1058" s="70"/>
      <c r="AH1058" s="70"/>
      <c r="AI1058" s="70"/>
      <c r="AJ1058" s="70"/>
      <c r="AK1058" s="70"/>
      <c r="AL1058" s="70"/>
      <c r="AM1058" s="70"/>
      <c r="AN1058" s="70"/>
      <c r="AO1058" s="70"/>
      <c r="AP1058" s="70"/>
      <c r="AQ1058" s="77"/>
      <c r="AR1058" s="77"/>
      <c r="AS1058" s="77"/>
      <c r="AT1058" s="77"/>
      <c r="AU1058" s="77"/>
      <c r="AV1058" s="77"/>
      <c r="AW1058" s="77"/>
      <c r="AX1058" s="77"/>
      <c r="AY1058" s="77"/>
      <c r="AZ1058" s="77"/>
      <c r="BA1058" s="77"/>
      <c r="BB1058" s="77"/>
      <c r="BC1058" s="77"/>
      <c r="BD1058" s="77"/>
      <c r="BE1058" s="77"/>
      <c r="BF1058" s="77"/>
      <c r="BG1058" s="77"/>
      <c r="BH1058" s="77"/>
      <c r="BI1058" s="77"/>
      <c r="BJ1058" s="77"/>
      <c r="BK1058" s="77"/>
      <c r="BL1058" s="77"/>
      <c r="BM1058" s="77"/>
    </row>
    <row r="1059">
      <c r="A1059" s="100" t="s">
        <v>69</v>
      </c>
      <c r="B1059" s="100" t="b">
        <v>0</v>
      </c>
      <c r="C1059" s="100" t="b">
        <v>0</v>
      </c>
      <c r="D1059" s="42"/>
      <c r="E1059" s="43"/>
      <c r="F1059" s="101"/>
      <c r="G1059" s="102"/>
      <c r="H1059" s="103"/>
      <c r="I1059" s="103"/>
      <c r="J1059" s="104"/>
      <c r="K1059" s="102"/>
      <c r="L1059" s="102"/>
      <c r="M1059" s="105"/>
      <c r="N1059" s="105"/>
      <c r="O1059" s="103"/>
      <c r="P1059" s="103"/>
      <c r="Q1059" s="103"/>
      <c r="R1059" s="103"/>
      <c r="S1059" s="103"/>
      <c r="T1059" s="103"/>
      <c r="U1059" s="103"/>
      <c r="V1059" s="103"/>
      <c r="W1059" s="103"/>
      <c r="X1059" s="103"/>
      <c r="Y1059" s="70"/>
      <c r="Z1059" s="70"/>
      <c r="AA1059" s="70"/>
      <c r="AB1059" s="70"/>
      <c r="AC1059" s="70"/>
      <c r="AD1059" s="70"/>
      <c r="AE1059" s="70"/>
      <c r="AF1059" s="70"/>
      <c r="AG1059" s="70"/>
      <c r="AH1059" s="70"/>
      <c r="AI1059" s="70"/>
      <c r="AJ1059" s="70"/>
      <c r="AK1059" s="70"/>
      <c r="AL1059" s="70"/>
      <c r="AM1059" s="70"/>
      <c r="AN1059" s="70"/>
      <c r="AO1059" s="70"/>
      <c r="AP1059" s="70"/>
      <c r="AQ1059" s="77"/>
      <c r="AR1059" s="77"/>
      <c r="AS1059" s="77"/>
      <c r="AT1059" s="77"/>
      <c r="AU1059" s="77"/>
      <c r="AV1059" s="77"/>
      <c r="AW1059" s="77"/>
      <c r="AX1059" s="77"/>
      <c r="AY1059" s="77"/>
      <c r="AZ1059" s="77"/>
      <c r="BA1059" s="77"/>
      <c r="BB1059" s="77"/>
      <c r="BC1059" s="77"/>
      <c r="BD1059" s="77"/>
      <c r="BE1059" s="77"/>
      <c r="BF1059" s="77"/>
      <c r="BG1059" s="77"/>
      <c r="BH1059" s="77"/>
      <c r="BI1059" s="77"/>
      <c r="BJ1059" s="77"/>
      <c r="BK1059" s="77"/>
      <c r="BL1059" s="77"/>
      <c r="BM1059" s="77"/>
    </row>
    <row r="1060">
      <c r="A1060" s="99" t="s">
        <v>69</v>
      </c>
      <c r="B1060" s="99" t="b">
        <v>0</v>
      </c>
      <c r="C1060" s="99" t="b">
        <v>0</v>
      </c>
      <c r="D1060" s="80"/>
      <c r="E1060" s="81"/>
      <c r="F1060" s="106"/>
      <c r="G1060" s="107"/>
      <c r="H1060" s="108"/>
      <c r="I1060" s="108"/>
      <c r="J1060" s="109"/>
      <c r="K1060" s="107"/>
      <c r="L1060" s="107"/>
      <c r="M1060" s="110"/>
      <c r="N1060" s="110"/>
      <c r="O1060" s="108"/>
      <c r="P1060" s="108"/>
      <c r="Q1060" s="108"/>
      <c r="R1060" s="108"/>
      <c r="S1060" s="108"/>
      <c r="T1060" s="108"/>
      <c r="U1060" s="108"/>
      <c r="V1060" s="108"/>
      <c r="W1060" s="108"/>
      <c r="X1060" s="108"/>
      <c r="Y1060" s="70"/>
      <c r="Z1060" s="70"/>
      <c r="AA1060" s="70"/>
      <c r="AB1060" s="70"/>
      <c r="AC1060" s="70"/>
      <c r="AD1060" s="70"/>
      <c r="AE1060" s="70"/>
      <c r="AF1060" s="70"/>
      <c r="AG1060" s="70"/>
      <c r="AH1060" s="70"/>
      <c r="AI1060" s="70"/>
      <c r="AJ1060" s="70"/>
      <c r="AK1060" s="70"/>
      <c r="AL1060" s="70"/>
      <c r="AM1060" s="70"/>
      <c r="AN1060" s="70"/>
      <c r="AO1060" s="70"/>
      <c r="AP1060" s="70"/>
      <c r="AQ1060" s="77"/>
      <c r="AR1060" s="77"/>
      <c r="AS1060" s="77"/>
      <c r="AT1060" s="77"/>
      <c r="AU1060" s="77"/>
      <c r="AV1060" s="77"/>
      <c r="AW1060" s="77"/>
      <c r="AX1060" s="77"/>
      <c r="AY1060" s="77"/>
      <c r="AZ1060" s="77"/>
      <c r="BA1060" s="77"/>
      <c r="BB1060" s="77"/>
      <c r="BC1060" s="77"/>
      <c r="BD1060" s="77"/>
      <c r="BE1060" s="77"/>
      <c r="BF1060" s="77"/>
      <c r="BG1060" s="77"/>
      <c r="BH1060" s="77"/>
      <c r="BI1060" s="77"/>
      <c r="BJ1060" s="77"/>
      <c r="BK1060" s="77"/>
      <c r="BL1060" s="77"/>
      <c r="BM1060" s="77"/>
    </row>
    <row r="1061">
      <c r="A1061" s="100" t="s">
        <v>69</v>
      </c>
      <c r="B1061" s="100" t="b">
        <v>0</v>
      </c>
      <c r="C1061" s="100" t="b">
        <v>0</v>
      </c>
      <c r="D1061" s="42"/>
      <c r="E1061" s="43"/>
      <c r="F1061" s="101"/>
      <c r="G1061" s="102"/>
      <c r="H1061" s="103"/>
      <c r="I1061" s="103"/>
      <c r="J1061" s="104"/>
      <c r="K1061" s="102"/>
      <c r="L1061" s="102"/>
      <c r="M1061" s="105"/>
      <c r="N1061" s="105"/>
      <c r="O1061" s="103"/>
      <c r="P1061" s="103"/>
      <c r="Q1061" s="103"/>
      <c r="R1061" s="103"/>
      <c r="S1061" s="103"/>
      <c r="T1061" s="103"/>
      <c r="U1061" s="103"/>
      <c r="V1061" s="103"/>
      <c r="W1061" s="103"/>
      <c r="X1061" s="103"/>
      <c r="Y1061" s="70"/>
      <c r="Z1061" s="70"/>
      <c r="AA1061" s="70"/>
      <c r="AB1061" s="70"/>
      <c r="AC1061" s="70"/>
      <c r="AD1061" s="70"/>
      <c r="AE1061" s="70"/>
      <c r="AF1061" s="70"/>
      <c r="AG1061" s="70"/>
      <c r="AH1061" s="70"/>
      <c r="AI1061" s="70"/>
      <c r="AJ1061" s="70"/>
      <c r="AK1061" s="70"/>
      <c r="AL1061" s="70"/>
      <c r="AM1061" s="70"/>
      <c r="AN1061" s="70"/>
      <c r="AO1061" s="70"/>
      <c r="AP1061" s="70"/>
      <c r="AQ1061" s="77"/>
      <c r="AR1061" s="77"/>
      <c r="AS1061" s="77"/>
      <c r="AT1061" s="77"/>
      <c r="AU1061" s="77"/>
      <c r="AV1061" s="77"/>
      <c r="AW1061" s="77"/>
      <c r="AX1061" s="77"/>
      <c r="AY1061" s="77"/>
      <c r="AZ1061" s="77"/>
      <c r="BA1061" s="77"/>
      <c r="BB1061" s="77"/>
      <c r="BC1061" s="77"/>
      <c r="BD1061" s="77"/>
      <c r="BE1061" s="77"/>
      <c r="BF1061" s="77"/>
      <c r="BG1061" s="77"/>
      <c r="BH1061" s="77"/>
      <c r="BI1061" s="77"/>
      <c r="BJ1061" s="77"/>
      <c r="BK1061" s="77"/>
      <c r="BL1061" s="77"/>
      <c r="BM1061" s="77"/>
    </row>
    <row r="1062">
      <c r="A1062" s="99" t="s">
        <v>69</v>
      </c>
      <c r="B1062" s="99" t="b">
        <v>0</v>
      </c>
      <c r="C1062" s="99" t="b">
        <v>0</v>
      </c>
      <c r="D1062" s="80"/>
      <c r="E1062" s="81"/>
      <c r="F1062" s="106"/>
      <c r="G1062" s="107"/>
      <c r="H1062" s="108"/>
      <c r="I1062" s="108"/>
      <c r="J1062" s="109"/>
      <c r="K1062" s="107"/>
      <c r="L1062" s="107"/>
      <c r="M1062" s="110"/>
      <c r="N1062" s="110"/>
      <c r="O1062" s="108"/>
      <c r="P1062" s="108"/>
      <c r="Q1062" s="108"/>
      <c r="R1062" s="108"/>
      <c r="S1062" s="108"/>
      <c r="T1062" s="108"/>
      <c r="U1062" s="108"/>
      <c r="V1062" s="108"/>
      <c r="W1062" s="108"/>
      <c r="X1062" s="108"/>
      <c r="Y1062" s="70"/>
      <c r="Z1062" s="70"/>
      <c r="AA1062" s="70"/>
      <c r="AB1062" s="70"/>
      <c r="AC1062" s="70"/>
      <c r="AD1062" s="70"/>
      <c r="AE1062" s="70"/>
      <c r="AF1062" s="70"/>
      <c r="AG1062" s="70"/>
      <c r="AH1062" s="70"/>
      <c r="AI1062" s="70"/>
      <c r="AJ1062" s="70"/>
      <c r="AK1062" s="70"/>
      <c r="AL1062" s="70"/>
      <c r="AM1062" s="70"/>
      <c r="AN1062" s="70"/>
      <c r="AO1062" s="70"/>
      <c r="AP1062" s="70"/>
      <c r="AQ1062" s="77"/>
      <c r="AR1062" s="77"/>
      <c r="AS1062" s="77"/>
      <c r="AT1062" s="77"/>
      <c r="AU1062" s="77"/>
      <c r="AV1062" s="77"/>
      <c r="AW1062" s="77"/>
      <c r="AX1062" s="77"/>
      <c r="AY1062" s="77"/>
      <c r="AZ1062" s="77"/>
      <c r="BA1062" s="77"/>
      <c r="BB1062" s="77"/>
      <c r="BC1062" s="77"/>
      <c r="BD1062" s="77"/>
      <c r="BE1062" s="77"/>
      <c r="BF1062" s="77"/>
      <c r="BG1062" s="77"/>
      <c r="BH1062" s="77"/>
      <c r="BI1062" s="77"/>
      <c r="BJ1062" s="77"/>
      <c r="BK1062" s="77"/>
      <c r="BL1062" s="77"/>
      <c r="BM1062" s="77"/>
    </row>
    <row r="1063">
      <c r="A1063" s="100" t="s">
        <v>69</v>
      </c>
      <c r="B1063" s="100" t="b">
        <v>0</v>
      </c>
      <c r="C1063" s="100" t="b">
        <v>0</v>
      </c>
      <c r="D1063" s="42"/>
      <c r="E1063" s="43"/>
      <c r="F1063" s="101"/>
      <c r="G1063" s="102"/>
      <c r="H1063" s="103"/>
      <c r="I1063" s="103"/>
      <c r="J1063" s="104"/>
      <c r="K1063" s="102"/>
      <c r="L1063" s="102"/>
      <c r="M1063" s="105"/>
      <c r="N1063" s="105"/>
      <c r="O1063" s="103"/>
      <c r="P1063" s="103"/>
      <c r="Q1063" s="103"/>
      <c r="R1063" s="103"/>
      <c r="S1063" s="103"/>
      <c r="T1063" s="103"/>
      <c r="U1063" s="103"/>
      <c r="V1063" s="103"/>
      <c r="W1063" s="103"/>
      <c r="X1063" s="103"/>
      <c r="Y1063" s="70"/>
      <c r="Z1063" s="70"/>
      <c r="AA1063" s="70"/>
      <c r="AB1063" s="70"/>
      <c r="AC1063" s="70"/>
      <c r="AD1063" s="70"/>
      <c r="AE1063" s="70"/>
      <c r="AF1063" s="70"/>
      <c r="AG1063" s="70"/>
      <c r="AH1063" s="70"/>
      <c r="AI1063" s="70"/>
      <c r="AJ1063" s="70"/>
      <c r="AK1063" s="70"/>
      <c r="AL1063" s="70"/>
      <c r="AM1063" s="70"/>
      <c r="AN1063" s="70"/>
      <c r="AO1063" s="70"/>
      <c r="AP1063" s="70"/>
      <c r="AQ1063" s="77"/>
      <c r="AR1063" s="77"/>
      <c r="AS1063" s="77"/>
      <c r="AT1063" s="77"/>
      <c r="AU1063" s="77"/>
      <c r="AV1063" s="77"/>
      <c r="AW1063" s="77"/>
      <c r="AX1063" s="77"/>
      <c r="AY1063" s="77"/>
      <c r="AZ1063" s="77"/>
      <c r="BA1063" s="77"/>
      <c r="BB1063" s="77"/>
      <c r="BC1063" s="77"/>
      <c r="BD1063" s="77"/>
      <c r="BE1063" s="77"/>
      <c r="BF1063" s="77"/>
      <c r="BG1063" s="77"/>
      <c r="BH1063" s="77"/>
      <c r="BI1063" s="77"/>
      <c r="BJ1063" s="77"/>
      <c r="BK1063" s="77"/>
      <c r="BL1063" s="77"/>
      <c r="BM1063" s="77"/>
    </row>
    <row r="1064">
      <c r="A1064" s="99" t="s">
        <v>69</v>
      </c>
      <c r="B1064" s="99" t="b">
        <v>0</v>
      </c>
      <c r="C1064" s="99" t="b">
        <v>0</v>
      </c>
      <c r="D1064" s="80"/>
      <c r="E1064" s="81"/>
      <c r="F1064" s="106"/>
      <c r="G1064" s="107"/>
      <c r="H1064" s="108"/>
      <c r="I1064" s="108"/>
      <c r="J1064" s="109"/>
      <c r="K1064" s="107"/>
      <c r="L1064" s="107"/>
      <c r="M1064" s="110"/>
      <c r="N1064" s="110"/>
      <c r="O1064" s="108"/>
      <c r="P1064" s="108"/>
      <c r="Q1064" s="108"/>
      <c r="R1064" s="108"/>
      <c r="S1064" s="108"/>
      <c r="T1064" s="108"/>
      <c r="U1064" s="108"/>
      <c r="V1064" s="108"/>
      <c r="W1064" s="108"/>
      <c r="X1064" s="108"/>
      <c r="Y1064" s="70"/>
      <c r="Z1064" s="70"/>
      <c r="AA1064" s="70"/>
      <c r="AB1064" s="70"/>
      <c r="AC1064" s="70"/>
      <c r="AD1064" s="70"/>
      <c r="AE1064" s="70"/>
      <c r="AF1064" s="70"/>
      <c r="AG1064" s="70"/>
      <c r="AH1064" s="70"/>
      <c r="AI1064" s="70"/>
      <c r="AJ1064" s="70"/>
      <c r="AK1064" s="70"/>
      <c r="AL1064" s="70"/>
      <c r="AM1064" s="70"/>
      <c r="AN1064" s="70"/>
      <c r="AO1064" s="70"/>
      <c r="AP1064" s="70"/>
      <c r="AQ1064" s="77"/>
      <c r="AR1064" s="77"/>
      <c r="AS1064" s="77"/>
      <c r="AT1064" s="77"/>
      <c r="AU1064" s="77"/>
      <c r="AV1064" s="77"/>
      <c r="AW1064" s="77"/>
      <c r="AX1064" s="77"/>
      <c r="AY1064" s="77"/>
      <c r="AZ1064" s="77"/>
      <c r="BA1064" s="77"/>
      <c r="BB1064" s="77"/>
      <c r="BC1064" s="77"/>
      <c r="BD1064" s="77"/>
      <c r="BE1064" s="77"/>
      <c r="BF1064" s="77"/>
      <c r="BG1064" s="77"/>
      <c r="BH1064" s="77"/>
      <c r="BI1064" s="77"/>
      <c r="BJ1064" s="77"/>
      <c r="BK1064" s="77"/>
      <c r="BL1064" s="77"/>
      <c r="BM1064" s="77"/>
    </row>
    <row r="1065">
      <c r="A1065" s="100" t="s">
        <v>69</v>
      </c>
      <c r="B1065" s="100" t="b">
        <v>0</v>
      </c>
      <c r="C1065" s="100" t="b">
        <v>0</v>
      </c>
      <c r="D1065" s="42"/>
      <c r="E1065" s="43"/>
      <c r="F1065" s="101"/>
      <c r="G1065" s="102"/>
      <c r="H1065" s="103"/>
      <c r="I1065" s="103"/>
      <c r="J1065" s="104"/>
      <c r="K1065" s="102"/>
      <c r="L1065" s="102"/>
      <c r="M1065" s="105"/>
      <c r="N1065" s="105"/>
      <c r="O1065" s="103"/>
      <c r="P1065" s="103"/>
      <c r="Q1065" s="103"/>
      <c r="R1065" s="103"/>
      <c r="S1065" s="103"/>
      <c r="T1065" s="103"/>
      <c r="U1065" s="103"/>
      <c r="V1065" s="103"/>
      <c r="W1065" s="103"/>
      <c r="X1065" s="103"/>
      <c r="Y1065" s="70"/>
      <c r="Z1065" s="70"/>
      <c r="AA1065" s="70"/>
      <c r="AB1065" s="70"/>
      <c r="AC1065" s="70"/>
      <c r="AD1065" s="70"/>
      <c r="AE1065" s="70"/>
      <c r="AF1065" s="70"/>
      <c r="AG1065" s="70"/>
      <c r="AH1065" s="70"/>
      <c r="AI1065" s="70"/>
      <c r="AJ1065" s="70"/>
      <c r="AK1065" s="70"/>
      <c r="AL1065" s="70"/>
      <c r="AM1065" s="70"/>
      <c r="AN1065" s="70"/>
      <c r="AO1065" s="70"/>
      <c r="AP1065" s="70"/>
      <c r="AQ1065" s="77"/>
      <c r="AR1065" s="77"/>
      <c r="AS1065" s="77"/>
      <c r="AT1065" s="77"/>
      <c r="AU1065" s="77"/>
      <c r="AV1065" s="77"/>
      <c r="AW1065" s="77"/>
      <c r="AX1065" s="77"/>
      <c r="AY1065" s="77"/>
      <c r="AZ1065" s="77"/>
      <c r="BA1065" s="77"/>
      <c r="BB1065" s="77"/>
      <c r="BC1065" s="77"/>
      <c r="BD1065" s="77"/>
      <c r="BE1065" s="77"/>
      <c r="BF1065" s="77"/>
      <c r="BG1065" s="77"/>
      <c r="BH1065" s="77"/>
      <c r="BI1065" s="77"/>
      <c r="BJ1065" s="77"/>
      <c r="BK1065" s="77"/>
      <c r="BL1065" s="77"/>
      <c r="BM1065" s="77"/>
    </row>
    <row r="1066">
      <c r="A1066" s="99" t="s">
        <v>69</v>
      </c>
      <c r="B1066" s="99" t="b">
        <v>0</v>
      </c>
      <c r="C1066" s="99" t="b">
        <v>0</v>
      </c>
      <c r="D1066" s="80"/>
      <c r="E1066" s="81"/>
      <c r="F1066" s="106"/>
      <c r="G1066" s="107"/>
      <c r="H1066" s="108"/>
      <c r="I1066" s="108"/>
      <c r="J1066" s="109"/>
      <c r="K1066" s="107"/>
      <c r="L1066" s="107"/>
      <c r="M1066" s="110"/>
      <c r="N1066" s="110"/>
      <c r="O1066" s="108"/>
      <c r="P1066" s="108"/>
      <c r="Q1066" s="108"/>
      <c r="R1066" s="108"/>
      <c r="S1066" s="108"/>
      <c r="T1066" s="108"/>
      <c r="U1066" s="108"/>
      <c r="V1066" s="108"/>
      <c r="W1066" s="108"/>
      <c r="X1066" s="108"/>
      <c r="Y1066" s="70"/>
      <c r="Z1066" s="70"/>
      <c r="AA1066" s="70"/>
      <c r="AB1066" s="70"/>
      <c r="AC1066" s="70"/>
      <c r="AD1066" s="70"/>
      <c r="AE1066" s="70"/>
      <c r="AF1066" s="70"/>
      <c r="AG1066" s="70"/>
      <c r="AH1066" s="70"/>
      <c r="AI1066" s="70"/>
      <c r="AJ1066" s="70"/>
      <c r="AK1066" s="70"/>
      <c r="AL1066" s="70"/>
      <c r="AM1066" s="70"/>
      <c r="AN1066" s="70"/>
      <c r="AO1066" s="70"/>
      <c r="AP1066" s="70"/>
      <c r="AQ1066" s="77"/>
      <c r="AR1066" s="77"/>
      <c r="AS1066" s="77"/>
      <c r="AT1066" s="77"/>
      <c r="AU1066" s="77"/>
      <c r="AV1066" s="77"/>
      <c r="AW1066" s="77"/>
      <c r="AX1066" s="77"/>
      <c r="AY1066" s="77"/>
      <c r="AZ1066" s="77"/>
      <c r="BA1066" s="77"/>
      <c r="BB1066" s="77"/>
      <c r="BC1066" s="77"/>
      <c r="BD1066" s="77"/>
      <c r="BE1066" s="77"/>
      <c r="BF1066" s="77"/>
      <c r="BG1066" s="77"/>
      <c r="BH1066" s="77"/>
      <c r="BI1066" s="77"/>
      <c r="BJ1066" s="77"/>
      <c r="BK1066" s="77"/>
      <c r="BL1066" s="77"/>
      <c r="BM1066" s="77"/>
    </row>
    <row r="1067">
      <c r="A1067" s="100" t="s">
        <v>69</v>
      </c>
      <c r="B1067" s="100" t="b">
        <v>0</v>
      </c>
      <c r="C1067" s="100" t="b">
        <v>0</v>
      </c>
      <c r="D1067" s="42"/>
      <c r="E1067" s="43"/>
      <c r="F1067" s="101"/>
      <c r="G1067" s="102"/>
      <c r="H1067" s="103"/>
      <c r="I1067" s="103"/>
      <c r="J1067" s="104"/>
      <c r="K1067" s="102"/>
      <c r="L1067" s="102"/>
      <c r="M1067" s="105"/>
      <c r="N1067" s="105"/>
      <c r="O1067" s="103"/>
      <c r="P1067" s="103"/>
      <c r="Q1067" s="103"/>
      <c r="R1067" s="103"/>
      <c r="S1067" s="103"/>
      <c r="T1067" s="103"/>
      <c r="U1067" s="103"/>
      <c r="V1067" s="103"/>
      <c r="W1067" s="103"/>
      <c r="X1067" s="103"/>
      <c r="Y1067" s="70"/>
      <c r="Z1067" s="70"/>
      <c r="AA1067" s="70"/>
      <c r="AB1067" s="70"/>
      <c r="AC1067" s="70"/>
      <c r="AD1067" s="70"/>
      <c r="AE1067" s="70"/>
      <c r="AF1067" s="70"/>
      <c r="AG1067" s="70"/>
      <c r="AH1067" s="70"/>
      <c r="AI1067" s="70"/>
      <c r="AJ1067" s="70"/>
      <c r="AK1067" s="70"/>
      <c r="AL1067" s="70"/>
      <c r="AM1067" s="70"/>
      <c r="AN1067" s="70"/>
      <c r="AO1067" s="70"/>
      <c r="AP1067" s="70"/>
      <c r="AQ1067" s="77"/>
      <c r="AR1067" s="77"/>
      <c r="AS1067" s="77"/>
      <c r="AT1067" s="77"/>
      <c r="AU1067" s="77"/>
      <c r="AV1067" s="77"/>
      <c r="AW1067" s="77"/>
      <c r="AX1067" s="77"/>
      <c r="AY1067" s="77"/>
      <c r="AZ1067" s="77"/>
      <c r="BA1067" s="77"/>
      <c r="BB1067" s="77"/>
      <c r="BC1067" s="77"/>
      <c r="BD1067" s="77"/>
      <c r="BE1067" s="77"/>
      <c r="BF1067" s="77"/>
      <c r="BG1067" s="77"/>
      <c r="BH1067" s="77"/>
      <c r="BI1067" s="77"/>
      <c r="BJ1067" s="77"/>
      <c r="BK1067" s="77"/>
      <c r="BL1067" s="77"/>
      <c r="BM1067" s="77"/>
    </row>
    <row r="1068">
      <c r="A1068" s="99" t="s">
        <v>69</v>
      </c>
      <c r="B1068" s="99" t="b">
        <v>0</v>
      </c>
      <c r="C1068" s="99" t="b">
        <v>0</v>
      </c>
      <c r="D1068" s="80"/>
      <c r="E1068" s="81"/>
      <c r="F1068" s="106"/>
      <c r="G1068" s="107"/>
      <c r="H1068" s="108"/>
      <c r="I1068" s="108"/>
      <c r="J1068" s="109"/>
      <c r="K1068" s="107"/>
      <c r="L1068" s="107"/>
      <c r="M1068" s="110"/>
      <c r="N1068" s="110"/>
      <c r="O1068" s="108"/>
      <c r="P1068" s="108"/>
      <c r="Q1068" s="108"/>
      <c r="R1068" s="108"/>
      <c r="S1068" s="108"/>
      <c r="T1068" s="108"/>
      <c r="U1068" s="108"/>
      <c r="V1068" s="108"/>
      <c r="W1068" s="108"/>
      <c r="X1068" s="108"/>
      <c r="Y1068" s="70"/>
      <c r="Z1068" s="70"/>
      <c r="AA1068" s="70"/>
      <c r="AB1068" s="70"/>
      <c r="AC1068" s="70"/>
      <c r="AD1068" s="70"/>
      <c r="AE1068" s="70"/>
      <c r="AF1068" s="70"/>
      <c r="AG1068" s="70"/>
      <c r="AH1068" s="70"/>
      <c r="AI1068" s="70"/>
      <c r="AJ1068" s="70"/>
      <c r="AK1068" s="70"/>
      <c r="AL1068" s="70"/>
      <c r="AM1068" s="70"/>
      <c r="AN1068" s="70"/>
      <c r="AO1068" s="70"/>
      <c r="AP1068" s="70"/>
      <c r="AQ1068" s="77"/>
      <c r="AR1068" s="77"/>
      <c r="AS1068" s="77"/>
      <c r="AT1068" s="77"/>
      <c r="AU1068" s="77"/>
      <c r="AV1068" s="77"/>
      <c r="AW1068" s="77"/>
      <c r="AX1068" s="77"/>
      <c r="AY1068" s="77"/>
      <c r="AZ1068" s="77"/>
      <c r="BA1068" s="77"/>
      <c r="BB1068" s="77"/>
      <c r="BC1068" s="77"/>
      <c r="BD1068" s="77"/>
      <c r="BE1068" s="77"/>
      <c r="BF1068" s="77"/>
      <c r="BG1068" s="77"/>
      <c r="BH1068" s="77"/>
      <c r="BI1068" s="77"/>
      <c r="BJ1068" s="77"/>
      <c r="BK1068" s="77"/>
      <c r="BL1068" s="77"/>
      <c r="BM1068" s="77"/>
    </row>
    <row r="1069">
      <c r="A1069" s="100" t="s">
        <v>69</v>
      </c>
      <c r="B1069" s="100" t="b">
        <v>0</v>
      </c>
      <c r="C1069" s="100" t="b">
        <v>0</v>
      </c>
      <c r="D1069" s="42"/>
      <c r="E1069" s="43"/>
      <c r="F1069" s="101"/>
      <c r="G1069" s="102"/>
      <c r="H1069" s="103"/>
      <c r="I1069" s="103"/>
      <c r="J1069" s="104"/>
      <c r="K1069" s="102"/>
      <c r="L1069" s="102"/>
      <c r="M1069" s="105"/>
      <c r="N1069" s="105"/>
      <c r="O1069" s="103"/>
      <c r="P1069" s="103"/>
      <c r="Q1069" s="103"/>
      <c r="R1069" s="103"/>
      <c r="S1069" s="103"/>
      <c r="T1069" s="103"/>
      <c r="U1069" s="103"/>
      <c r="V1069" s="103"/>
      <c r="W1069" s="103"/>
      <c r="X1069" s="103"/>
      <c r="Y1069" s="70"/>
      <c r="Z1069" s="70"/>
      <c r="AA1069" s="70"/>
      <c r="AB1069" s="70"/>
      <c r="AC1069" s="70"/>
      <c r="AD1069" s="70"/>
      <c r="AE1069" s="70"/>
      <c r="AF1069" s="70"/>
      <c r="AG1069" s="70"/>
      <c r="AH1069" s="70"/>
      <c r="AI1069" s="70"/>
      <c r="AJ1069" s="70"/>
      <c r="AK1069" s="70"/>
      <c r="AL1069" s="70"/>
      <c r="AM1069" s="70"/>
      <c r="AN1069" s="70"/>
      <c r="AO1069" s="70"/>
      <c r="AP1069" s="70"/>
      <c r="AQ1069" s="77"/>
      <c r="AR1069" s="77"/>
      <c r="AS1069" s="77"/>
      <c r="AT1069" s="77"/>
      <c r="AU1069" s="77"/>
      <c r="AV1069" s="77"/>
      <c r="AW1069" s="77"/>
      <c r="AX1069" s="77"/>
      <c r="AY1069" s="77"/>
      <c r="AZ1069" s="77"/>
      <c r="BA1069" s="77"/>
      <c r="BB1069" s="77"/>
      <c r="BC1069" s="77"/>
      <c r="BD1069" s="77"/>
      <c r="BE1069" s="77"/>
      <c r="BF1069" s="77"/>
      <c r="BG1069" s="77"/>
      <c r="BH1069" s="77"/>
      <c r="BI1069" s="77"/>
      <c r="BJ1069" s="77"/>
      <c r="BK1069" s="77"/>
      <c r="BL1069" s="77"/>
      <c r="BM1069" s="77"/>
    </row>
    <row r="1070">
      <c r="A1070" s="99" t="s">
        <v>69</v>
      </c>
      <c r="B1070" s="99" t="b">
        <v>0</v>
      </c>
      <c r="C1070" s="99" t="b">
        <v>0</v>
      </c>
      <c r="D1070" s="80"/>
      <c r="E1070" s="81"/>
      <c r="F1070" s="106"/>
      <c r="G1070" s="107"/>
      <c r="H1070" s="108"/>
      <c r="I1070" s="108"/>
      <c r="J1070" s="109"/>
      <c r="K1070" s="107"/>
      <c r="L1070" s="107"/>
      <c r="M1070" s="110"/>
      <c r="N1070" s="110"/>
      <c r="O1070" s="108"/>
      <c r="P1070" s="108"/>
      <c r="Q1070" s="108"/>
      <c r="R1070" s="108"/>
      <c r="S1070" s="108"/>
      <c r="T1070" s="108"/>
      <c r="U1070" s="108"/>
      <c r="V1070" s="108"/>
      <c r="W1070" s="108"/>
      <c r="X1070" s="108"/>
      <c r="Y1070" s="70"/>
      <c r="Z1070" s="70"/>
      <c r="AA1070" s="70"/>
      <c r="AB1070" s="70"/>
      <c r="AC1070" s="70"/>
      <c r="AD1070" s="70"/>
      <c r="AE1070" s="70"/>
      <c r="AF1070" s="70"/>
      <c r="AG1070" s="70"/>
      <c r="AH1070" s="70"/>
      <c r="AI1070" s="70"/>
      <c r="AJ1070" s="70"/>
      <c r="AK1070" s="70"/>
      <c r="AL1070" s="70"/>
      <c r="AM1070" s="70"/>
      <c r="AN1070" s="70"/>
      <c r="AO1070" s="70"/>
      <c r="AP1070" s="70"/>
      <c r="AQ1070" s="77"/>
      <c r="AR1070" s="77"/>
      <c r="AS1070" s="77"/>
      <c r="AT1070" s="77"/>
      <c r="AU1070" s="77"/>
      <c r="AV1070" s="77"/>
      <c r="AW1070" s="77"/>
      <c r="AX1070" s="77"/>
      <c r="AY1070" s="77"/>
      <c r="AZ1070" s="77"/>
      <c r="BA1070" s="77"/>
      <c r="BB1070" s="77"/>
      <c r="BC1070" s="77"/>
      <c r="BD1070" s="77"/>
      <c r="BE1070" s="77"/>
      <c r="BF1070" s="77"/>
      <c r="BG1070" s="77"/>
      <c r="BH1070" s="77"/>
      <c r="BI1070" s="77"/>
      <c r="BJ1070" s="77"/>
      <c r="BK1070" s="77"/>
      <c r="BL1070" s="77"/>
      <c r="BM1070" s="77"/>
    </row>
    <row r="1071">
      <c r="A1071" s="100" t="s">
        <v>69</v>
      </c>
      <c r="B1071" s="100" t="b">
        <v>0</v>
      </c>
      <c r="C1071" s="100" t="b">
        <v>0</v>
      </c>
      <c r="D1071" s="42"/>
      <c r="E1071" s="43"/>
      <c r="F1071" s="101"/>
      <c r="G1071" s="102"/>
      <c r="H1071" s="103"/>
      <c r="I1071" s="103"/>
      <c r="J1071" s="104"/>
      <c r="K1071" s="102"/>
      <c r="L1071" s="102"/>
      <c r="M1071" s="105"/>
      <c r="N1071" s="105"/>
      <c r="O1071" s="103"/>
      <c r="P1071" s="103"/>
      <c r="Q1071" s="103"/>
      <c r="R1071" s="103"/>
      <c r="S1071" s="103"/>
      <c r="T1071" s="103"/>
      <c r="U1071" s="103"/>
      <c r="V1071" s="103"/>
      <c r="W1071" s="103"/>
      <c r="X1071" s="103"/>
      <c r="Y1071" s="70"/>
      <c r="Z1071" s="70"/>
      <c r="AA1071" s="70"/>
      <c r="AB1071" s="70"/>
      <c r="AC1071" s="70"/>
      <c r="AD1071" s="70"/>
      <c r="AE1071" s="70"/>
      <c r="AF1071" s="70"/>
      <c r="AG1071" s="70"/>
      <c r="AH1071" s="70"/>
      <c r="AI1071" s="70"/>
      <c r="AJ1071" s="70"/>
      <c r="AK1071" s="70"/>
      <c r="AL1071" s="70"/>
      <c r="AM1071" s="70"/>
      <c r="AN1071" s="70"/>
      <c r="AO1071" s="70"/>
      <c r="AP1071" s="70"/>
      <c r="AQ1071" s="77"/>
      <c r="AR1071" s="77"/>
      <c r="AS1071" s="77"/>
      <c r="AT1071" s="77"/>
      <c r="AU1071" s="77"/>
      <c r="AV1071" s="77"/>
      <c r="AW1071" s="77"/>
      <c r="AX1071" s="77"/>
      <c r="AY1071" s="77"/>
      <c r="AZ1071" s="77"/>
      <c r="BA1071" s="77"/>
      <c r="BB1071" s="77"/>
      <c r="BC1071" s="77"/>
      <c r="BD1071" s="77"/>
      <c r="BE1071" s="77"/>
      <c r="BF1071" s="77"/>
      <c r="BG1071" s="77"/>
      <c r="BH1071" s="77"/>
      <c r="BI1071" s="77"/>
      <c r="BJ1071" s="77"/>
      <c r="BK1071" s="77"/>
      <c r="BL1071" s="77"/>
      <c r="BM1071" s="77"/>
    </row>
    <row r="1072">
      <c r="A1072" s="99" t="s">
        <v>69</v>
      </c>
      <c r="B1072" s="99" t="b">
        <v>0</v>
      </c>
      <c r="C1072" s="99" t="b">
        <v>0</v>
      </c>
      <c r="D1072" s="80"/>
      <c r="E1072" s="81"/>
      <c r="F1072" s="106"/>
      <c r="G1072" s="107"/>
      <c r="H1072" s="108"/>
      <c r="I1072" s="108"/>
      <c r="J1072" s="109"/>
      <c r="K1072" s="107"/>
      <c r="L1072" s="107"/>
      <c r="M1072" s="110"/>
      <c r="N1072" s="110"/>
      <c r="O1072" s="108"/>
      <c r="P1072" s="108"/>
      <c r="Q1072" s="108"/>
      <c r="R1072" s="108"/>
      <c r="S1072" s="108"/>
      <c r="T1072" s="108"/>
      <c r="U1072" s="108"/>
      <c r="V1072" s="108"/>
      <c r="W1072" s="108"/>
      <c r="X1072" s="108"/>
      <c r="Y1072" s="70"/>
      <c r="Z1072" s="70"/>
      <c r="AA1072" s="70"/>
      <c r="AB1072" s="70"/>
      <c r="AC1072" s="70"/>
      <c r="AD1072" s="70"/>
      <c r="AE1072" s="70"/>
      <c r="AF1072" s="70"/>
      <c r="AG1072" s="70"/>
      <c r="AH1072" s="70"/>
      <c r="AI1072" s="70"/>
      <c r="AJ1072" s="70"/>
      <c r="AK1072" s="70"/>
      <c r="AL1072" s="70"/>
      <c r="AM1072" s="70"/>
      <c r="AN1072" s="70"/>
      <c r="AO1072" s="70"/>
      <c r="AP1072" s="70"/>
      <c r="AQ1072" s="77"/>
      <c r="AR1072" s="77"/>
      <c r="AS1072" s="77"/>
      <c r="AT1072" s="77"/>
      <c r="AU1072" s="77"/>
      <c r="AV1072" s="77"/>
      <c r="AW1072" s="77"/>
      <c r="AX1072" s="77"/>
      <c r="AY1072" s="77"/>
      <c r="AZ1072" s="77"/>
      <c r="BA1072" s="77"/>
      <c r="BB1072" s="77"/>
      <c r="BC1072" s="77"/>
      <c r="BD1072" s="77"/>
      <c r="BE1072" s="77"/>
      <c r="BF1072" s="77"/>
      <c r="BG1072" s="77"/>
      <c r="BH1072" s="77"/>
      <c r="BI1072" s="77"/>
      <c r="BJ1072" s="77"/>
      <c r="BK1072" s="77"/>
      <c r="BL1072" s="77"/>
      <c r="BM1072" s="77"/>
    </row>
    <row r="1073">
      <c r="A1073" s="100" t="s">
        <v>69</v>
      </c>
      <c r="B1073" s="100" t="b">
        <v>0</v>
      </c>
      <c r="C1073" s="100" t="b">
        <v>0</v>
      </c>
      <c r="D1073" s="42"/>
      <c r="E1073" s="43"/>
      <c r="F1073" s="101"/>
      <c r="G1073" s="102"/>
      <c r="H1073" s="103"/>
      <c r="I1073" s="103"/>
      <c r="J1073" s="104"/>
      <c r="K1073" s="102"/>
      <c r="L1073" s="102"/>
      <c r="M1073" s="105"/>
      <c r="N1073" s="105"/>
      <c r="O1073" s="103"/>
      <c r="P1073" s="103"/>
      <c r="Q1073" s="103"/>
      <c r="R1073" s="103"/>
      <c r="S1073" s="103"/>
      <c r="T1073" s="103"/>
      <c r="U1073" s="103"/>
      <c r="V1073" s="103"/>
      <c r="W1073" s="103"/>
      <c r="X1073" s="103"/>
      <c r="Y1073" s="70"/>
      <c r="Z1073" s="70"/>
      <c r="AA1073" s="70"/>
      <c r="AB1073" s="70"/>
      <c r="AC1073" s="70"/>
      <c r="AD1073" s="70"/>
      <c r="AE1073" s="70"/>
      <c r="AF1073" s="70"/>
      <c r="AG1073" s="70"/>
      <c r="AH1073" s="70"/>
      <c r="AI1073" s="70"/>
      <c r="AJ1073" s="70"/>
      <c r="AK1073" s="70"/>
      <c r="AL1073" s="70"/>
      <c r="AM1073" s="70"/>
      <c r="AN1073" s="70"/>
      <c r="AO1073" s="70"/>
      <c r="AP1073" s="70"/>
      <c r="AQ1073" s="77"/>
      <c r="AR1073" s="77"/>
      <c r="AS1073" s="77"/>
      <c r="AT1073" s="77"/>
      <c r="AU1073" s="77"/>
      <c r="AV1073" s="77"/>
      <c r="AW1073" s="77"/>
      <c r="AX1073" s="77"/>
      <c r="AY1073" s="77"/>
      <c r="AZ1073" s="77"/>
      <c r="BA1073" s="77"/>
      <c r="BB1073" s="77"/>
      <c r="BC1073" s="77"/>
      <c r="BD1073" s="77"/>
      <c r="BE1073" s="77"/>
      <c r="BF1073" s="77"/>
      <c r="BG1073" s="77"/>
      <c r="BH1073" s="77"/>
      <c r="BI1073" s="77"/>
      <c r="BJ1073" s="77"/>
      <c r="BK1073" s="77"/>
      <c r="BL1073" s="77"/>
      <c r="BM1073" s="77"/>
    </row>
    <row r="1074">
      <c r="A1074" s="99" t="s">
        <v>69</v>
      </c>
      <c r="B1074" s="99" t="b">
        <v>0</v>
      </c>
      <c r="C1074" s="99" t="b">
        <v>0</v>
      </c>
      <c r="D1074" s="80"/>
      <c r="E1074" s="81"/>
      <c r="F1074" s="106"/>
      <c r="G1074" s="107"/>
      <c r="H1074" s="108"/>
      <c r="I1074" s="108"/>
      <c r="J1074" s="109"/>
      <c r="K1074" s="107"/>
      <c r="L1074" s="107"/>
      <c r="M1074" s="110"/>
      <c r="N1074" s="110"/>
      <c r="O1074" s="108"/>
      <c r="P1074" s="108"/>
      <c r="Q1074" s="108"/>
      <c r="R1074" s="108"/>
      <c r="S1074" s="108"/>
      <c r="T1074" s="108"/>
      <c r="U1074" s="108"/>
      <c r="V1074" s="108"/>
      <c r="W1074" s="108"/>
      <c r="X1074" s="108"/>
      <c r="Y1074" s="70"/>
      <c r="Z1074" s="70"/>
      <c r="AA1074" s="70"/>
      <c r="AB1074" s="70"/>
      <c r="AC1074" s="70"/>
      <c r="AD1074" s="70"/>
      <c r="AE1074" s="70"/>
      <c r="AF1074" s="70"/>
      <c r="AG1074" s="70"/>
      <c r="AH1074" s="70"/>
      <c r="AI1074" s="70"/>
      <c r="AJ1074" s="70"/>
      <c r="AK1074" s="70"/>
      <c r="AL1074" s="70"/>
      <c r="AM1074" s="70"/>
      <c r="AN1074" s="70"/>
      <c r="AO1074" s="70"/>
      <c r="AP1074" s="70"/>
      <c r="AQ1074" s="77"/>
      <c r="AR1074" s="77"/>
      <c r="AS1074" s="77"/>
      <c r="AT1074" s="77"/>
      <c r="AU1074" s="77"/>
      <c r="AV1074" s="77"/>
      <c r="AW1074" s="77"/>
      <c r="AX1074" s="77"/>
      <c r="AY1074" s="77"/>
      <c r="AZ1074" s="77"/>
      <c r="BA1074" s="77"/>
      <c r="BB1074" s="77"/>
      <c r="BC1074" s="77"/>
      <c r="BD1074" s="77"/>
      <c r="BE1074" s="77"/>
      <c r="BF1074" s="77"/>
      <c r="BG1074" s="77"/>
      <c r="BH1074" s="77"/>
      <c r="BI1074" s="77"/>
      <c r="BJ1074" s="77"/>
      <c r="BK1074" s="77"/>
      <c r="BL1074" s="77"/>
      <c r="BM1074" s="77"/>
    </row>
    <row r="1075">
      <c r="A1075" s="100" t="s">
        <v>69</v>
      </c>
      <c r="B1075" s="100" t="b">
        <v>0</v>
      </c>
      <c r="C1075" s="100" t="b">
        <v>0</v>
      </c>
      <c r="D1075" s="42"/>
      <c r="E1075" s="43"/>
      <c r="F1075" s="101"/>
      <c r="G1075" s="102"/>
      <c r="H1075" s="103"/>
      <c r="I1075" s="103"/>
      <c r="J1075" s="104"/>
      <c r="K1075" s="102"/>
      <c r="L1075" s="102"/>
      <c r="M1075" s="105"/>
      <c r="N1075" s="105"/>
      <c r="O1075" s="103"/>
      <c r="P1075" s="103"/>
      <c r="Q1075" s="103"/>
      <c r="R1075" s="103"/>
      <c r="S1075" s="103"/>
      <c r="T1075" s="103"/>
      <c r="U1075" s="103"/>
      <c r="V1075" s="103"/>
      <c r="W1075" s="103"/>
      <c r="X1075" s="103"/>
      <c r="Y1075" s="70"/>
      <c r="Z1075" s="70"/>
      <c r="AA1075" s="70"/>
      <c r="AB1075" s="70"/>
      <c r="AC1075" s="70"/>
      <c r="AD1075" s="70"/>
      <c r="AE1075" s="70"/>
      <c r="AF1075" s="70"/>
      <c r="AG1075" s="70"/>
      <c r="AH1075" s="70"/>
      <c r="AI1075" s="70"/>
      <c r="AJ1075" s="70"/>
      <c r="AK1075" s="70"/>
      <c r="AL1075" s="70"/>
      <c r="AM1075" s="70"/>
      <c r="AN1075" s="70"/>
      <c r="AO1075" s="70"/>
      <c r="AP1075" s="70"/>
      <c r="AQ1075" s="77"/>
      <c r="AR1075" s="77"/>
      <c r="AS1075" s="77"/>
      <c r="AT1075" s="77"/>
      <c r="AU1075" s="77"/>
      <c r="AV1075" s="77"/>
      <c r="AW1075" s="77"/>
      <c r="AX1075" s="77"/>
      <c r="AY1075" s="77"/>
      <c r="AZ1075" s="77"/>
      <c r="BA1075" s="77"/>
      <c r="BB1075" s="77"/>
      <c r="BC1075" s="77"/>
      <c r="BD1075" s="77"/>
      <c r="BE1075" s="77"/>
      <c r="BF1075" s="77"/>
      <c r="BG1075" s="77"/>
      <c r="BH1075" s="77"/>
      <c r="BI1075" s="77"/>
      <c r="BJ1075" s="77"/>
      <c r="BK1075" s="77"/>
      <c r="BL1075" s="77"/>
      <c r="BM1075" s="77"/>
    </row>
    <row r="1076">
      <c r="A1076" s="99" t="s">
        <v>69</v>
      </c>
      <c r="B1076" s="99" t="b">
        <v>0</v>
      </c>
      <c r="C1076" s="99" t="b">
        <v>0</v>
      </c>
      <c r="D1076" s="80"/>
      <c r="E1076" s="81"/>
      <c r="F1076" s="106"/>
      <c r="G1076" s="107"/>
      <c r="H1076" s="108"/>
      <c r="I1076" s="108"/>
      <c r="J1076" s="109"/>
      <c r="K1076" s="107"/>
      <c r="L1076" s="107"/>
      <c r="M1076" s="110"/>
      <c r="N1076" s="110"/>
      <c r="O1076" s="108"/>
      <c r="P1076" s="108"/>
      <c r="Q1076" s="108"/>
      <c r="R1076" s="108"/>
      <c r="S1076" s="108"/>
      <c r="T1076" s="108"/>
      <c r="U1076" s="108"/>
      <c r="V1076" s="108"/>
      <c r="W1076" s="108"/>
      <c r="X1076" s="108"/>
      <c r="Y1076" s="70"/>
      <c r="Z1076" s="70"/>
      <c r="AA1076" s="70"/>
      <c r="AB1076" s="70"/>
      <c r="AC1076" s="70"/>
      <c r="AD1076" s="70"/>
      <c r="AE1076" s="70"/>
      <c r="AF1076" s="70"/>
      <c r="AG1076" s="70"/>
      <c r="AH1076" s="70"/>
      <c r="AI1076" s="70"/>
      <c r="AJ1076" s="70"/>
      <c r="AK1076" s="70"/>
      <c r="AL1076" s="70"/>
      <c r="AM1076" s="70"/>
      <c r="AN1076" s="70"/>
      <c r="AO1076" s="70"/>
      <c r="AP1076" s="70"/>
      <c r="AQ1076" s="77"/>
      <c r="AR1076" s="77"/>
      <c r="AS1076" s="77"/>
      <c r="AT1076" s="77"/>
      <c r="AU1076" s="77"/>
      <c r="AV1076" s="77"/>
      <c r="AW1076" s="77"/>
      <c r="AX1076" s="77"/>
      <c r="AY1076" s="77"/>
      <c r="AZ1076" s="77"/>
      <c r="BA1076" s="77"/>
      <c r="BB1076" s="77"/>
      <c r="BC1076" s="77"/>
      <c r="BD1076" s="77"/>
      <c r="BE1076" s="77"/>
      <c r="BF1076" s="77"/>
      <c r="BG1076" s="77"/>
      <c r="BH1076" s="77"/>
      <c r="BI1076" s="77"/>
      <c r="BJ1076" s="77"/>
      <c r="BK1076" s="77"/>
      <c r="BL1076" s="77"/>
      <c r="BM1076" s="77"/>
    </row>
    <row r="1077">
      <c r="A1077" s="100" t="s">
        <v>69</v>
      </c>
      <c r="B1077" s="100" t="b">
        <v>0</v>
      </c>
      <c r="C1077" s="100" t="b">
        <v>0</v>
      </c>
      <c r="D1077" s="42"/>
      <c r="E1077" s="43"/>
      <c r="F1077" s="101"/>
      <c r="G1077" s="102"/>
      <c r="H1077" s="103"/>
      <c r="I1077" s="103"/>
      <c r="J1077" s="104"/>
      <c r="K1077" s="102"/>
      <c r="L1077" s="102"/>
      <c r="M1077" s="105"/>
      <c r="N1077" s="105"/>
      <c r="O1077" s="103"/>
      <c r="P1077" s="103"/>
      <c r="Q1077" s="103"/>
      <c r="R1077" s="103"/>
      <c r="S1077" s="103"/>
      <c r="T1077" s="103"/>
      <c r="U1077" s="103"/>
      <c r="V1077" s="103"/>
      <c r="W1077" s="103"/>
      <c r="X1077" s="103"/>
      <c r="Y1077" s="70"/>
      <c r="Z1077" s="70"/>
      <c r="AA1077" s="70"/>
      <c r="AB1077" s="70"/>
      <c r="AC1077" s="70"/>
      <c r="AD1077" s="70"/>
      <c r="AE1077" s="70"/>
      <c r="AF1077" s="70"/>
      <c r="AG1077" s="70"/>
      <c r="AH1077" s="70"/>
      <c r="AI1077" s="70"/>
      <c r="AJ1077" s="70"/>
      <c r="AK1077" s="70"/>
      <c r="AL1077" s="70"/>
      <c r="AM1077" s="70"/>
      <c r="AN1077" s="70"/>
      <c r="AO1077" s="70"/>
      <c r="AP1077" s="70"/>
      <c r="AQ1077" s="77"/>
      <c r="AR1077" s="77"/>
      <c r="AS1077" s="77"/>
      <c r="AT1077" s="77"/>
      <c r="AU1077" s="77"/>
      <c r="AV1077" s="77"/>
      <c r="AW1077" s="77"/>
      <c r="AX1077" s="77"/>
      <c r="AY1077" s="77"/>
      <c r="AZ1077" s="77"/>
      <c r="BA1077" s="77"/>
      <c r="BB1077" s="77"/>
      <c r="BC1077" s="77"/>
      <c r="BD1077" s="77"/>
      <c r="BE1077" s="77"/>
      <c r="BF1077" s="77"/>
      <c r="BG1077" s="77"/>
      <c r="BH1077" s="77"/>
      <c r="BI1077" s="77"/>
      <c r="BJ1077" s="77"/>
      <c r="BK1077" s="77"/>
      <c r="BL1077" s="77"/>
      <c r="BM1077" s="77"/>
    </row>
    <row r="1078">
      <c r="A1078" s="99" t="s">
        <v>69</v>
      </c>
      <c r="B1078" s="99" t="b">
        <v>0</v>
      </c>
      <c r="C1078" s="99" t="b">
        <v>0</v>
      </c>
      <c r="D1078" s="80"/>
      <c r="E1078" s="81"/>
      <c r="F1078" s="106"/>
      <c r="G1078" s="107"/>
      <c r="H1078" s="108"/>
      <c r="I1078" s="108"/>
      <c r="J1078" s="109"/>
      <c r="K1078" s="107"/>
      <c r="L1078" s="107"/>
      <c r="M1078" s="110"/>
      <c r="N1078" s="110"/>
      <c r="O1078" s="108"/>
      <c r="P1078" s="108"/>
      <c r="Q1078" s="108"/>
      <c r="R1078" s="108"/>
      <c r="S1078" s="108"/>
      <c r="T1078" s="108"/>
      <c r="U1078" s="108"/>
      <c r="V1078" s="108"/>
      <c r="W1078" s="108"/>
      <c r="X1078" s="108"/>
      <c r="Y1078" s="70"/>
      <c r="Z1078" s="70"/>
      <c r="AA1078" s="70"/>
      <c r="AB1078" s="70"/>
      <c r="AC1078" s="70"/>
      <c r="AD1078" s="70"/>
      <c r="AE1078" s="70"/>
      <c r="AF1078" s="70"/>
      <c r="AG1078" s="70"/>
      <c r="AH1078" s="70"/>
      <c r="AI1078" s="70"/>
      <c r="AJ1078" s="70"/>
      <c r="AK1078" s="70"/>
      <c r="AL1078" s="70"/>
      <c r="AM1078" s="70"/>
      <c r="AN1078" s="70"/>
      <c r="AO1078" s="70"/>
      <c r="AP1078" s="70"/>
      <c r="AQ1078" s="77"/>
      <c r="AR1078" s="77"/>
      <c r="AS1078" s="77"/>
      <c r="AT1078" s="77"/>
      <c r="AU1078" s="77"/>
      <c r="AV1078" s="77"/>
      <c r="AW1078" s="77"/>
      <c r="AX1078" s="77"/>
      <c r="AY1078" s="77"/>
      <c r="AZ1078" s="77"/>
      <c r="BA1078" s="77"/>
      <c r="BB1078" s="77"/>
      <c r="BC1078" s="77"/>
      <c r="BD1078" s="77"/>
      <c r="BE1078" s="77"/>
      <c r="BF1078" s="77"/>
      <c r="BG1078" s="77"/>
      <c r="BH1078" s="77"/>
      <c r="BI1078" s="77"/>
      <c r="BJ1078" s="77"/>
      <c r="BK1078" s="77"/>
      <c r="BL1078" s="77"/>
      <c r="BM1078" s="77"/>
    </row>
    <row r="1079">
      <c r="A1079" s="100" t="s">
        <v>69</v>
      </c>
      <c r="B1079" s="100" t="b">
        <v>0</v>
      </c>
      <c r="C1079" s="100" t="b">
        <v>0</v>
      </c>
      <c r="D1079" s="42"/>
      <c r="E1079" s="43"/>
      <c r="F1079" s="101"/>
      <c r="G1079" s="102"/>
      <c r="H1079" s="103"/>
      <c r="I1079" s="103"/>
      <c r="J1079" s="104"/>
      <c r="K1079" s="102"/>
      <c r="L1079" s="102"/>
      <c r="M1079" s="105"/>
      <c r="N1079" s="105"/>
      <c r="O1079" s="103"/>
      <c r="P1079" s="103"/>
      <c r="Q1079" s="103"/>
      <c r="R1079" s="103"/>
      <c r="S1079" s="103"/>
      <c r="T1079" s="103"/>
      <c r="U1079" s="103"/>
      <c r="V1079" s="103"/>
      <c r="W1079" s="103"/>
      <c r="X1079" s="103"/>
      <c r="Y1079" s="70"/>
      <c r="Z1079" s="70"/>
      <c r="AA1079" s="70"/>
      <c r="AB1079" s="70"/>
      <c r="AC1079" s="70"/>
      <c r="AD1079" s="70"/>
      <c r="AE1079" s="70"/>
      <c r="AF1079" s="70"/>
      <c r="AG1079" s="70"/>
      <c r="AH1079" s="70"/>
      <c r="AI1079" s="70"/>
      <c r="AJ1079" s="70"/>
      <c r="AK1079" s="70"/>
      <c r="AL1079" s="70"/>
      <c r="AM1079" s="70"/>
      <c r="AN1079" s="70"/>
      <c r="AO1079" s="70"/>
      <c r="AP1079" s="70"/>
      <c r="AQ1079" s="77"/>
      <c r="AR1079" s="77"/>
      <c r="AS1079" s="77"/>
      <c r="AT1079" s="77"/>
      <c r="AU1079" s="77"/>
      <c r="AV1079" s="77"/>
      <c r="AW1079" s="77"/>
      <c r="AX1079" s="77"/>
      <c r="AY1079" s="77"/>
      <c r="AZ1079" s="77"/>
      <c r="BA1079" s="77"/>
      <c r="BB1079" s="77"/>
      <c r="BC1079" s="77"/>
      <c r="BD1079" s="77"/>
      <c r="BE1079" s="77"/>
      <c r="BF1079" s="77"/>
      <c r="BG1079" s="77"/>
      <c r="BH1079" s="77"/>
      <c r="BI1079" s="77"/>
      <c r="BJ1079" s="77"/>
      <c r="BK1079" s="77"/>
      <c r="BL1079" s="77"/>
      <c r="BM1079" s="77"/>
    </row>
    <row r="1080">
      <c r="A1080" s="99" t="s">
        <v>69</v>
      </c>
      <c r="B1080" s="99" t="b">
        <v>0</v>
      </c>
      <c r="C1080" s="99" t="b">
        <v>0</v>
      </c>
      <c r="D1080" s="80"/>
      <c r="E1080" s="81"/>
      <c r="F1080" s="106"/>
      <c r="G1080" s="107"/>
      <c r="H1080" s="108"/>
      <c r="I1080" s="108"/>
      <c r="J1080" s="109"/>
      <c r="K1080" s="107"/>
      <c r="L1080" s="107"/>
      <c r="M1080" s="110"/>
      <c r="N1080" s="110"/>
      <c r="O1080" s="108"/>
      <c r="P1080" s="108"/>
      <c r="Q1080" s="108"/>
      <c r="R1080" s="108"/>
      <c r="S1080" s="108"/>
      <c r="T1080" s="108"/>
      <c r="U1080" s="108"/>
      <c r="V1080" s="108"/>
      <c r="W1080" s="108"/>
      <c r="X1080" s="108"/>
      <c r="Y1080" s="70"/>
      <c r="Z1080" s="70"/>
      <c r="AA1080" s="70"/>
      <c r="AB1080" s="70"/>
      <c r="AC1080" s="70"/>
      <c r="AD1080" s="70"/>
      <c r="AE1080" s="70"/>
      <c r="AF1080" s="70"/>
      <c r="AG1080" s="70"/>
      <c r="AH1080" s="70"/>
      <c r="AI1080" s="70"/>
      <c r="AJ1080" s="70"/>
      <c r="AK1080" s="70"/>
      <c r="AL1080" s="70"/>
      <c r="AM1080" s="70"/>
      <c r="AN1080" s="70"/>
      <c r="AO1080" s="70"/>
      <c r="AP1080" s="70"/>
      <c r="AQ1080" s="77"/>
      <c r="AR1080" s="77"/>
      <c r="AS1080" s="77"/>
      <c r="AT1080" s="77"/>
      <c r="AU1080" s="77"/>
      <c r="AV1080" s="77"/>
      <c r="AW1080" s="77"/>
      <c r="AX1080" s="77"/>
      <c r="AY1080" s="77"/>
      <c r="AZ1080" s="77"/>
      <c r="BA1080" s="77"/>
      <c r="BB1080" s="77"/>
      <c r="BC1080" s="77"/>
      <c r="BD1080" s="77"/>
      <c r="BE1080" s="77"/>
      <c r="BF1080" s="77"/>
      <c r="BG1080" s="77"/>
      <c r="BH1080" s="77"/>
      <c r="BI1080" s="77"/>
      <c r="BJ1080" s="77"/>
      <c r="BK1080" s="77"/>
      <c r="BL1080" s="77"/>
      <c r="BM1080" s="77"/>
    </row>
    <row r="1081">
      <c r="A1081" s="100" t="s">
        <v>69</v>
      </c>
      <c r="B1081" s="100" t="b">
        <v>0</v>
      </c>
      <c r="C1081" s="100" t="b">
        <v>0</v>
      </c>
      <c r="D1081" s="42"/>
      <c r="E1081" s="43"/>
      <c r="F1081" s="101"/>
      <c r="G1081" s="102"/>
      <c r="H1081" s="103"/>
      <c r="I1081" s="103"/>
      <c r="J1081" s="104"/>
      <c r="K1081" s="102"/>
      <c r="L1081" s="102"/>
      <c r="M1081" s="105"/>
      <c r="N1081" s="105"/>
      <c r="O1081" s="103"/>
      <c r="P1081" s="103"/>
      <c r="Q1081" s="103"/>
      <c r="R1081" s="103"/>
      <c r="S1081" s="103"/>
      <c r="T1081" s="103"/>
      <c r="U1081" s="103"/>
      <c r="V1081" s="103"/>
      <c r="W1081" s="103"/>
      <c r="X1081" s="103"/>
      <c r="Y1081" s="70"/>
      <c r="Z1081" s="70"/>
      <c r="AA1081" s="70"/>
      <c r="AB1081" s="70"/>
      <c r="AC1081" s="70"/>
      <c r="AD1081" s="70"/>
      <c r="AE1081" s="70"/>
      <c r="AF1081" s="70"/>
      <c r="AG1081" s="70"/>
      <c r="AH1081" s="70"/>
      <c r="AI1081" s="70"/>
      <c r="AJ1081" s="70"/>
      <c r="AK1081" s="70"/>
      <c r="AL1081" s="70"/>
      <c r="AM1081" s="70"/>
      <c r="AN1081" s="70"/>
      <c r="AO1081" s="70"/>
      <c r="AP1081" s="70"/>
      <c r="AQ1081" s="77"/>
      <c r="AR1081" s="77"/>
      <c r="AS1081" s="77"/>
      <c r="AT1081" s="77"/>
      <c r="AU1081" s="77"/>
      <c r="AV1081" s="77"/>
      <c r="AW1081" s="77"/>
      <c r="AX1081" s="77"/>
      <c r="AY1081" s="77"/>
      <c r="AZ1081" s="77"/>
      <c r="BA1081" s="77"/>
      <c r="BB1081" s="77"/>
      <c r="BC1081" s="77"/>
      <c r="BD1081" s="77"/>
      <c r="BE1081" s="77"/>
      <c r="BF1081" s="77"/>
      <c r="BG1081" s="77"/>
      <c r="BH1081" s="77"/>
      <c r="BI1081" s="77"/>
      <c r="BJ1081" s="77"/>
      <c r="BK1081" s="77"/>
      <c r="BL1081" s="77"/>
      <c r="BM1081" s="77"/>
    </row>
    <row r="1082">
      <c r="A1082" s="99" t="s">
        <v>69</v>
      </c>
      <c r="B1082" s="99" t="b">
        <v>0</v>
      </c>
      <c r="C1082" s="99" t="b">
        <v>0</v>
      </c>
      <c r="D1082" s="80"/>
      <c r="E1082" s="81"/>
      <c r="F1082" s="106"/>
      <c r="G1082" s="107"/>
      <c r="H1082" s="108"/>
      <c r="I1082" s="108"/>
      <c r="J1082" s="109"/>
      <c r="K1082" s="107"/>
      <c r="L1082" s="107"/>
      <c r="M1082" s="110"/>
      <c r="N1082" s="110"/>
      <c r="O1082" s="108"/>
      <c r="P1082" s="108"/>
      <c r="Q1082" s="108"/>
      <c r="R1082" s="108"/>
      <c r="S1082" s="108"/>
      <c r="T1082" s="108"/>
      <c r="U1082" s="108"/>
      <c r="V1082" s="108"/>
      <c r="W1082" s="108"/>
      <c r="X1082" s="108"/>
      <c r="Y1082" s="70"/>
      <c r="Z1082" s="70"/>
      <c r="AA1082" s="70"/>
      <c r="AB1082" s="70"/>
      <c r="AC1082" s="70"/>
      <c r="AD1082" s="70"/>
      <c r="AE1082" s="70"/>
      <c r="AF1082" s="70"/>
      <c r="AG1082" s="70"/>
      <c r="AH1082" s="70"/>
      <c r="AI1082" s="70"/>
      <c r="AJ1082" s="70"/>
      <c r="AK1082" s="70"/>
      <c r="AL1082" s="70"/>
      <c r="AM1082" s="70"/>
      <c r="AN1082" s="70"/>
      <c r="AO1082" s="70"/>
      <c r="AP1082" s="70"/>
      <c r="AQ1082" s="77"/>
      <c r="AR1082" s="77"/>
      <c r="AS1082" s="77"/>
      <c r="AT1082" s="77"/>
      <c r="AU1082" s="77"/>
      <c r="AV1082" s="77"/>
      <c r="AW1082" s="77"/>
      <c r="AX1082" s="77"/>
      <c r="AY1082" s="77"/>
      <c r="AZ1082" s="77"/>
      <c r="BA1082" s="77"/>
      <c r="BB1082" s="77"/>
      <c r="BC1082" s="77"/>
      <c r="BD1082" s="77"/>
      <c r="BE1082" s="77"/>
      <c r="BF1082" s="77"/>
      <c r="BG1082" s="77"/>
      <c r="BH1082" s="77"/>
      <c r="BI1082" s="77"/>
      <c r="BJ1082" s="77"/>
      <c r="BK1082" s="77"/>
      <c r="BL1082" s="77"/>
      <c r="BM1082" s="77"/>
    </row>
    <row r="1083">
      <c r="A1083" s="100" t="s">
        <v>69</v>
      </c>
      <c r="B1083" s="100" t="b">
        <v>0</v>
      </c>
      <c r="C1083" s="100" t="b">
        <v>0</v>
      </c>
      <c r="D1083" s="42"/>
      <c r="E1083" s="43"/>
      <c r="F1083" s="101"/>
      <c r="G1083" s="102"/>
      <c r="H1083" s="103"/>
      <c r="I1083" s="103"/>
      <c r="J1083" s="104"/>
      <c r="K1083" s="102"/>
      <c r="L1083" s="102"/>
      <c r="M1083" s="105"/>
      <c r="N1083" s="105"/>
      <c r="O1083" s="103"/>
      <c r="P1083" s="103"/>
      <c r="Q1083" s="103"/>
      <c r="R1083" s="103"/>
      <c r="S1083" s="103"/>
      <c r="T1083" s="103"/>
      <c r="U1083" s="103"/>
      <c r="V1083" s="103"/>
      <c r="W1083" s="103"/>
      <c r="X1083" s="103"/>
      <c r="Y1083" s="70"/>
      <c r="Z1083" s="70"/>
      <c r="AA1083" s="70"/>
      <c r="AB1083" s="70"/>
      <c r="AC1083" s="70"/>
      <c r="AD1083" s="70"/>
      <c r="AE1083" s="70"/>
      <c r="AF1083" s="70"/>
      <c r="AG1083" s="70"/>
      <c r="AH1083" s="70"/>
      <c r="AI1083" s="70"/>
      <c r="AJ1083" s="70"/>
      <c r="AK1083" s="70"/>
      <c r="AL1083" s="70"/>
      <c r="AM1083" s="70"/>
      <c r="AN1083" s="70"/>
      <c r="AO1083" s="70"/>
      <c r="AP1083" s="70"/>
      <c r="AQ1083" s="77"/>
      <c r="AR1083" s="77"/>
      <c r="AS1083" s="77"/>
      <c r="AT1083" s="77"/>
      <c r="AU1083" s="77"/>
      <c r="AV1083" s="77"/>
      <c r="AW1083" s="77"/>
      <c r="AX1083" s="77"/>
      <c r="AY1083" s="77"/>
      <c r="AZ1083" s="77"/>
      <c r="BA1083" s="77"/>
      <c r="BB1083" s="77"/>
      <c r="BC1083" s="77"/>
      <c r="BD1083" s="77"/>
      <c r="BE1083" s="77"/>
      <c r="BF1083" s="77"/>
      <c r="BG1083" s="77"/>
      <c r="BH1083" s="77"/>
      <c r="BI1083" s="77"/>
      <c r="BJ1083" s="77"/>
      <c r="BK1083" s="77"/>
      <c r="BL1083" s="77"/>
      <c r="BM1083" s="77"/>
    </row>
    <row r="1084">
      <c r="A1084" s="99" t="s">
        <v>69</v>
      </c>
      <c r="B1084" s="99" t="b">
        <v>0</v>
      </c>
      <c r="C1084" s="99" t="b">
        <v>0</v>
      </c>
      <c r="D1084" s="80"/>
      <c r="E1084" s="81"/>
      <c r="F1084" s="106"/>
      <c r="G1084" s="107"/>
      <c r="H1084" s="108"/>
      <c r="I1084" s="108"/>
      <c r="J1084" s="109"/>
      <c r="K1084" s="107"/>
      <c r="L1084" s="107"/>
      <c r="M1084" s="110"/>
      <c r="N1084" s="110"/>
      <c r="O1084" s="108"/>
      <c r="P1084" s="108"/>
      <c r="Q1084" s="108"/>
      <c r="R1084" s="108"/>
      <c r="S1084" s="108"/>
      <c r="T1084" s="108"/>
      <c r="U1084" s="108"/>
      <c r="V1084" s="108"/>
      <c r="W1084" s="108"/>
      <c r="X1084" s="108"/>
      <c r="Y1084" s="70"/>
      <c r="Z1084" s="70"/>
      <c r="AA1084" s="70"/>
      <c r="AB1084" s="70"/>
      <c r="AC1084" s="70"/>
      <c r="AD1084" s="70"/>
      <c r="AE1084" s="70"/>
      <c r="AF1084" s="70"/>
      <c r="AG1084" s="70"/>
      <c r="AH1084" s="70"/>
      <c r="AI1084" s="70"/>
      <c r="AJ1084" s="70"/>
      <c r="AK1084" s="70"/>
      <c r="AL1084" s="70"/>
      <c r="AM1084" s="70"/>
      <c r="AN1084" s="70"/>
      <c r="AO1084" s="70"/>
      <c r="AP1084" s="70"/>
      <c r="AQ1084" s="77"/>
      <c r="AR1084" s="77"/>
      <c r="AS1084" s="77"/>
      <c r="AT1084" s="77"/>
      <c r="AU1084" s="77"/>
      <c r="AV1084" s="77"/>
      <c r="AW1084" s="77"/>
      <c r="AX1084" s="77"/>
      <c r="AY1084" s="77"/>
      <c r="AZ1084" s="77"/>
      <c r="BA1084" s="77"/>
      <c r="BB1084" s="77"/>
      <c r="BC1084" s="77"/>
      <c r="BD1084" s="77"/>
      <c r="BE1084" s="77"/>
      <c r="BF1084" s="77"/>
      <c r="BG1084" s="77"/>
      <c r="BH1084" s="77"/>
      <c r="BI1084" s="77"/>
      <c r="BJ1084" s="77"/>
      <c r="BK1084" s="77"/>
      <c r="BL1084" s="77"/>
      <c r="BM1084" s="77"/>
    </row>
    <row r="1085">
      <c r="A1085" s="100" t="s">
        <v>69</v>
      </c>
      <c r="B1085" s="100" t="b">
        <v>0</v>
      </c>
      <c r="C1085" s="100" t="b">
        <v>0</v>
      </c>
      <c r="D1085" s="42"/>
      <c r="E1085" s="43"/>
      <c r="F1085" s="101"/>
      <c r="G1085" s="102"/>
      <c r="H1085" s="103"/>
      <c r="I1085" s="103"/>
      <c r="J1085" s="104"/>
      <c r="K1085" s="102"/>
      <c r="L1085" s="102"/>
      <c r="M1085" s="105"/>
      <c r="N1085" s="105"/>
      <c r="O1085" s="103"/>
      <c r="P1085" s="103"/>
      <c r="Q1085" s="103"/>
      <c r="R1085" s="103"/>
      <c r="S1085" s="103"/>
      <c r="T1085" s="103"/>
      <c r="U1085" s="103"/>
      <c r="V1085" s="103"/>
      <c r="W1085" s="103"/>
      <c r="X1085" s="103"/>
      <c r="Y1085" s="70"/>
      <c r="Z1085" s="70"/>
      <c r="AA1085" s="70"/>
      <c r="AB1085" s="70"/>
      <c r="AC1085" s="70"/>
      <c r="AD1085" s="70"/>
      <c r="AE1085" s="70"/>
      <c r="AF1085" s="70"/>
      <c r="AG1085" s="70"/>
      <c r="AH1085" s="70"/>
      <c r="AI1085" s="70"/>
      <c r="AJ1085" s="70"/>
      <c r="AK1085" s="70"/>
      <c r="AL1085" s="70"/>
      <c r="AM1085" s="70"/>
      <c r="AN1085" s="70"/>
      <c r="AO1085" s="70"/>
      <c r="AP1085" s="70"/>
      <c r="AQ1085" s="77"/>
      <c r="AR1085" s="77"/>
      <c r="AS1085" s="77"/>
      <c r="AT1085" s="77"/>
      <c r="AU1085" s="77"/>
      <c r="AV1085" s="77"/>
      <c r="AW1085" s="77"/>
      <c r="AX1085" s="77"/>
      <c r="AY1085" s="77"/>
      <c r="AZ1085" s="77"/>
      <c r="BA1085" s="77"/>
      <c r="BB1085" s="77"/>
      <c r="BC1085" s="77"/>
      <c r="BD1085" s="77"/>
      <c r="BE1085" s="77"/>
      <c r="BF1085" s="77"/>
      <c r="BG1085" s="77"/>
      <c r="BH1085" s="77"/>
      <c r="BI1085" s="77"/>
      <c r="BJ1085" s="77"/>
      <c r="BK1085" s="77"/>
      <c r="BL1085" s="77"/>
      <c r="BM1085" s="77"/>
    </row>
    <row r="1086">
      <c r="A1086" s="99" t="s">
        <v>69</v>
      </c>
      <c r="B1086" s="99" t="b">
        <v>0</v>
      </c>
      <c r="C1086" s="99" t="b">
        <v>0</v>
      </c>
      <c r="D1086" s="80"/>
      <c r="E1086" s="81"/>
      <c r="F1086" s="106"/>
      <c r="G1086" s="107"/>
      <c r="H1086" s="108"/>
      <c r="I1086" s="108"/>
      <c r="J1086" s="109"/>
      <c r="K1086" s="107"/>
      <c r="L1086" s="107"/>
      <c r="M1086" s="110"/>
      <c r="N1086" s="110"/>
      <c r="O1086" s="108"/>
      <c r="P1086" s="108"/>
      <c r="Q1086" s="108"/>
      <c r="R1086" s="108"/>
      <c r="S1086" s="108"/>
      <c r="T1086" s="108"/>
      <c r="U1086" s="108"/>
      <c r="V1086" s="108"/>
      <c r="W1086" s="108"/>
      <c r="X1086" s="108"/>
      <c r="Y1086" s="70"/>
      <c r="Z1086" s="70"/>
      <c r="AA1086" s="70"/>
      <c r="AB1086" s="70"/>
      <c r="AC1086" s="70"/>
      <c r="AD1086" s="70"/>
      <c r="AE1086" s="70"/>
      <c r="AF1086" s="70"/>
      <c r="AG1086" s="70"/>
      <c r="AH1086" s="70"/>
      <c r="AI1086" s="70"/>
      <c r="AJ1086" s="70"/>
      <c r="AK1086" s="70"/>
      <c r="AL1086" s="70"/>
      <c r="AM1086" s="70"/>
      <c r="AN1086" s="70"/>
      <c r="AO1086" s="70"/>
      <c r="AP1086" s="70"/>
      <c r="AQ1086" s="77"/>
      <c r="AR1086" s="77"/>
      <c r="AS1086" s="77"/>
      <c r="AT1086" s="77"/>
      <c r="AU1086" s="77"/>
      <c r="AV1086" s="77"/>
      <c r="AW1086" s="77"/>
      <c r="AX1086" s="77"/>
      <c r="AY1086" s="77"/>
      <c r="AZ1086" s="77"/>
      <c r="BA1086" s="77"/>
      <c r="BB1086" s="77"/>
      <c r="BC1086" s="77"/>
      <c r="BD1086" s="77"/>
      <c r="BE1086" s="77"/>
      <c r="BF1086" s="77"/>
      <c r="BG1086" s="77"/>
      <c r="BH1086" s="77"/>
      <c r="BI1086" s="77"/>
      <c r="BJ1086" s="77"/>
      <c r="BK1086" s="77"/>
      <c r="BL1086" s="77"/>
      <c r="BM1086" s="77"/>
    </row>
    <row r="1087">
      <c r="A1087" s="100" t="s">
        <v>69</v>
      </c>
      <c r="B1087" s="100" t="b">
        <v>0</v>
      </c>
      <c r="C1087" s="100" t="b">
        <v>0</v>
      </c>
      <c r="D1087" s="42"/>
      <c r="E1087" s="43"/>
      <c r="F1087" s="101"/>
      <c r="G1087" s="102"/>
      <c r="H1087" s="103"/>
      <c r="I1087" s="103"/>
      <c r="J1087" s="104"/>
      <c r="K1087" s="102"/>
      <c r="L1087" s="102"/>
      <c r="M1087" s="105"/>
      <c r="N1087" s="105"/>
      <c r="O1087" s="103"/>
      <c r="P1087" s="103"/>
      <c r="Q1087" s="103"/>
      <c r="R1087" s="103"/>
      <c r="S1087" s="103"/>
      <c r="T1087" s="103"/>
      <c r="U1087" s="103"/>
      <c r="V1087" s="103"/>
      <c r="W1087" s="103"/>
      <c r="X1087" s="103"/>
      <c r="Y1087" s="70"/>
      <c r="Z1087" s="70"/>
      <c r="AA1087" s="70"/>
      <c r="AB1087" s="70"/>
      <c r="AC1087" s="70"/>
      <c r="AD1087" s="70"/>
      <c r="AE1087" s="70"/>
      <c r="AF1087" s="70"/>
      <c r="AG1087" s="70"/>
      <c r="AH1087" s="70"/>
      <c r="AI1087" s="70"/>
      <c r="AJ1087" s="70"/>
      <c r="AK1087" s="70"/>
      <c r="AL1087" s="70"/>
      <c r="AM1087" s="70"/>
      <c r="AN1087" s="70"/>
      <c r="AO1087" s="70"/>
      <c r="AP1087" s="70"/>
      <c r="AQ1087" s="77"/>
      <c r="AR1087" s="77"/>
      <c r="AS1087" s="77"/>
      <c r="AT1087" s="77"/>
      <c r="AU1087" s="77"/>
      <c r="AV1087" s="77"/>
      <c r="AW1087" s="77"/>
      <c r="AX1087" s="77"/>
      <c r="AY1087" s="77"/>
      <c r="AZ1087" s="77"/>
      <c r="BA1087" s="77"/>
      <c r="BB1087" s="77"/>
      <c r="BC1087" s="77"/>
      <c r="BD1087" s="77"/>
      <c r="BE1087" s="77"/>
      <c r="BF1087" s="77"/>
      <c r="BG1087" s="77"/>
      <c r="BH1087" s="77"/>
      <c r="BI1087" s="77"/>
      <c r="BJ1087" s="77"/>
      <c r="BK1087" s="77"/>
      <c r="BL1087" s="77"/>
      <c r="BM1087" s="77"/>
    </row>
    <row r="1088">
      <c r="A1088" s="99" t="s">
        <v>69</v>
      </c>
      <c r="B1088" s="99" t="b">
        <v>0</v>
      </c>
      <c r="C1088" s="99" t="b">
        <v>0</v>
      </c>
      <c r="D1088" s="80"/>
      <c r="E1088" s="81"/>
      <c r="F1088" s="106"/>
      <c r="G1088" s="107"/>
      <c r="H1088" s="108"/>
      <c r="I1088" s="108"/>
      <c r="J1088" s="109"/>
      <c r="K1088" s="107"/>
      <c r="L1088" s="107"/>
      <c r="M1088" s="110"/>
      <c r="N1088" s="110"/>
      <c r="O1088" s="108"/>
      <c r="P1088" s="108"/>
      <c r="Q1088" s="108"/>
      <c r="R1088" s="108"/>
      <c r="S1088" s="108"/>
      <c r="T1088" s="108"/>
      <c r="U1088" s="108"/>
      <c r="V1088" s="108"/>
      <c r="W1088" s="108"/>
      <c r="X1088" s="108"/>
      <c r="Y1088" s="70"/>
      <c r="Z1088" s="70"/>
      <c r="AA1088" s="70"/>
      <c r="AB1088" s="70"/>
      <c r="AC1088" s="70"/>
      <c r="AD1088" s="70"/>
      <c r="AE1088" s="70"/>
      <c r="AF1088" s="70"/>
      <c r="AG1088" s="70"/>
      <c r="AH1088" s="70"/>
      <c r="AI1088" s="70"/>
      <c r="AJ1088" s="70"/>
      <c r="AK1088" s="70"/>
      <c r="AL1088" s="70"/>
      <c r="AM1088" s="70"/>
      <c r="AN1088" s="70"/>
      <c r="AO1088" s="70"/>
      <c r="AP1088" s="70"/>
      <c r="AQ1088" s="77"/>
      <c r="AR1088" s="77"/>
      <c r="AS1088" s="77"/>
      <c r="AT1088" s="77"/>
      <c r="AU1088" s="77"/>
      <c r="AV1088" s="77"/>
      <c r="AW1088" s="77"/>
      <c r="AX1088" s="77"/>
      <c r="AY1088" s="77"/>
      <c r="AZ1088" s="77"/>
      <c r="BA1088" s="77"/>
      <c r="BB1088" s="77"/>
      <c r="BC1088" s="77"/>
      <c r="BD1088" s="77"/>
      <c r="BE1088" s="77"/>
      <c r="BF1088" s="77"/>
      <c r="BG1088" s="77"/>
      <c r="BH1088" s="77"/>
      <c r="BI1088" s="77"/>
      <c r="BJ1088" s="77"/>
      <c r="BK1088" s="77"/>
      <c r="BL1088" s="77"/>
      <c r="BM1088" s="77"/>
    </row>
    <row r="1089">
      <c r="A1089" s="100" t="s">
        <v>69</v>
      </c>
      <c r="B1089" s="100" t="b">
        <v>0</v>
      </c>
      <c r="C1089" s="100" t="b">
        <v>0</v>
      </c>
      <c r="D1089" s="42"/>
      <c r="E1089" s="43"/>
      <c r="F1089" s="101"/>
      <c r="G1089" s="102"/>
      <c r="H1089" s="103"/>
      <c r="I1089" s="103"/>
      <c r="J1089" s="104"/>
      <c r="K1089" s="102"/>
      <c r="L1089" s="102"/>
      <c r="M1089" s="105"/>
      <c r="N1089" s="105"/>
      <c r="O1089" s="103"/>
      <c r="P1089" s="103"/>
      <c r="Q1089" s="103"/>
      <c r="R1089" s="103"/>
      <c r="S1089" s="103"/>
      <c r="T1089" s="103"/>
      <c r="U1089" s="103"/>
      <c r="V1089" s="103"/>
      <c r="W1089" s="103"/>
      <c r="X1089" s="103"/>
      <c r="Y1089" s="70"/>
      <c r="Z1089" s="70"/>
      <c r="AA1089" s="70"/>
      <c r="AB1089" s="70"/>
      <c r="AC1089" s="70"/>
      <c r="AD1089" s="70"/>
      <c r="AE1089" s="70"/>
      <c r="AF1089" s="70"/>
      <c r="AG1089" s="70"/>
      <c r="AH1089" s="70"/>
      <c r="AI1089" s="70"/>
      <c r="AJ1089" s="70"/>
      <c r="AK1089" s="70"/>
      <c r="AL1089" s="70"/>
      <c r="AM1089" s="70"/>
      <c r="AN1089" s="70"/>
      <c r="AO1089" s="70"/>
      <c r="AP1089" s="70"/>
      <c r="AQ1089" s="77"/>
      <c r="AR1089" s="77"/>
      <c r="AS1089" s="77"/>
      <c r="AT1089" s="77"/>
      <c r="AU1089" s="77"/>
      <c r="AV1089" s="77"/>
      <c r="AW1089" s="77"/>
      <c r="AX1089" s="77"/>
      <c r="AY1089" s="77"/>
      <c r="AZ1089" s="77"/>
      <c r="BA1089" s="77"/>
      <c r="BB1089" s="77"/>
      <c r="BC1089" s="77"/>
      <c r="BD1089" s="77"/>
      <c r="BE1089" s="77"/>
      <c r="BF1089" s="77"/>
      <c r="BG1089" s="77"/>
      <c r="BH1089" s="77"/>
      <c r="BI1089" s="77"/>
      <c r="BJ1089" s="77"/>
      <c r="BK1089" s="77"/>
      <c r="BL1089" s="77"/>
      <c r="BM1089" s="77"/>
    </row>
    <row r="1090">
      <c r="A1090" s="99" t="s">
        <v>69</v>
      </c>
      <c r="B1090" s="99" t="b">
        <v>0</v>
      </c>
      <c r="C1090" s="99" t="b">
        <v>0</v>
      </c>
      <c r="D1090" s="80"/>
      <c r="E1090" s="81"/>
      <c r="F1090" s="106"/>
      <c r="G1090" s="107"/>
      <c r="H1090" s="108"/>
      <c r="I1090" s="108"/>
      <c r="J1090" s="109"/>
      <c r="K1090" s="107"/>
      <c r="L1090" s="107"/>
      <c r="M1090" s="110"/>
      <c r="N1090" s="110"/>
      <c r="O1090" s="108"/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70"/>
      <c r="Z1090" s="70"/>
      <c r="AA1090" s="70"/>
      <c r="AB1090" s="70"/>
      <c r="AC1090" s="70"/>
      <c r="AD1090" s="70"/>
      <c r="AE1090" s="70"/>
      <c r="AF1090" s="70"/>
      <c r="AG1090" s="70"/>
      <c r="AH1090" s="70"/>
      <c r="AI1090" s="70"/>
      <c r="AJ1090" s="70"/>
      <c r="AK1090" s="70"/>
      <c r="AL1090" s="70"/>
      <c r="AM1090" s="70"/>
      <c r="AN1090" s="70"/>
      <c r="AO1090" s="70"/>
      <c r="AP1090" s="70"/>
      <c r="AQ1090" s="77"/>
      <c r="AR1090" s="77"/>
      <c r="AS1090" s="77"/>
      <c r="AT1090" s="77"/>
      <c r="AU1090" s="77"/>
      <c r="AV1090" s="77"/>
      <c r="AW1090" s="77"/>
      <c r="AX1090" s="77"/>
      <c r="AY1090" s="77"/>
      <c r="AZ1090" s="77"/>
      <c r="BA1090" s="77"/>
      <c r="BB1090" s="77"/>
      <c r="BC1090" s="77"/>
      <c r="BD1090" s="77"/>
      <c r="BE1090" s="77"/>
      <c r="BF1090" s="77"/>
      <c r="BG1090" s="77"/>
      <c r="BH1090" s="77"/>
      <c r="BI1090" s="77"/>
      <c r="BJ1090" s="77"/>
      <c r="BK1090" s="77"/>
      <c r="BL1090" s="77"/>
      <c r="BM1090" s="77"/>
    </row>
    <row r="1091">
      <c r="A1091" s="100" t="s">
        <v>69</v>
      </c>
      <c r="B1091" s="100" t="b">
        <v>0</v>
      </c>
      <c r="C1091" s="100" t="b">
        <v>0</v>
      </c>
      <c r="D1091" s="42"/>
      <c r="E1091" s="43"/>
      <c r="F1091" s="101"/>
      <c r="G1091" s="102"/>
      <c r="H1091" s="103"/>
      <c r="I1091" s="103"/>
      <c r="J1091" s="104"/>
      <c r="K1091" s="102"/>
      <c r="L1091" s="102"/>
      <c r="M1091" s="105"/>
      <c r="N1091" s="105"/>
      <c r="O1091" s="103"/>
      <c r="P1091" s="103"/>
      <c r="Q1091" s="103"/>
      <c r="R1091" s="103"/>
      <c r="S1091" s="103"/>
      <c r="T1091" s="103"/>
      <c r="U1091" s="103"/>
      <c r="V1091" s="103"/>
      <c r="W1091" s="103"/>
      <c r="X1091" s="103"/>
      <c r="Y1091" s="70"/>
      <c r="Z1091" s="70"/>
      <c r="AA1091" s="70"/>
      <c r="AB1091" s="70"/>
      <c r="AC1091" s="70"/>
      <c r="AD1091" s="70"/>
      <c r="AE1091" s="70"/>
      <c r="AF1091" s="70"/>
      <c r="AG1091" s="70"/>
      <c r="AH1091" s="70"/>
      <c r="AI1091" s="70"/>
      <c r="AJ1091" s="70"/>
      <c r="AK1091" s="70"/>
      <c r="AL1091" s="70"/>
      <c r="AM1091" s="70"/>
      <c r="AN1091" s="70"/>
      <c r="AO1091" s="70"/>
      <c r="AP1091" s="70"/>
      <c r="AQ1091" s="77"/>
      <c r="AR1091" s="77"/>
      <c r="AS1091" s="77"/>
      <c r="AT1091" s="77"/>
      <c r="AU1091" s="77"/>
      <c r="AV1091" s="77"/>
      <c r="AW1091" s="77"/>
      <c r="AX1091" s="77"/>
      <c r="AY1091" s="77"/>
      <c r="AZ1091" s="77"/>
      <c r="BA1091" s="77"/>
      <c r="BB1091" s="77"/>
      <c r="BC1091" s="77"/>
      <c r="BD1091" s="77"/>
      <c r="BE1091" s="77"/>
      <c r="BF1091" s="77"/>
      <c r="BG1091" s="77"/>
      <c r="BH1091" s="77"/>
      <c r="BI1091" s="77"/>
      <c r="BJ1091" s="77"/>
      <c r="BK1091" s="77"/>
      <c r="BL1091" s="77"/>
      <c r="BM1091" s="77"/>
    </row>
    <row r="1092">
      <c r="A1092" s="99" t="s">
        <v>69</v>
      </c>
      <c r="B1092" s="99" t="b">
        <v>0</v>
      </c>
      <c r="C1092" s="99" t="b">
        <v>0</v>
      </c>
      <c r="D1092" s="80"/>
      <c r="E1092" s="81"/>
      <c r="F1092" s="106"/>
      <c r="G1092" s="107"/>
      <c r="H1092" s="108"/>
      <c r="I1092" s="108"/>
      <c r="J1092" s="109"/>
      <c r="K1092" s="107"/>
      <c r="L1092" s="107"/>
      <c r="M1092" s="110"/>
      <c r="N1092" s="110"/>
      <c r="O1092" s="108"/>
      <c r="P1092" s="108"/>
      <c r="Q1092" s="108"/>
      <c r="R1092" s="108"/>
      <c r="S1092" s="108"/>
      <c r="T1092" s="108"/>
      <c r="U1092" s="108"/>
      <c r="V1092" s="108"/>
      <c r="W1092" s="108"/>
      <c r="X1092" s="108"/>
      <c r="Y1092" s="70"/>
      <c r="Z1092" s="70"/>
      <c r="AA1092" s="70"/>
      <c r="AB1092" s="70"/>
      <c r="AC1092" s="70"/>
      <c r="AD1092" s="70"/>
      <c r="AE1092" s="70"/>
      <c r="AF1092" s="70"/>
      <c r="AG1092" s="70"/>
      <c r="AH1092" s="70"/>
      <c r="AI1092" s="70"/>
      <c r="AJ1092" s="70"/>
      <c r="AK1092" s="70"/>
      <c r="AL1092" s="70"/>
      <c r="AM1092" s="70"/>
      <c r="AN1092" s="70"/>
      <c r="AO1092" s="70"/>
      <c r="AP1092" s="70"/>
      <c r="AQ1092" s="77"/>
      <c r="AR1092" s="77"/>
      <c r="AS1092" s="77"/>
      <c r="AT1092" s="77"/>
      <c r="AU1092" s="77"/>
      <c r="AV1092" s="77"/>
      <c r="AW1092" s="77"/>
      <c r="AX1092" s="77"/>
      <c r="AY1092" s="77"/>
      <c r="AZ1092" s="77"/>
      <c r="BA1092" s="77"/>
      <c r="BB1092" s="77"/>
      <c r="BC1092" s="77"/>
      <c r="BD1092" s="77"/>
      <c r="BE1092" s="77"/>
      <c r="BF1092" s="77"/>
      <c r="BG1092" s="77"/>
      <c r="BH1092" s="77"/>
      <c r="BI1092" s="77"/>
      <c r="BJ1092" s="77"/>
      <c r="BK1092" s="77"/>
      <c r="BL1092" s="77"/>
      <c r="BM1092" s="77"/>
    </row>
    <row r="1093">
      <c r="A1093" s="100" t="s">
        <v>69</v>
      </c>
      <c r="B1093" s="100" t="b">
        <v>0</v>
      </c>
      <c r="C1093" s="100" t="b">
        <v>0</v>
      </c>
      <c r="D1093" s="42"/>
      <c r="E1093" s="43"/>
      <c r="F1093" s="101"/>
      <c r="G1093" s="102"/>
      <c r="H1093" s="103"/>
      <c r="I1093" s="103"/>
      <c r="J1093" s="104"/>
      <c r="K1093" s="102"/>
      <c r="L1093" s="102"/>
      <c r="M1093" s="105"/>
      <c r="N1093" s="105"/>
      <c r="O1093" s="103"/>
      <c r="P1093" s="103"/>
      <c r="Q1093" s="103"/>
      <c r="R1093" s="103"/>
      <c r="S1093" s="103"/>
      <c r="T1093" s="103"/>
      <c r="U1093" s="103"/>
      <c r="V1093" s="103"/>
      <c r="W1093" s="103"/>
      <c r="X1093" s="103"/>
      <c r="Y1093" s="70"/>
      <c r="Z1093" s="70"/>
      <c r="AA1093" s="70"/>
      <c r="AB1093" s="70"/>
      <c r="AC1093" s="70"/>
      <c r="AD1093" s="70"/>
      <c r="AE1093" s="70"/>
      <c r="AF1093" s="70"/>
      <c r="AG1093" s="70"/>
      <c r="AH1093" s="70"/>
      <c r="AI1093" s="70"/>
      <c r="AJ1093" s="70"/>
      <c r="AK1093" s="70"/>
      <c r="AL1093" s="70"/>
      <c r="AM1093" s="70"/>
      <c r="AN1093" s="70"/>
      <c r="AO1093" s="70"/>
      <c r="AP1093" s="70"/>
      <c r="AQ1093" s="77"/>
      <c r="AR1093" s="77"/>
      <c r="AS1093" s="77"/>
      <c r="AT1093" s="77"/>
      <c r="AU1093" s="77"/>
      <c r="AV1093" s="77"/>
      <c r="AW1093" s="77"/>
      <c r="AX1093" s="77"/>
      <c r="AY1093" s="77"/>
      <c r="AZ1093" s="77"/>
      <c r="BA1093" s="77"/>
      <c r="BB1093" s="77"/>
      <c r="BC1093" s="77"/>
      <c r="BD1093" s="77"/>
      <c r="BE1093" s="77"/>
      <c r="BF1093" s="77"/>
      <c r="BG1093" s="77"/>
      <c r="BH1093" s="77"/>
      <c r="BI1093" s="77"/>
      <c r="BJ1093" s="77"/>
      <c r="BK1093" s="77"/>
      <c r="BL1093" s="77"/>
      <c r="BM1093" s="77"/>
    </row>
    <row r="1094">
      <c r="A1094" s="99" t="s">
        <v>69</v>
      </c>
      <c r="B1094" s="99" t="b">
        <v>0</v>
      </c>
      <c r="C1094" s="99" t="b">
        <v>0</v>
      </c>
      <c r="D1094" s="80"/>
      <c r="E1094" s="81"/>
      <c r="F1094" s="106"/>
      <c r="G1094" s="107"/>
      <c r="H1094" s="108"/>
      <c r="I1094" s="108"/>
      <c r="J1094" s="109"/>
      <c r="K1094" s="107"/>
      <c r="L1094" s="107"/>
      <c r="M1094" s="110"/>
      <c r="N1094" s="110"/>
      <c r="O1094" s="108"/>
      <c r="P1094" s="108"/>
      <c r="Q1094" s="108"/>
      <c r="R1094" s="108"/>
      <c r="S1094" s="108"/>
      <c r="T1094" s="108"/>
      <c r="U1094" s="108"/>
      <c r="V1094" s="108"/>
      <c r="W1094" s="108"/>
      <c r="X1094" s="108"/>
      <c r="Y1094" s="70"/>
      <c r="Z1094" s="70"/>
      <c r="AA1094" s="70"/>
      <c r="AB1094" s="70"/>
      <c r="AC1094" s="70"/>
      <c r="AD1094" s="70"/>
      <c r="AE1094" s="70"/>
      <c r="AF1094" s="70"/>
      <c r="AG1094" s="70"/>
      <c r="AH1094" s="70"/>
      <c r="AI1094" s="70"/>
      <c r="AJ1094" s="70"/>
      <c r="AK1094" s="70"/>
      <c r="AL1094" s="70"/>
      <c r="AM1094" s="70"/>
      <c r="AN1094" s="70"/>
      <c r="AO1094" s="70"/>
      <c r="AP1094" s="70"/>
      <c r="AQ1094" s="77"/>
      <c r="AR1094" s="77"/>
      <c r="AS1094" s="77"/>
      <c r="AT1094" s="77"/>
      <c r="AU1094" s="77"/>
      <c r="AV1094" s="77"/>
      <c r="AW1094" s="77"/>
      <c r="AX1094" s="77"/>
      <c r="AY1094" s="77"/>
      <c r="AZ1094" s="77"/>
      <c r="BA1094" s="77"/>
      <c r="BB1094" s="77"/>
      <c r="BC1094" s="77"/>
      <c r="BD1094" s="77"/>
      <c r="BE1094" s="77"/>
      <c r="BF1094" s="77"/>
      <c r="BG1094" s="77"/>
      <c r="BH1094" s="77"/>
      <c r="BI1094" s="77"/>
      <c r="BJ1094" s="77"/>
      <c r="BK1094" s="77"/>
      <c r="BL1094" s="77"/>
      <c r="BM1094" s="77"/>
    </row>
    <row r="1095">
      <c r="A1095" s="100" t="s">
        <v>69</v>
      </c>
      <c r="B1095" s="100" t="b">
        <v>0</v>
      </c>
      <c r="C1095" s="100" t="b">
        <v>0</v>
      </c>
      <c r="D1095" s="42"/>
      <c r="E1095" s="43"/>
      <c r="F1095" s="101"/>
      <c r="G1095" s="102"/>
      <c r="H1095" s="103"/>
      <c r="I1095" s="103"/>
      <c r="J1095" s="104"/>
      <c r="K1095" s="102"/>
      <c r="L1095" s="102"/>
      <c r="M1095" s="105"/>
      <c r="N1095" s="105"/>
      <c r="O1095" s="103"/>
      <c r="P1095" s="103"/>
      <c r="Q1095" s="103"/>
      <c r="R1095" s="103"/>
      <c r="S1095" s="103"/>
      <c r="T1095" s="103"/>
      <c r="U1095" s="103"/>
      <c r="V1095" s="103"/>
      <c r="W1095" s="103"/>
      <c r="X1095" s="103"/>
      <c r="Y1095" s="70"/>
      <c r="Z1095" s="70"/>
      <c r="AA1095" s="70"/>
      <c r="AB1095" s="70"/>
      <c r="AC1095" s="70"/>
      <c r="AD1095" s="70"/>
      <c r="AE1095" s="70"/>
      <c r="AF1095" s="70"/>
      <c r="AG1095" s="70"/>
      <c r="AH1095" s="70"/>
      <c r="AI1095" s="70"/>
      <c r="AJ1095" s="70"/>
      <c r="AK1095" s="70"/>
      <c r="AL1095" s="70"/>
      <c r="AM1095" s="70"/>
      <c r="AN1095" s="70"/>
      <c r="AO1095" s="70"/>
      <c r="AP1095" s="70"/>
      <c r="AQ1095" s="77"/>
      <c r="AR1095" s="77"/>
      <c r="AS1095" s="77"/>
      <c r="AT1095" s="77"/>
      <c r="AU1095" s="77"/>
      <c r="AV1095" s="77"/>
      <c r="AW1095" s="77"/>
      <c r="AX1095" s="77"/>
      <c r="AY1095" s="77"/>
      <c r="AZ1095" s="77"/>
      <c r="BA1095" s="77"/>
      <c r="BB1095" s="77"/>
      <c r="BC1095" s="77"/>
      <c r="BD1095" s="77"/>
      <c r="BE1095" s="77"/>
      <c r="BF1095" s="77"/>
      <c r="BG1095" s="77"/>
      <c r="BH1095" s="77"/>
      <c r="BI1095" s="77"/>
      <c r="BJ1095" s="77"/>
      <c r="BK1095" s="77"/>
      <c r="BL1095" s="77"/>
      <c r="BM1095" s="77"/>
    </row>
    <row r="1096">
      <c r="A1096" s="99" t="s">
        <v>69</v>
      </c>
      <c r="B1096" s="99" t="b">
        <v>0</v>
      </c>
      <c r="C1096" s="99" t="b">
        <v>0</v>
      </c>
      <c r="D1096" s="80"/>
      <c r="E1096" s="81"/>
      <c r="F1096" s="106"/>
      <c r="G1096" s="107"/>
      <c r="H1096" s="108"/>
      <c r="I1096" s="108"/>
      <c r="J1096" s="109"/>
      <c r="K1096" s="107"/>
      <c r="L1096" s="107"/>
      <c r="M1096" s="110"/>
      <c r="N1096" s="110"/>
      <c r="O1096" s="108"/>
      <c r="P1096" s="108"/>
      <c r="Q1096" s="108"/>
      <c r="R1096" s="108"/>
      <c r="S1096" s="108"/>
      <c r="T1096" s="108"/>
      <c r="U1096" s="108"/>
      <c r="V1096" s="108"/>
      <c r="W1096" s="108"/>
      <c r="X1096" s="108"/>
      <c r="Y1096" s="70"/>
      <c r="Z1096" s="70"/>
      <c r="AA1096" s="70"/>
      <c r="AB1096" s="70"/>
      <c r="AC1096" s="70"/>
      <c r="AD1096" s="70"/>
      <c r="AE1096" s="70"/>
      <c r="AF1096" s="70"/>
      <c r="AG1096" s="70"/>
      <c r="AH1096" s="70"/>
      <c r="AI1096" s="70"/>
      <c r="AJ1096" s="70"/>
      <c r="AK1096" s="70"/>
      <c r="AL1096" s="70"/>
      <c r="AM1096" s="70"/>
      <c r="AN1096" s="70"/>
      <c r="AO1096" s="70"/>
      <c r="AP1096" s="70"/>
      <c r="AQ1096" s="77"/>
      <c r="AR1096" s="77"/>
      <c r="AS1096" s="77"/>
      <c r="AT1096" s="77"/>
      <c r="AU1096" s="77"/>
      <c r="AV1096" s="77"/>
      <c r="AW1096" s="77"/>
      <c r="AX1096" s="77"/>
      <c r="AY1096" s="77"/>
      <c r="AZ1096" s="77"/>
      <c r="BA1096" s="77"/>
      <c r="BB1096" s="77"/>
      <c r="BC1096" s="77"/>
      <c r="BD1096" s="77"/>
      <c r="BE1096" s="77"/>
      <c r="BF1096" s="77"/>
      <c r="BG1096" s="77"/>
      <c r="BH1096" s="77"/>
      <c r="BI1096" s="77"/>
      <c r="BJ1096" s="77"/>
      <c r="BK1096" s="77"/>
      <c r="BL1096" s="77"/>
      <c r="BM1096" s="77"/>
    </row>
    <row r="1097">
      <c r="A1097" s="100" t="s">
        <v>69</v>
      </c>
      <c r="B1097" s="100" t="b">
        <v>0</v>
      </c>
      <c r="C1097" s="100" t="b">
        <v>0</v>
      </c>
      <c r="D1097" s="42"/>
      <c r="E1097" s="43"/>
      <c r="F1097" s="101"/>
      <c r="G1097" s="102"/>
      <c r="H1097" s="103"/>
      <c r="I1097" s="103"/>
      <c r="J1097" s="104"/>
      <c r="K1097" s="102"/>
      <c r="L1097" s="102"/>
      <c r="M1097" s="105"/>
      <c r="N1097" s="105"/>
      <c r="O1097" s="103"/>
      <c r="P1097" s="103"/>
      <c r="Q1097" s="103"/>
      <c r="R1097" s="103"/>
      <c r="S1097" s="103"/>
      <c r="T1097" s="103"/>
      <c r="U1097" s="103"/>
      <c r="V1097" s="103"/>
      <c r="W1097" s="103"/>
      <c r="X1097" s="103"/>
      <c r="Y1097" s="70"/>
      <c r="Z1097" s="70"/>
      <c r="AA1097" s="70"/>
      <c r="AB1097" s="70"/>
      <c r="AC1097" s="70"/>
      <c r="AD1097" s="70"/>
      <c r="AE1097" s="70"/>
      <c r="AF1097" s="70"/>
      <c r="AG1097" s="70"/>
      <c r="AH1097" s="70"/>
      <c r="AI1097" s="70"/>
      <c r="AJ1097" s="70"/>
      <c r="AK1097" s="70"/>
      <c r="AL1097" s="70"/>
      <c r="AM1097" s="70"/>
      <c r="AN1097" s="70"/>
      <c r="AO1097" s="70"/>
      <c r="AP1097" s="70"/>
      <c r="AQ1097" s="77"/>
      <c r="AR1097" s="77"/>
      <c r="AS1097" s="77"/>
      <c r="AT1097" s="77"/>
      <c r="AU1097" s="77"/>
      <c r="AV1097" s="77"/>
      <c r="AW1097" s="77"/>
      <c r="AX1097" s="77"/>
      <c r="AY1097" s="77"/>
      <c r="AZ1097" s="77"/>
      <c r="BA1097" s="77"/>
      <c r="BB1097" s="77"/>
      <c r="BC1097" s="77"/>
      <c r="BD1097" s="77"/>
      <c r="BE1097" s="77"/>
      <c r="BF1097" s="77"/>
      <c r="BG1097" s="77"/>
      <c r="BH1097" s="77"/>
      <c r="BI1097" s="77"/>
      <c r="BJ1097" s="77"/>
      <c r="BK1097" s="77"/>
      <c r="BL1097" s="77"/>
      <c r="BM1097" s="77"/>
    </row>
    <row r="1098">
      <c r="A1098" s="99" t="s">
        <v>69</v>
      </c>
      <c r="B1098" s="99" t="b">
        <v>0</v>
      </c>
      <c r="C1098" s="99" t="b">
        <v>0</v>
      </c>
      <c r="D1098" s="80"/>
      <c r="E1098" s="81"/>
      <c r="F1098" s="106"/>
      <c r="G1098" s="107"/>
      <c r="H1098" s="108"/>
      <c r="I1098" s="108"/>
      <c r="J1098" s="109"/>
      <c r="K1098" s="107"/>
      <c r="L1098" s="107"/>
      <c r="M1098" s="110"/>
      <c r="N1098" s="110"/>
      <c r="O1098" s="108"/>
      <c r="P1098" s="108"/>
      <c r="Q1098" s="108"/>
      <c r="R1098" s="108"/>
      <c r="S1098" s="108"/>
      <c r="T1098" s="108"/>
      <c r="U1098" s="108"/>
      <c r="V1098" s="108"/>
      <c r="W1098" s="108"/>
      <c r="X1098" s="108"/>
      <c r="Y1098" s="70"/>
      <c r="Z1098" s="70"/>
      <c r="AA1098" s="70"/>
      <c r="AB1098" s="70"/>
      <c r="AC1098" s="70"/>
      <c r="AD1098" s="70"/>
      <c r="AE1098" s="70"/>
      <c r="AF1098" s="70"/>
      <c r="AG1098" s="70"/>
      <c r="AH1098" s="70"/>
      <c r="AI1098" s="70"/>
      <c r="AJ1098" s="70"/>
      <c r="AK1098" s="70"/>
      <c r="AL1098" s="70"/>
      <c r="AM1098" s="70"/>
      <c r="AN1098" s="70"/>
      <c r="AO1098" s="70"/>
      <c r="AP1098" s="70"/>
      <c r="AQ1098" s="77"/>
      <c r="AR1098" s="77"/>
      <c r="AS1098" s="77"/>
      <c r="AT1098" s="77"/>
      <c r="AU1098" s="77"/>
      <c r="AV1098" s="77"/>
      <c r="AW1098" s="77"/>
      <c r="AX1098" s="77"/>
      <c r="AY1098" s="77"/>
      <c r="AZ1098" s="77"/>
      <c r="BA1098" s="77"/>
      <c r="BB1098" s="77"/>
      <c r="BC1098" s="77"/>
      <c r="BD1098" s="77"/>
      <c r="BE1098" s="77"/>
      <c r="BF1098" s="77"/>
      <c r="BG1098" s="77"/>
      <c r="BH1098" s="77"/>
      <c r="BI1098" s="77"/>
      <c r="BJ1098" s="77"/>
      <c r="BK1098" s="77"/>
      <c r="BL1098" s="77"/>
      <c r="BM1098" s="77"/>
    </row>
    <row r="1099">
      <c r="A1099" s="100" t="s">
        <v>69</v>
      </c>
      <c r="B1099" s="100" t="b">
        <v>0</v>
      </c>
      <c r="C1099" s="100" t="b">
        <v>0</v>
      </c>
      <c r="D1099" s="42"/>
      <c r="E1099" s="43"/>
      <c r="F1099" s="101"/>
      <c r="G1099" s="102"/>
      <c r="H1099" s="103"/>
      <c r="I1099" s="103"/>
      <c r="J1099" s="104"/>
      <c r="K1099" s="102"/>
      <c r="L1099" s="102"/>
      <c r="M1099" s="105"/>
      <c r="N1099" s="105"/>
      <c r="O1099" s="103"/>
      <c r="P1099" s="103"/>
      <c r="Q1099" s="103"/>
      <c r="R1099" s="103"/>
      <c r="S1099" s="103"/>
      <c r="T1099" s="103"/>
      <c r="U1099" s="103"/>
      <c r="V1099" s="103"/>
      <c r="W1099" s="103"/>
      <c r="X1099" s="103"/>
      <c r="Y1099" s="70"/>
      <c r="Z1099" s="70"/>
      <c r="AA1099" s="70"/>
      <c r="AB1099" s="70"/>
      <c r="AC1099" s="70"/>
      <c r="AD1099" s="70"/>
      <c r="AE1099" s="70"/>
      <c r="AF1099" s="70"/>
      <c r="AG1099" s="70"/>
      <c r="AH1099" s="70"/>
      <c r="AI1099" s="70"/>
      <c r="AJ1099" s="70"/>
      <c r="AK1099" s="70"/>
      <c r="AL1099" s="70"/>
      <c r="AM1099" s="70"/>
      <c r="AN1099" s="70"/>
      <c r="AO1099" s="70"/>
      <c r="AP1099" s="70"/>
      <c r="AQ1099" s="77"/>
      <c r="AR1099" s="77"/>
      <c r="AS1099" s="77"/>
      <c r="AT1099" s="77"/>
      <c r="AU1099" s="77"/>
      <c r="AV1099" s="77"/>
      <c r="AW1099" s="77"/>
      <c r="AX1099" s="77"/>
      <c r="AY1099" s="77"/>
      <c r="AZ1099" s="77"/>
      <c r="BA1099" s="77"/>
      <c r="BB1099" s="77"/>
      <c r="BC1099" s="77"/>
      <c r="BD1099" s="77"/>
      <c r="BE1099" s="77"/>
      <c r="BF1099" s="77"/>
      <c r="BG1099" s="77"/>
      <c r="BH1099" s="77"/>
      <c r="BI1099" s="77"/>
      <c r="BJ1099" s="77"/>
      <c r="BK1099" s="77"/>
      <c r="BL1099" s="77"/>
      <c r="BM1099" s="77"/>
    </row>
    <row r="1100">
      <c r="A1100" s="99" t="s">
        <v>69</v>
      </c>
      <c r="B1100" s="99" t="b">
        <v>0</v>
      </c>
      <c r="C1100" s="99" t="b">
        <v>0</v>
      </c>
      <c r="D1100" s="80"/>
      <c r="E1100" s="81"/>
      <c r="F1100" s="106"/>
      <c r="G1100" s="107"/>
      <c r="H1100" s="108"/>
      <c r="I1100" s="108"/>
      <c r="J1100" s="109"/>
      <c r="K1100" s="107"/>
      <c r="L1100" s="107"/>
      <c r="M1100" s="110"/>
      <c r="N1100" s="110"/>
      <c r="O1100" s="108"/>
      <c r="P1100" s="108"/>
      <c r="Q1100" s="108"/>
      <c r="R1100" s="108"/>
      <c r="S1100" s="108"/>
      <c r="T1100" s="108"/>
      <c r="U1100" s="108"/>
      <c r="V1100" s="108"/>
      <c r="W1100" s="108"/>
      <c r="X1100" s="108"/>
      <c r="Y1100" s="70"/>
      <c r="Z1100" s="70"/>
      <c r="AA1100" s="70"/>
      <c r="AB1100" s="70"/>
      <c r="AC1100" s="70"/>
      <c r="AD1100" s="70"/>
      <c r="AE1100" s="70"/>
      <c r="AF1100" s="70"/>
      <c r="AG1100" s="70"/>
      <c r="AH1100" s="70"/>
      <c r="AI1100" s="70"/>
      <c r="AJ1100" s="70"/>
      <c r="AK1100" s="70"/>
      <c r="AL1100" s="70"/>
      <c r="AM1100" s="70"/>
      <c r="AN1100" s="70"/>
      <c r="AO1100" s="70"/>
      <c r="AP1100" s="70"/>
      <c r="AQ1100" s="77"/>
      <c r="AR1100" s="77"/>
      <c r="AS1100" s="77"/>
      <c r="AT1100" s="77"/>
      <c r="AU1100" s="77"/>
      <c r="AV1100" s="77"/>
      <c r="AW1100" s="77"/>
      <c r="AX1100" s="77"/>
      <c r="AY1100" s="77"/>
      <c r="AZ1100" s="77"/>
      <c r="BA1100" s="77"/>
      <c r="BB1100" s="77"/>
      <c r="BC1100" s="77"/>
      <c r="BD1100" s="77"/>
      <c r="BE1100" s="77"/>
      <c r="BF1100" s="77"/>
      <c r="BG1100" s="77"/>
      <c r="BH1100" s="77"/>
      <c r="BI1100" s="77"/>
      <c r="BJ1100" s="77"/>
      <c r="BK1100" s="77"/>
      <c r="BL1100" s="77"/>
      <c r="BM1100" s="77"/>
    </row>
    <row r="1101">
      <c r="A1101" s="100" t="s">
        <v>69</v>
      </c>
      <c r="B1101" s="100" t="b">
        <v>0</v>
      </c>
      <c r="C1101" s="100" t="b">
        <v>0</v>
      </c>
      <c r="D1101" s="42"/>
      <c r="E1101" s="43"/>
      <c r="F1101" s="101"/>
      <c r="G1101" s="102"/>
      <c r="H1101" s="103"/>
      <c r="I1101" s="103"/>
      <c r="J1101" s="104"/>
      <c r="K1101" s="102"/>
      <c r="L1101" s="102"/>
      <c r="M1101" s="105"/>
      <c r="N1101" s="105"/>
      <c r="O1101" s="103"/>
      <c r="P1101" s="103"/>
      <c r="Q1101" s="103"/>
      <c r="R1101" s="103"/>
      <c r="S1101" s="103"/>
      <c r="T1101" s="103"/>
      <c r="U1101" s="103"/>
      <c r="V1101" s="103"/>
      <c r="W1101" s="103"/>
      <c r="X1101" s="103"/>
      <c r="Y1101" s="70"/>
      <c r="Z1101" s="70"/>
      <c r="AA1101" s="70"/>
      <c r="AB1101" s="70"/>
      <c r="AC1101" s="70"/>
      <c r="AD1101" s="70"/>
      <c r="AE1101" s="70"/>
      <c r="AF1101" s="70"/>
      <c r="AG1101" s="70"/>
      <c r="AH1101" s="70"/>
      <c r="AI1101" s="70"/>
      <c r="AJ1101" s="70"/>
      <c r="AK1101" s="70"/>
      <c r="AL1101" s="70"/>
      <c r="AM1101" s="70"/>
      <c r="AN1101" s="70"/>
      <c r="AO1101" s="70"/>
      <c r="AP1101" s="70"/>
      <c r="AQ1101" s="77"/>
      <c r="AR1101" s="77"/>
      <c r="AS1101" s="77"/>
      <c r="AT1101" s="77"/>
      <c r="AU1101" s="77"/>
      <c r="AV1101" s="77"/>
      <c r="AW1101" s="77"/>
      <c r="AX1101" s="77"/>
      <c r="AY1101" s="77"/>
      <c r="AZ1101" s="77"/>
      <c r="BA1101" s="77"/>
      <c r="BB1101" s="77"/>
      <c r="BC1101" s="77"/>
      <c r="BD1101" s="77"/>
      <c r="BE1101" s="77"/>
      <c r="BF1101" s="77"/>
      <c r="BG1101" s="77"/>
      <c r="BH1101" s="77"/>
      <c r="BI1101" s="77"/>
      <c r="BJ1101" s="77"/>
      <c r="BK1101" s="77"/>
      <c r="BL1101" s="77"/>
      <c r="BM1101" s="77"/>
    </row>
    <row r="1102">
      <c r="A1102" s="99" t="s">
        <v>69</v>
      </c>
      <c r="B1102" s="99" t="b">
        <v>0</v>
      </c>
      <c r="C1102" s="99" t="b">
        <v>0</v>
      </c>
      <c r="D1102" s="80"/>
      <c r="E1102" s="81"/>
      <c r="F1102" s="106"/>
      <c r="G1102" s="107"/>
      <c r="H1102" s="108"/>
      <c r="I1102" s="108"/>
      <c r="J1102" s="109"/>
      <c r="K1102" s="107"/>
      <c r="L1102" s="107"/>
      <c r="M1102" s="110"/>
      <c r="N1102" s="110"/>
      <c r="O1102" s="108"/>
      <c r="P1102" s="108"/>
      <c r="Q1102" s="108"/>
      <c r="R1102" s="108"/>
      <c r="S1102" s="108"/>
      <c r="T1102" s="108"/>
      <c r="U1102" s="108"/>
      <c r="V1102" s="108"/>
      <c r="W1102" s="108"/>
      <c r="X1102" s="108"/>
      <c r="Y1102" s="70"/>
      <c r="Z1102" s="70"/>
      <c r="AA1102" s="70"/>
      <c r="AB1102" s="70"/>
      <c r="AC1102" s="70"/>
      <c r="AD1102" s="70"/>
      <c r="AE1102" s="70"/>
      <c r="AF1102" s="70"/>
      <c r="AG1102" s="70"/>
      <c r="AH1102" s="70"/>
      <c r="AI1102" s="70"/>
      <c r="AJ1102" s="70"/>
      <c r="AK1102" s="70"/>
      <c r="AL1102" s="70"/>
      <c r="AM1102" s="70"/>
      <c r="AN1102" s="70"/>
      <c r="AO1102" s="70"/>
      <c r="AP1102" s="70"/>
      <c r="AQ1102" s="77"/>
      <c r="AR1102" s="77"/>
      <c r="AS1102" s="77"/>
      <c r="AT1102" s="77"/>
      <c r="AU1102" s="77"/>
      <c r="AV1102" s="77"/>
      <c r="AW1102" s="77"/>
      <c r="AX1102" s="77"/>
      <c r="AY1102" s="77"/>
      <c r="AZ1102" s="77"/>
      <c r="BA1102" s="77"/>
      <c r="BB1102" s="77"/>
      <c r="BC1102" s="77"/>
      <c r="BD1102" s="77"/>
      <c r="BE1102" s="77"/>
      <c r="BF1102" s="77"/>
      <c r="BG1102" s="77"/>
      <c r="BH1102" s="77"/>
      <c r="BI1102" s="77"/>
      <c r="BJ1102" s="77"/>
      <c r="BK1102" s="77"/>
      <c r="BL1102" s="77"/>
      <c r="BM1102" s="77"/>
    </row>
    <row r="1103">
      <c r="A1103" s="100" t="s">
        <v>69</v>
      </c>
      <c r="B1103" s="100" t="b">
        <v>0</v>
      </c>
      <c r="C1103" s="100" t="b">
        <v>0</v>
      </c>
      <c r="D1103" s="42"/>
      <c r="E1103" s="43"/>
      <c r="F1103" s="101"/>
      <c r="G1103" s="102"/>
      <c r="H1103" s="103"/>
      <c r="I1103" s="103"/>
      <c r="J1103" s="104"/>
      <c r="K1103" s="102"/>
      <c r="L1103" s="102"/>
      <c r="M1103" s="105"/>
      <c r="N1103" s="105"/>
      <c r="O1103" s="103"/>
      <c r="P1103" s="103"/>
      <c r="Q1103" s="103"/>
      <c r="R1103" s="103"/>
      <c r="S1103" s="103"/>
      <c r="T1103" s="103"/>
      <c r="U1103" s="103"/>
      <c r="V1103" s="103"/>
      <c r="W1103" s="103"/>
      <c r="X1103" s="103"/>
      <c r="Y1103" s="70"/>
      <c r="Z1103" s="70"/>
      <c r="AA1103" s="70"/>
      <c r="AB1103" s="70"/>
      <c r="AC1103" s="70"/>
      <c r="AD1103" s="70"/>
      <c r="AE1103" s="70"/>
      <c r="AF1103" s="70"/>
      <c r="AG1103" s="70"/>
      <c r="AH1103" s="70"/>
      <c r="AI1103" s="70"/>
      <c r="AJ1103" s="70"/>
      <c r="AK1103" s="70"/>
      <c r="AL1103" s="70"/>
      <c r="AM1103" s="70"/>
      <c r="AN1103" s="70"/>
      <c r="AO1103" s="70"/>
      <c r="AP1103" s="70"/>
      <c r="AQ1103" s="77"/>
      <c r="AR1103" s="77"/>
      <c r="AS1103" s="77"/>
      <c r="AT1103" s="77"/>
      <c r="AU1103" s="77"/>
      <c r="AV1103" s="77"/>
      <c r="AW1103" s="77"/>
      <c r="AX1103" s="77"/>
      <c r="AY1103" s="77"/>
      <c r="AZ1103" s="77"/>
      <c r="BA1103" s="77"/>
      <c r="BB1103" s="77"/>
      <c r="BC1103" s="77"/>
      <c r="BD1103" s="77"/>
      <c r="BE1103" s="77"/>
      <c r="BF1103" s="77"/>
      <c r="BG1103" s="77"/>
      <c r="BH1103" s="77"/>
      <c r="BI1103" s="77"/>
      <c r="BJ1103" s="77"/>
      <c r="BK1103" s="77"/>
      <c r="BL1103" s="77"/>
      <c r="BM1103" s="77"/>
    </row>
    <row r="1104">
      <c r="A1104" s="99" t="s">
        <v>69</v>
      </c>
      <c r="B1104" s="99" t="b">
        <v>0</v>
      </c>
      <c r="C1104" s="99" t="b">
        <v>0</v>
      </c>
      <c r="D1104" s="80"/>
      <c r="E1104" s="81"/>
      <c r="F1104" s="106"/>
      <c r="G1104" s="107"/>
      <c r="H1104" s="108"/>
      <c r="I1104" s="108"/>
      <c r="J1104" s="109"/>
      <c r="K1104" s="107"/>
      <c r="L1104" s="107"/>
      <c r="M1104" s="110"/>
      <c r="N1104" s="110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70"/>
      <c r="Z1104" s="70"/>
      <c r="AA1104" s="70"/>
      <c r="AB1104" s="70"/>
      <c r="AC1104" s="70"/>
      <c r="AD1104" s="70"/>
      <c r="AE1104" s="70"/>
      <c r="AF1104" s="70"/>
      <c r="AG1104" s="70"/>
      <c r="AH1104" s="70"/>
      <c r="AI1104" s="70"/>
      <c r="AJ1104" s="70"/>
      <c r="AK1104" s="70"/>
      <c r="AL1104" s="70"/>
      <c r="AM1104" s="70"/>
      <c r="AN1104" s="70"/>
      <c r="AO1104" s="70"/>
      <c r="AP1104" s="70"/>
      <c r="AQ1104" s="77"/>
      <c r="AR1104" s="77"/>
      <c r="AS1104" s="77"/>
      <c r="AT1104" s="77"/>
      <c r="AU1104" s="77"/>
      <c r="AV1104" s="77"/>
      <c r="AW1104" s="77"/>
      <c r="AX1104" s="77"/>
      <c r="AY1104" s="77"/>
      <c r="AZ1104" s="77"/>
      <c r="BA1104" s="77"/>
      <c r="BB1104" s="77"/>
      <c r="BC1104" s="77"/>
      <c r="BD1104" s="77"/>
      <c r="BE1104" s="77"/>
      <c r="BF1104" s="77"/>
      <c r="BG1104" s="77"/>
      <c r="BH1104" s="77"/>
      <c r="BI1104" s="77"/>
      <c r="BJ1104" s="77"/>
      <c r="BK1104" s="77"/>
      <c r="BL1104" s="77"/>
      <c r="BM1104" s="77"/>
    </row>
    <row r="1105">
      <c r="A1105" s="100" t="s">
        <v>69</v>
      </c>
      <c r="B1105" s="100" t="b">
        <v>0</v>
      </c>
      <c r="C1105" s="100" t="b">
        <v>0</v>
      </c>
      <c r="D1105" s="42"/>
      <c r="E1105" s="43"/>
      <c r="F1105" s="101"/>
      <c r="G1105" s="102"/>
      <c r="H1105" s="103"/>
      <c r="I1105" s="103"/>
      <c r="J1105" s="104"/>
      <c r="K1105" s="102"/>
      <c r="L1105" s="102"/>
      <c r="M1105" s="105"/>
      <c r="N1105" s="105"/>
      <c r="O1105" s="103"/>
      <c r="P1105" s="103"/>
      <c r="Q1105" s="103"/>
      <c r="R1105" s="103"/>
      <c r="S1105" s="103"/>
      <c r="T1105" s="103"/>
      <c r="U1105" s="103"/>
      <c r="V1105" s="103"/>
      <c r="W1105" s="103"/>
      <c r="X1105" s="103"/>
      <c r="Y1105" s="70"/>
      <c r="Z1105" s="70"/>
      <c r="AA1105" s="70"/>
      <c r="AB1105" s="70"/>
      <c r="AC1105" s="70"/>
      <c r="AD1105" s="70"/>
      <c r="AE1105" s="70"/>
      <c r="AF1105" s="70"/>
      <c r="AG1105" s="70"/>
      <c r="AH1105" s="70"/>
      <c r="AI1105" s="70"/>
      <c r="AJ1105" s="70"/>
      <c r="AK1105" s="70"/>
      <c r="AL1105" s="70"/>
      <c r="AM1105" s="70"/>
      <c r="AN1105" s="70"/>
      <c r="AO1105" s="70"/>
      <c r="AP1105" s="70"/>
      <c r="AQ1105" s="77"/>
      <c r="AR1105" s="77"/>
      <c r="AS1105" s="77"/>
      <c r="AT1105" s="77"/>
      <c r="AU1105" s="77"/>
      <c r="AV1105" s="77"/>
      <c r="AW1105" s="77"/>
      <c r="AX1105" s="77"/>
      <c r="AY1105" s="77"/>
      <c r="AZ1105" s="77"/>
      <c r="BA1105" s="77"/>
      <c r="BB1105" s="77"/>
      <c r="BC1105" s="77"/>
      <c r="BD1105" s="77"/>
      <c r="BE1105" s="77"/>
      <c r="BF1105" s="77"/>
      <c r="BG1105" s="77"/>
      <c r="BH1105" s="77"/>
      <c r="BI1105" s="77"/>
      <c r="BJ1105" s="77"/>
      <c r="BK1105" s="77"/>
      <c r="BL1105" s="77"/>
      <c r="BM1105" s="77"/>
    </row>
    <row r="1106">
      <c r="A1106" s="99" t="s">
        <v>69</v>
      </c>
      <c r="B1106" s="99" t="b">
        <v>0</v>
      </c>
      <c r="C1106" s="99" t="b">
        <v>0</v>
      </c>
      <c r="D1106" s="80"/>
      <c r="E1106" s="81"/>
      <c r="F1106" s="106"/>
      <c r="G1106" s="107"/>
      <c r="H1106" s="108"/>
      <c r="I1106" s="108"/>
      <c r="J1106" s="109"/>
      <c r="K1106" s="107"/>
      <c r="L1106" s="107"/>
      <c r="M1106" s="110"/>
      <c r="N1106" s="110"/>
      <c r="O1106" s="108"/>
      <c r="P1106" s="108"/>
      <c r="Q1106" s="108"/>
      <c r="R1106" s="108"/>
      <c r="S1106" s="108"/>
      <c r="T1106" s="108"/>
      <c r="U1106" s="108"/>
      <c r="V1106" s="108"/>
      <c r="W1106" s="108"/>
      <c r="X1106" s="108"/>
      <c r="Y1106" s="70"/>
      <c r="Z1106" s="70"/>
      <c r="AA1106" s="70"/>
      <c r="AB1106" s="70"/>
      <c r="AC1106" s="70"/>
      <c r="AD1106" s="70"/>
      <c r="AE1106" s="70"/>
      <c r="AF1106" s="70"/>
      <c r="AG1106" s="70"/>
      <c r="AH1106" s="70"/>
      <c r="AI1106" s="70"/>
      <c r="AJ1106" s="70"/>
      <c r="AK1106" s="70"/>
      <c r="AL1106" s="70"/>
      <c r="AM1106" s="70"/>
      <c r="AN1106" s="70"/>
      <c r="AO1106" s="70"/>
      <c r="AP1106" s="70"/>
      <c r="AQ1106" s="77"/>
      <c r="AR1106" s="77"/>
      <c r="AS1106" s="77"/>
      <c r="AT1106" s="77"/>
      <c r="AU1106" s="77"/>
      <c r="AV1106" s="77"/>
      <c r="AW1106" s="77"/>
      <c r="AX1106" s="77"/>
      <c r="AY1106" s="77"/>
      <c r="AZ1106" s="77"/>
      <c r="BA1106" s="77"/>
      <c r="BB1106" s="77"/>
      <c r="BC1106" s="77"/>
      <c r="BD1106" s="77"/>
      <c r="BE1106" s="77"/>
      <c r="BF1106" s="77"/>
      <c r="BG1106" s="77"/>
      <c r="BH1106" s="77"/>
      <c r="BI1106" s="77"/>
      <c r="BJ1106" s="77"/>
      <c r="BK1106" s="77"/>
      <c r="BL1106" s="77"/>
      <c r="BM1106" s="77"/>
    </row>
    <row r="1107">
      <c r="A1107" s="100" t="s">
        <v>69</v>
      </c>
      <c r="B1107" s="100" t="b">
        <v>0</v>
      </c>
      <c r="C1107" s="100" t="b">
        <v>0</v>
      </c>
      <c r="D1107" s="42"/>
      <c r="E1107" s="43"/>
      <c r="F1107" s="101"/>
      <c r="G1107" s="102"/>
      <c r="H1107" s="103"/>
      <c r="I1107" s="103"/>
      <c r="J1107" s="104"/>
      <c r="K1107" s="102"/>
      <c r="L1107" s="102"/>
      <c r="M1107" s="105"/>
      <c r="N1107" s="105"/>
      <c r="O1107" s="103"/>
      <c r="P1107" s="103"/>
      <c r="Q1107" s="103"/>
      <c r="R1107" s="103"/>
      <c r="S1107" s="103"/>
      <c r="T1107" s="103"/>
      <c r="U1107" s="103"/>
      <c r="V1107" s="103"/>
      <c r="W1107" s="103"/>
      <c r="X1107" s="103"/>
      <c r="Y1107" s="70"/>
      <c r="Z1107" s="70"/>
      <c r="AA1107" s="70"/>
      <c r="AB1107" s="70"/>
      <c r="AC1107" s="70"/>
      <c r="AD1107" s="70"/>
      <c r="AE1107" s="70"/>
      <c r="AF1107" s="70"/>
      <c r="AG1107" s="70"/>
      <c r="AH1107" s="70"/>
      <c r="AI1107" s="70"/>
      <c r="AJ1107" s="70"/>
      <c r="AK1107" s="70"/>
      <c r="AL1107" s="70"/>
      <c r="AM1107" s="70"/>
      <c r="AN1107" s="70"/>
      <c r="AO1107" s="70"/>
      <c r="AP1107" s="70"/>
      <c r="AQ1107" s="77"/>
      <c r="AR1107" s="77"/>
      <c r="AS1107" s="77"/>
      <c r="AT1107" s="77"/>
      <c r="AU1107" s="77"/>
      <c r="AV1107" s="77"/>
      <c r="AW1107" s="77"/>
      <c r="AX1107" s="77"/>
      <c r="AY1107" s="77"/>
      <c r="AZ1107" s="77"/>
      <c r="BA1107" s="77"/>
      <c r="BB1107" s="77"/>
      <c r="BC1107" s="77"/>
      <c r="BD1107" s="77"/>
      <c r="BE1107" s="77"/>
      <c r="BF1107" s="77"/>
      <c r="BG1107" s="77"/>
      <c r="BH1107" s="77"/>
      <c r="BI1107" s="77"/>
      <c r="BJ1107" s="77"/>
      <c r="BK1107" s="77"/>
      <c r="BL1107" s="77"/>
      <c r="BM1107" s="77"/>
    </row>
    <row r="1108">
      <c r="A1108" s="99" t="s">
        <v>69</v>
      </c>
      <c r="B1108" s="99" t="b">
        <v>0</v>
      </c>
      <c r="C1108" s="99" t="b">
        <v>0</v>
      </c>
      <c r="D1108" s="80"/>
      <c r="E1108" s="81"/>
      <c r="F1108" s="106"/>
      <c r="G1108" s="107"/>
      <c r="H1108" s="108"/>
      <c r="I1108" s="108"/>
      <c r="J1108" s="109"/>
      <c r="K1108" s="107"/>
      <c r="L1108" s="107"/>
      <c r="M1108" s="110"/>
      <c r="N1108" s="110"/>
      <c r="O1108" s="108"/>
      <c r="P1108" s="108"/>
      <c r="Q1108" s="108"/>
      <c r="R1108" s="108"/>
      <c r="S1108" s="108"/>
      <c r="T1108" s="108"/>
      <c r="U1108" s="108"/>
      <c r="V1108" s="108"/>
      <c r="W1108" s="108"/>
      <c r="X1108" s="108"/>
      <c r="Y1108" s="70"/>
      <c r="Z1108" s="70"/>
      <c r="AA1108" s="70"/>
      <c r="AB1108" s="70"/>
      <c r="AC1108" s="70"/>
      <c r="AD1108" s="70"/>
      <c r="AE1108" s="70"/>
      <c r="AF1108" s="70"/>
      <c r="AG1108" s="70"/>
      <c r="AH1108" s="70"/>
      <c r="AI1108" s="70"/>
      <c r="AJ1108" s="70"/>
      <c r="AK1108" s="70"/>
      <c r="AL1108" s="70"/>
      <c r="AM1108" s="70"/>
      <c r="AN1108" s="70"/>
      <c r="AO1108" s="70"/>
      <c r="AP1108" s="70"/>
      <c r="AQ1108" s="77"/>
      <c r="AR1108" s="77"/>
      <c r="AS1108" s="77"/>
      <c r="AT1108" s="77"/>
      <c r="AU1108" s="77"/>
      <c r="AV1108" s="77"/>
      <c r="AW1108" s="77"/>
      <c r="AX1108" s="77"/>
      <c r="AY1108" s="77"/>
      <c r="AZ1108" s="77"/>
      <c r="BA1108" s="77"/>
      <c r="BB1108" s="77"/>
      <c r="BC1108" s="77"/>
      <c r="BD1108" s="77"/>
      <c r="BE1108" s="77"/>
      <c r="BF1108" s="77"/>
      <c r="BG1108" s="77"/>
      <c r="BH1108" s="77"/>
      <c r="BI1108" s="77"/>
      <c r="BJ1108" s="77"/>
      <c r="BK1108" s="77"/>
      <c r="BL1108" s="77"/>
      <c r="BM1108" s="77"/>
    </row>
    <row r="1109">
      <c r="A1109" s="100" t="s">
        <v>69</v>
      </c>
      <c r="B1109" s="100" t="b">
        <v>0</v>
      </c>
      <c r="C1109" s="100" t="b">
        <v>0</v>
      </c>
      <c r="D1109" s="42"/>
      <c r="E1109" s="43"/>
      <c r="F1109" s="101"/>
      <c r="G1109" s="102"/>
      <c r="H1109" s="103"/>
      <c r="I1109" s="103"/>
      <c r="J1109" s="104"/>
      <c r="K1109" s="102"/>
      <c r="L1109" s="102"/>
      <c r="M1109" s="105"/>
      <c r="N1109" s="105"/>
      <c r="O1109" s="103"/>
      <c r="P1109" s="103"/>
      <c r="Q1109" s="103"/>
      <c r="R1109" s="103"/>
      <c r="S1109" s="103"/>
      <c r="T1109" s="103"/>
      <c r="U1109" s="103"/>
      <c r="V1109" s="103"/>
      <c r="W1109" s="103"/>
      <c r="X1109" s="103"/>
      <c r="Y1109" s="70"/>
      <c r="Z1109" s="70"/>
      <c r="AA1109" s="70"/>
      <c r="AB1109" s="70"/>
      <c r="AC1109" s="70"/>
      <c r="AD1109" s="70"/>
      <c r="AE1109" s="70"/>
      <c r="AF1109" s="70"/>
      <c r="AG1109" s="70"/>
      <c r="AH1109" s="70"/>
      <c r="AI1109" s="70"/>
      <c r="AJ1109" s="70"/>
      <c r="AK1109" s="70"/>
      <c r="AL1109" s="70"/>
      <c r="AM1109" s="70"/>
      <c r="AN1109" s="70"/>
      <c r="AO1109" s="70"/>
      <c r="AP1109" s="70"/>
      <c r="AQ1109" s="77"/>
      <c r="AR1109" s="77"/>
      <c r="AS1109" s="77"/>
      <c r="AT1109" s="77"/>
      <c r="AU1109" s="77"/>
      <c r="AV1109" s="77"/>
      <c r="AW1109" s="77"/>
      <c r="AX1109" s="77"/>
      <c r="AY1109" s="77"/>
      <c r="AZ1109" s="77"/>
      <c r="BA1109" s="77"/>
      <c r="BB1109" s="77"/>
      <c r="BC1109" s="77"/>
      <c r="BD1109" s="77"/>
      <c r="BE1109" s="77"/>
      <c r="BF1109" s="77"/>
      <c r="BG1109" s="77"/>
      <c r="BH1109" s="77"/>
      <c r="BI1109" s="77"/>
      <c r="BJ1109" s="77"/>
      <c r="BK1109" s="77"/>
      <c r="BL1109" s="77"/>
      <c r="BM1109" s="77"/>
    </row>
    <row r="1110">
      <c r="A1110" s="99" t="s">
        <v>69</v>
      </c>
      <c r="B1110" s="99" t="b">
        <v>0</v>
      </c>
      <c r="C1110" s="99" t="b">
        <v>0</v>
      </c>
      <c r="D1110" s="80"/>
      <c r="E1110" s="81"/>
      <c r="F1110" s="106"/>
      <c r="G1110" s="107"/>
      <c r="H1110" s="108"/>
      <c r="I1110" s="108"/>
      <c r="J1110" s="109"/>
      <c r="K1110" s="107"/>
      <c r="L1110" s="107"/>
      <c r="M1110" s="110"/>
      <c r="N1110" s="110"/>
      <c r="O1110" s="108"/>
      <c r="P1110" s="108"/>
      <c r="Q1110" s="108"/>
      <c r="R1110" s="108"/>
      <c r="S1110" s="108"/>
      <c r="T1110" s="108"/>
      <c r="U1110" s="108"/>
      <c r="V1110" s="108"/>
      <c r="W1110" s="108"/>
      <c r="X1110" s="108"/>
      <c r="Y1110" s="70"/>
      <c r="Z1110" s="70"/>
      <c r="AA1110" s="70"/>
      <c r="AB1110" s="70"/>
      <c r="AC1110" s="70"/>
      <c r="AD1110" s="70"/>
      <c r="AE1110" s="70"/>
      <c r="AF1110" s="70"/>
      <c r="AG1110" s="70"/>
      <c r="AH1110" s="70"/>
      <c r="AI1110" s="70"/>
      <c r="AJ1110" s="70"/>
      <c r="AK1110" s="70"/>
      <c r="AL1110" s="70"/>
      <c r="AM1110" s="70"/>
      <c r="AN1110" s="70"/>
      <c r="AO1110" s="70"/>
      <c r="AP1110" s="70"/>
      <c r="AQ1110" s="77"/>
      <c r="AR1110" s="77"/>
      <c r="AS1110" s="77"/>
      <c r="AT1110" s="77"/>
      <c r="AU1110" s="77"/>
      <c r="AV1110" s="77"/>
      <c r="AW1110" s="77"/>
      <c r="AX1110" s="77"/>
      <c r="AY1110" s="77"/>
      <c r="AZ1110" s="77"/>
      <c r="BA1110" s="77"/>
      <c r="BB1110" s="77"/>
      <c r="BC1110" s="77"/>
      <c r="BD1110" s="77"/>
      <c r="BE1110" s="77"/>
      <c r="BF1110" s="77"/>
      <c r="BG1110" s="77"/>
      <c r="BH1110" s="77"/>
      <c r="BI1110" s="77"/>
      <c r="BJ1110" s="77"/>
      <c r="BK1110" s="77"/>
      <c r="BL1110" s="77"/>
      <c r="BM1110" s="77"/>
    </row>
    <row r="1111">
      <c r="A1111" s="100" t="s">
        <v>69</v>
      </c>
      <c r="B1111" s="100" t="b">
        <v>0</v>
      </c>
      <c r="C1111" s="100" t="b">
        <v>0</v>
      </c>
      <c r="D1111" s="42"/>
      <c r="E1111" s="43"/>
      <c r="F1111" s="101"/>
      <c r="G1111" s="102"/>
      <c r="H1111" s="103"/>
      <c r="I1111" s="103"/>
      <c r="J1111" s="104"/>
      <c r="K1111" s="102"/>
      <c r="L1111" s="102"/>
      <c r="M1111" s="105"/>
      <c r="N1111" s="105"/>
      <c r="O1111" s="103"/>
      <c r="P1111" s="103"/>
      <c r="Q1111" s="103"/>
      <c r="R1111" s="103"/>
      <c r="S1111" s="103"/>
      <c r="T1111" s="103"/>
      <c r="U1111" s="103"/>
      <c r="V1111" s="103"/>
      <c r="W1111" s="103"/>
      <c r="X1111" s="103"/>
      <c r="Y1111" s="70"/>
      <c r="Z1111" s="70"/>
      <c r="AA1111" s="70"/>
      <c r="AB1111" s="70"/>
      <c r="AC1111" s="70"/>
      <c r="AD1111" s="70"/>
      <c r="AE1111" s="70"/>
      <c r="AF1111" s="70"/>
      <c r="AG1111" s="70"/>
      <c r="AH1111" s="70"/>
      <c r="AI1111" s="70"/>
      <c r="AJ1111" s="70"/>
      <c r="AK1111" s="70"/>
      <c r="AL1111" s="70"/>
      <c r="AM1111" s="70"/>
      <c r="AN1111" s="70"/>
      <c r="AO1111" s="70"/>
      <c r="AP1111" s="70"/>
      <c r="AQ1111" s="77"/>
      <c r="AR1111" s="77"/>
      <c r="AS1111" s="77"/>
      <c r="AT1111" s="77"/>
      <c r="AU1111" s="77"/>
      <c r="AV1111" s="77"/>
      <c r="AW1111" s="77"/>
      <c r="AX1111" s="77"/>
      <c r="AY1111" s="77"/>
      <c r="AZ1111" s="77"/>
      <c r="BA1111" s="77"/>
      <c r="BB1111" s="77"/>
      <c r="BC1111" s="77"/>
      <c r="BD1111" s="77"/>
      <c r="BE1111" s="77"/>
      <c r="BF1111" s="77"/>
      <c r="BG1111" s="77"/>
      <c r="BH1111" s="77"/>
      <c r="BI1111" s="77"/>
      <c r="BJ1111" s="77"/>
      <c r="BK1111" s="77"/>
      <c r="BL1111" s="77"/>
      <c r="BM1111" s="77"/>
    </row>
    <row r="1112">
      <c r="A1112" s="99" t="s">
        <v>69</v>
      </c>
      <c r="B1112" s="99" t="b">
        <v>0</v>
      </c>
      <c r="C1112" s="99" t="b">
        <v>0</v>
      </c>
      <c r="D1112" s="80"/>
      <c r="E1112" s="81"/>
      <c r="F1112" s="106"/>
      <c r="G1112" s="107"/>
      <c r="H1112" s="108"/>
      <c r="I1112" s="108"/>
      <c r="J1112" s="109"/>
      <c r="K1112" s="107"/>
      <c r="L1112" s="107"/>
      <c r="M1112" s="110"/>
      <c r="N1112" s="110"/>
      <c r="O1112" s="108"/>
      <c r="P1112" s="108"/>
      <c r="Q1112" s="108"/>
      <c r="R1112" s="108"/>
      <c r="S1112" s="108"/>
      <c r="T1112" s="108"/>
      <c r="U1112" s="108"/>
      <c r="V1112" s="108"/>
      <c r="W1112" s="108"/>
      <c r="X1112" s="108"/>
      <c r="Y1112" s="70"/>
      <c r="Z1112" s="70"/>
      <c r="AA1112" s="70"/>
      <c r="AB1112" s="70"/>
      <c r="AC1112" s="70"/>
      <c r="AD1112" s="70"/>
      <c r="AE1112" s="70"/>
      <c r="AF1112" s="70"/>
      <c r="AG1112" s="70"/>
      <c r="AH1112" s="70"/>
      <c r="AI1112" s="70"/>
      <c r="AJ1112" s="70"/>
      <c r="AK1112" s="70"/>
      <c r="AL1112" s="70"/>
      <c r="AM1112" s="70"/>
      <c r="AN1112" s="70"/>
      <c r="AO1112" s="70"/>
      <c r="AP1112" s="70"/>
      <c r="AQ1112" s="77"/>
      <c r="AR1112" s="77"/>
      <c r="AS1112" s="77"/>
      <c r="AT1112" s="77"/>
      <c r="AU1112" s="77"/>
      <c r="AV1112" s="77"/>
      <c r="AW1112" s="77"/>
      <c r="AX1112" s="77"/>
      <c r="AY1112" s="77"/>
      <c r="AZ1112" s="77"/>
      <c r="BA1112" s="77"/>
      <c r="BB1112" s="77"/>
      <c r="BC1112" s="77"/>
      <c r="BD1112" s="77"/>
      <c r="BE1112" s="77"/>
      <c r="BF1112" s="77"/>
      <c r="BG1112" s="77"/>
      <c r="BH1112" s="77"/>
      <c r="BI1112" s="77"/>
      <c r="BJ1112" s="77"/>
      <c r="BK1112" s="77"/>
      <c r="BL1112" s="77"/>
      <c r="BM1112" s="77"/>
    </row>
    <row r="1113">
      <c r="A1113" s="100" t="s">
        <v>69</v>
      </c>
      <c r="B1113" s="100" t="b">
        <v>0</v>
      </c>
      <c r="C1113" s="100" t="b">
        <v>0</v>
      </c>
      <c r="D1113" s="42"/>
      <c r="E1113" s="43"/>
      <c r="F1113" s="101"/>
      <c r="G1113" s="102"/>
      <c r="H1113" s="103"/>
      <c r="I1113" s="103"/>
      <c r="J1113" s="104"/>
      <c r="K1113" s="102"/>
      <c r="L1113" s="102"/>
      <c r="M1113" s="105"/>
      <c r="N1113" s="105"/>
      <c r="O1113" s="103"/>
      <c r="P1113" s="103"/>
      <c r="Q1113" s="103"/>
      <c r="R1113" s="103"/>
      <c r="S1113" s="103"/>
      <c r="T1113" s="103"/>
      <c r="U1113" s="103"/>
      <c r="V1113" s="103"/>
      <c r="W1113" s="103"/>
      <c r="X1113" s="103"/>
      <c r="Y1113" s="70"/>
      <c r="Z1113" s="70"/>
      <c r="AA1113" s="70"/>
      <c r="AB1113" s="70"/>
      <c r="AC1113" s="70"/>
      <c r="AD1113" s="70"/>
      <c r="AE1113" s="70"/>
      <c r="AF1113" s="70"/>
      <c r="AG1113" s="70"/>
      <c r="AH1113" s="70"/>
      <c r="AI1113" s="70"/>
      <c r="AJ1113" s="70"/>
      <c r="AK1113" s="70"/>
      <c r="AL1113" s="70"/>
      <c r="AM1113" s="70"/>
      <c r="AN1113" s="70"/>
      <c r="AO1113" s="70"/>
      <c r="AP1113" s="70"/>
      <c r="AQ1113" s="77"/>
      <c r="AR1113" s="77"/>
      <c r="AS1113" s="77"/>
      <c r="AT1113" s="77"/>
      <c r="AU1113" s="77"/>
      <c r="AV1113" s="77"/>
      <c r="AW1113" s="77"/>
      <c r="AX1113" s="77"/>
      <c r="AY1113" s="77"/>
      <c r="AZ1113" s="77"/>
      <c r="BA1113" s="77"/>
      <c r="BB1113" s="77"/>
      <c r="BC1113" s="77"/>
      <c r="BD1113" s="77"/>
      <c r="BE1113" s="77"/>
      <c r="BF1113" s="77"/>
      <c r="BG1113" s="77"/>
      <c r="BH1113" s="77"/>
      <c r="BI1113" s="77"/>
      <c r="BJ1113" s="77"/>
      <c r="BK1113" s="77"/>
      <c r="BL1113" s="77"/>
      <c r="BM1113" s="77"/>
    </row>
    <row r="1114">
      <c r="A1114" s="99" t="s">
        <v>69</v>
      </c>
      <c r="B1114" s="99" t="b">
        <v>0</v>
      </c>
      <c r="C1114" s="99" t="b">
        <v>0</v>
      </c>
      <c r="D1114" s="80"/>
      <c r="E1114" s="81"/>
      <c r="F1114" s="106"/>
      <c r="G1114" s="107"/>
      <c r="H1114" s="108"/>
      <c r="I1114" s="108"/>
      <c r="J1114" s="109"/>
      <c r="K1114" s="107"/>
      <c r="L1114" s="107"/>
      <c r="M1114" s="110"/>
      <c r="N1114" s="110"/>
      <c r="O1114" s="108"/>
      <c r="P1114" s="108"/>
      <c r="Q1114" s="108"/>
      <c r="R1114" s="108"/>
      <c r="S1114" s="108"/>
      <c r="T1114" s="108"/>
      <c r="U1114" s="108"/>
      <c r="V1114" s="108"/>
      <c r="W1114" s="108"/>
      <c r="X1114" s="108"/>
      <c r="Y1114" s="70"/>
      <c r="Z1114" s="70"/>
      <c r="AA1114" s="70"/>
      <c r="AB1114" s="70"/>
      <c r="AC1114" s="70"/>
      <c r="AD1114" s="70"/>
      <c r="AE1114" s="70"/>
      <c r="AF1114" s="70"/>
      <c r="AG1114" s="70"/>
      <c r="AH1114" s="70"/>
      <c r="AI1114" s="70"/>
      <c r="AJ1114" s="70"/>
      <c r="AK1114" s="70"/>
      <c r="AL1114" s="70"/>
      <c r="AM1114" s="70"/>
      <c r="AN1114" s="70"/>
      <c r="AO1114" s="70"/>
      <c r="AP1114" s="70"/>
      <c r="AQ1114" s="77"/>
      <c r="AR1114" s="77"/>
      <c r="AS1114" s="77"/>
      <c r="AT1114" s="77"/>
      <c r="AU1114" s="77"/>
      <c r="AV1114" s="77"/>
      <c r="AW1114" s="77"/>
      <c r="AX1114" s="77"/>
      <c r="AY1114" s="77"/>
      <c r="AZ1114" s="77"/>
      <c r="BA1114" s="77"/>
      <c r="BB1114" s="77"/>
      <c r="BC1114" s="77"/>
      <c r="BD1114" s="77"/>
      <c r="BE1114" s="77"/>
      <c r="BF1114" s="77"/>
      <c r="BG1114" s="77"/>
      <c r="BH1114" s="77"/>
      <c r="BI1114" s="77"/>
      <c r="BJ1114" s="77"/>
      <c r="BK1114" s="77"/>
      <c r="BL1114" s="77"/>
      <c r="BM1114" s="77"/>
    </row>
    <row r="1115">
      <c r="A1115" s="100" t="s">
        <v>69</v>
      </c>
      <c r="B1115" s="100" t="b">
        <v>0</v>
      </c>
      <c r="C1115" s="100" t="b">
        <v>0</v>
      </c>
      <c r="D1115" s="42"/>
      <c r="E1115" s="43"/>
      <c r="F1115" s="101"/>
      <c r="G1115" s="102"/>
      <c r="H1115" s="103"/>
      <c r="I1115" s="103"/>
      <c r="J1115" s="104"/>
      <c r="K1115" s="102"/>
      <c r="L1115" s="102"/>
      <c r="M1115" s="105"/>
      <c r="N1115" s="105"/>
      <c r="O1115" s="103"/>
      <c r="P1115" s="103"/>
      <c r="Q1115" s="103"/>
      <c r="R1115" s="103"/>
      <c r="S1115" s="103"/>
      <c r="T1115" s="103"/>
      <c r="U1115" s="103"/>
      <c r="V1115" s="103"/>
      <c r="W1115" s="103"/>
      <c r="X1115" s="103"/>
      <c r="Y1115" s="70"/>
      <c r="Z1115" s="70"/>
      <c r="AA1115" s="70"/>
      <c r="AB1115" s="70"/>
      <c r="AC1115" s="70"/>
      <c r="AD1115" s="70"/>
      <c r="AE1115" s="70"/>
      <c r="AF1115" s="70"/>
      <c r="AG1115" s="70"/>
      <c r="AH1115" s="70"/>
      <c r="AI1115" s="70"/>
      <c r="AJ1115" s="70"/>
      <c r="AK1115" s="70"/>
      <c r="AL1115" s="70"/>
      <c r="AM1115" s="70"/>
      <c r="AN1115" s="70"/>
      <c r="AO1115" s="70"/>
      <c r="AP1115" s="70"/>
      <c r="AQ1115" s="77"/>
      <c r="AR1115" s="77"/>
      <c r="AS1115" s="77"/>
      <c r="AT1115" s="77"/>
      <c r="AU1115" s="77"/>
      <c r="AV1115" s="77"/>
      <c r="AW1115" s="77"/>
      <c r="AX1115" s="77"/>
      <c r="AY1115" s="77"/>
      <c r="AZ1115" s="77"/>
      <c r="BA1115" s="77"/>
      <c r="BB1115" s="77"/>
      <c r="BC1115" s="77"/>
      <c r="BD1115" s="77"/>
      <c r="BE1115" s="77"/>
      <c r="BF1115" s="77"/>
      <c r="BG1115" s="77"/>
      <c r="BH1115" s="77"/>
      <c r="BI1115" s="77"/>
      <c r="BJ1115" s="77"/>
      <c r="BK1115" s="77"/>
      <c r="BL1115" s="77"/>
      <c r="BM1115" s="77"/>
    </row>
    <row r="1116">
      <c r="A1116" s="99" t="s">
        <v>69</v>
      </c>
      <c r="B1116" s="99" t="b">
        <v>0</v>
      </c>
      <c r="C1116" s="99" t="b">
        <v>0</v>
      </c>
      <c r="D1116" s="80"/>
      <c r="E1116" s="81"/>
      <c r="F1116" s="106"/>
      <c r="G1116" s="107"/>
      <c r="H1116" s="108"/>
      <c r="I1116" s="108"/>
      <c r="J1116" s="109"/>
      <c r="K1116" s="107"/>
      <c r="L1116" s="107"/>
      <c r="M1116" s="110"/>
      <c r="N1116" s="110"/>
      <c r="O1116" s="108"/>
      <c r="P1116" s="108"/>
      <c r="Q1116" s="108"/>
      <c r="R1116" s="108"/>
      <c r="S1116" s="108"/>
      <c r="T1116" s="108"/>
      <c r="U1116" s="108"/>
      <c r="V1116" s="108"/>
      <c r="W1116" s="108"/>
      <c r="X1116" s="108"/>
      <c r="Y1116" s="70"/>
      <c r="Z1116" s="70"/>
      <c r="AA1116" s="70"/>
      <c r="AB1116" s="70"/>
      <c r="AC1116" s="70"/>
      <c r="AD1116" s="70"/>
      <c r="AE1116" s="70"/>
      <c r="AF1116" s="70"/>
      <c r="AG1116" s="70"/>
      <c r="AH1116" s="70"/>
      <c r="AI1116" s="70"/>
      <c r="AJ1116" s="70"/>
      <c r="AK1116" s="70"/>
      <c r="AL1116" s="70"/>
      <c r="AM1116" s="70"/>
      <c r="AN1116" s="70"/>
      <c r="AO1116" s="70"/>
      <c r="AP1116" s="70"/>
      <c r="AQ1116" s="77"/>
      <c r="AR1116" s="77"/>
      <c r="AS1116" s="77"/>
      <c r="AT1116" s="77"/>
      <c r="AU1116" s="77"/>
      <c r="AV1116" s="77"/>
      <c r="AW1116" s="77"/>
      <c r="AX1116" s="77"/>
      <c r="AY1116" s="77"/>
      <c r="AZ1116" s="77"/>
      <c r="BA1116" s="77"/>
      <c r="BB1116" s="77"/>
      <c r="BC1116" s="77"/>
      <c r="BD1116" s="77"/>
      <c r="BE1116" s="77"/>
      <c r="BF1116" s="77"/>
      <c r="BG1116" s="77"/>
      <c r="BH1116" s="77"/>
      <c r="BI1116" s="77"/>
      <c r="BJ1116" s="77"/>
      <c r="BK1116" s="77"/>
      <c r="BL1116" s="77"/>
      <c r="BM1116" s="77"/>
    </row>
    <row r="1117">
      <c r="A1117" s="100" t="s">
        <v>69</v>
      </c>
      <c r="B1117" s="100" t="b">
        <v>0</v>
      </c>
      <c r="C1117" s="100" t="b">
        <v>0</v>
      </c>
      <c r="D1117" s="42"/>
      <c r="E1117" s="43"/>
      <c r="F1117" s="101"/>
      <c r="G1117" s="102"/>
      <c r="H1117" s="103"/>
      <c r="I1117" s="103"/>
      <c r="J1117" s="104"/>
      <c r="K1117" s="102"/>
      <c r="L1117" s="102"/>
      <c r="M1117" s="105"/>
      <c r="N1117" s="105"/>
      <c r="O1117" s="103"/>
      <c r="P1117" s="103"/>
      <c r="Q1117" s="103"/>
      <c r="R1117" s="103"/>
      <c r="S1117" s="103"/>
      <c r="T1117" s="103"/>
      <c r="U1117" s="103"/>
      <c r="V1117" s="103"/>
      <c r="W1117" s="103"/>
      <c r="X1117" s="103"/>
      <c r="Y1117" s="70"/>
      <c r="Z1117" s="70"/>
      <c r="AA1117" s="70"/>
      <c r="AB1117" s="70"/>
      <c r="AC1117" s="70"/>
      <c r="AD1117" s="70"/>
      <c r="AE1117" s="70"/>
      <c r="AF1117" s="70"/>
      <c r="AG1117" s="70"/>
      <c r="AH1117" s="70"/>
      <c r="AI1117" s="70"/>
      <c r="AJ1117" s="70"/>
      <c r="AK1117" s="70"/>
      <c r="AL1117" s="70"/>
      <c r="AM1117" s="70"/>
      <c r="AN1117" s="70"/>
      <c r="AO1117" s="70"/>
      <c r="AP1117" s="70"/>
      <c r="AQ1117" s="77"/>
      <c r="AR1117" s="77"/>
      <c r="AS1117" s="77"/>
      <c r="AT1117" s="77"/>
      <c r="AU1117" s="77"/>
      <c r="AV1117" s="77"/>
      <c r="AW1117" s="77"/>
      <c r="AX1117" s="77"/>
      <c r="AY1117" s="77"/>
      <c r="AZ1117" s="77"/>
      <c r="BA1117" s="77"/>
      <c r="BB1117" s="77"/>
      <c r="BC1117" s="77"/>
      <c r="BD1117" s="77"/>
      <c r="BE1117" s="77"/>
      <c r="BF1117" s="77"/>
      <c r="BG1117" s="77"/>
      <c r="BH1117" s="77"/>
      <c r="BI1117" s="77"/>
      <c r="BJ1117" s="77"/>
      <c r="BK1117" s="77"/>
      <c r="BL1117" s="77"/>
      <c r="BM1117" s="77"/>
    </row>
    <row r="1118">
      <c r="A1118" s="99" t="s">
        <v>69</v>
      </c>
      <c r="B1118" s="99" t="b">
        <v>0</v>
      </c>
      <c r="C1118" s="99" t="b">
        <v>0</v>
      </c>
      <c r="D1118" s="80"/>
      <c r="E1118" s="81"/>
      <c r="F1118" s="106"/>
      <c r="G1118" s="107"/>
      <c r="H1118" s="108"/>
      <c r="I1118" s="108"/>
      <c r="J1118" s="109"/>
      <c r="K1118" s="107"/>
      <c r="L1118" s="107"/>
      <c r="M1118" s="110"/>
      <c r="N1118" s="110"/>
      <c r="O1118" s="108"/>
      <c r="P1118" s="108"/>
      <c r="Q1118" s="108"/>
      <c r="R1118" s="108"/>
      <c r="S1118" s="108"/>
      <c r="T1118" s="108"/>
      <c r="U1118" s="108"/>
      <c r="V1118" s="108"/>
      <c r="W1118" s="108"/>
      <c r="X1118" s="108"/>
      <c r="Y1118" s="70"/>
      <c r="Z1118" s="70"/>
      <c r="AA1118" s="70"/>
      <c r="AB1118" s="70"/>
      <c r="AC1118" s="70"/>
      <c r="AD1118" s="70"/>
      <c r="AE1118" s="70"/>
      <c r="AF1118" s="70"/>
      <c r="AG1118" s="70"/>
      <c r="AH1118" s="70"/>
      <c r="AI1118" s="70"/>
      <c r="AJ1118" s="70"/>
      <c r="AK1118" s="70"/>
      <c r="AL1118" s="70"/>
      <c r="AM1118" s="70"/>
      <c r="AN1118" s="70"/>
      <c r="AO1118" s="70"/>
      <c r="AP1118" s="70"/>
      <c r="AQ1118" s="77"/>
      <c r="AR1118" s="77"/>
      <c r="AS1118" s="77"/>
      <c r="AT1118" s="77"/>
      <c r="AU1118" s="77"/>
      <c r="AV1118" s="77"/>
      <c r="AW1118" s="77"/>
      <c r="AX1118" s="77"/>
      <c r="AY1118" s="77"/>
      <c r="AZ1118" s="77"/>
      <c r="BA1118" s="77"/>
      <c r="BB1118" s="77"/>
      <c r="BC1118" s="77"/>
      <c r="BD1118" s="77"/>
      <c r="BE1118" s="77"/>
      <c r="BF1118" s="77"/>
      <c r="BG1118" s="77"/>
      <c r="BH1118" s="77"/>
      <c r="BI1118" s="77"/>
      <c r="BJ1118" s="77"/>
      <c r="BK1118" s="77"/>
      <c r="BL1118" s="77"/>
      <c r="BM1118" s="77"/>
    </row>
    <row r="1119">
      <c r="A1119" s="100" t="s">
        <v>69</v>
      </c>
      <c r="B1119" s="100" t="b">
        <v>0</v>
      </c>
      <c r="C1119" s="100" t="b">
        <v>0</v>
      </c>
      <c r="D1119" s="42"/>
      <c r="E1119" s="43"/>
      <c r="F1119" s="101"/>
      <c r="G1119" s="102"/>
      <c r="H1119" s="103"/>
      <c r="I1119" s="103"/>
      <c r="J1119" s="104"/>
      <c r="K1119" s="102"/>
      <c r="L1119" s="102"/>
      <c r="M1119" s="105"/>
      <c r="N1119" s="105"/>
      <c r="O1119" s="103"/>
      <c r="P1119" s="103"/>
      <c r="Q1119" s="103"/>
      <c r="R1119" s="103"/>
      <c r="S1119" s="103"/>
      <c r="T1119" s="103"/>
      <c r="U1119" s="103"/>
      <c r="V1119" s="103"/>
      <c r="W1119" s="103"/>
      <c r="X1119" s="103"/>
      <c r="Y1119" s="70"/>
      <c r="Z1119" s="70"/>
      <c r="AA1119" s="70"/>
      <c r="AB1119" s="70"/>
      <c r="AC1119" s="70"/>
      <c r="AD1119" s="70"/>
      <c r="AE1119" s="70"/>
      <c r="AF1119" s="70"/>
      <c r="AG1119" s="70"/>
      <c r="AH1119" s="70"/>
      <c r="AI1119" s="70"/>
      <c r="AJ1119" s="70"/>
      <c r="AK1119" s="70"/>
      <c r="AL1119" s="70"/>
      <c r="AM1119" s="70"/>
      <c r="AN1119" s="70"/>
      <c r="AO1119" s="70"/>
      <c r="AP1119" s="70"/>
      <c r="AQ1119" s="77"/>
      <c r="AR1119" s="77"/>
      <c r="AS1119" s="77"/>
      <c r="AT1119" s="77"/>
      <c r="AU1119" s="77"/>
      <c r="AV1119" s="77"/>
      <c r="AW1119" s="77"/>
      <c r="AX1119" s="77"/>
      <c r="AY1119" s="77"/>
      <c r="AZ1119" s="77"/>
      <c r="BA1119" s="77"/>
      <c r="BB1119" s="77"/>
      <c r="BC1119" s="77"/>
      <c r="BD1119" s="77"/>
      <c r="BE1119" s="77"/>
      <c r="BF1119" s="77"/>
      <c r="BG1119" s="77"/>
      <c r="BH1119" s="77"/>
      <c r="BI1119" s="77"/>
      <c r="BJ1119" s="77"/>
      <c r="BK1119" s="77"/>
      <c r="BL1119" s="77"/>
      <c r="BM1119" s="77"/>
    </row>
    <row r="1120">
      <c r="A1120" s="99" t="s">
        <v>69</v>
      </c>
      <c r="B1120" s="99" t="b">
        <v>0</v>
      </c>
      <c r="C1120" s="99" t="b">
        <v>0</v>
      </c>
      <c r="D1120" s="80"/>
      <c r="E1120" s="81"/>
      <c r="F1120" s="106"/>
      <c r="G1120" s="107"/>
      <c r="H1120" s="108"/>
      <c r="I1120" s="108"/>
      <c r="J1120" s="109"/>
      <c r="K1120" s="107"/>
      <c r="L1120" s="107"/>
      <c r="M1120" s="110"/>
      <c r="N1120" s="110"/>
      <c r="O1120" s="108"/>
      <c r="P1120" s="108"/>
      <c r="Q1120" s="108"/>
      <c r="R1120" s="108"/>
      <c r="S1120" s="108"/>
      <c r="T1120" s="108"/>
      <c r="U1120" s="108"/>
      <c r="V1120" s="108"/>
      <c r="W1120" s="108"/>
      <c r="X1120" s="108"/>
      <c r="Y1120" s="70"/>
      <c r="Z1120" s="70"/>
      <c r="AA1120" s="70"/>
      <c r="AB1120" s="70"/>
      <c r="AC1120" s="70"/>
      <c r="AD1120" s="70"/>
      <c r="AE1120" s="70"/>
      <c r="AF1120" s="70"/>
      <c r="AG1120" s="70"/>
      <c r="AH1120" s="70"/>
      <c r="AI1120" s="70"/>
      <c r="AJ1120" s="70"/>
      <c r="AK1120" s="70"/>
      <c r="AL1120" s="70"/>
      <c r="AM1120" s="70"/>
      <c r="AN1120" s="70"/>
      <c r="AO1120" s="70"/>
      <c r="AP1120" s="70"/>
      <c r="AQ1120" s="77"/>
      <c r="AR1120" s="77"/>
      <c r="AS1120" s="77"/>
      <c r="AT1120" s="77"/>
      <c r="AU1120" s="77"/>
      <c r="AV1120" s="77"/>
      <c r="AW1120" s="77"/>
      <c r="AX1120" s="77"/>
      <c r="AY1120" s="77"/>
      <c r="AZ1120" s="77"/>
      <c r="BA1120" s="77"/>
      <c r="BB1120" s="77"/>
      <c r="BC1120" s="77"/>
      <c r="BD1120" s="77"/>
      <c r="BE1120" s="77"/>
      <c r="BF1120" s="77"/>
      <c r="BG1120" s="77"/>
      <c r="BH1120" s="77"/>
      <c r="BI1120" s="77"/>
      <c r="BJ1120" s="77"/>
      <c r="BK1120" s="77"/>
      <c r="BL1120" s="77"/>
      <c r="BM1120" s="77"/>
    </row>
    <row r="1121">
      <c r="A1121" s="100" t="s">
        <v>69</v>
      </c>
      <c r="B1121" s="100" t="b">
        <v>0</v>
      </c>
      <c r="C1121" s="100" t="b">
        <v>0</v>
      </c>
      <c r="D1121" s="42"/>
      <c r="E1121" s="43"/>
      <c r="F1121" s="101"/>
      <c r="G1121" s="102"/>
      <c r="H1121" s="103"/>
      <c r="I1121" s="103"/>
      <c r="J1121" s="104"/>
      <c r="K1121" s="102"/>
      <c r="L1121" s="102"/>
      <c r="M1121" s="105"/>
      <c r="N1121" s="105"/>
      <c r="O1121" s="103"/>
      <c r="P1121" s="103"/>
      <c r="Q1121" s="103"/>
      <c r="R1121" s="103"/>
      <c r="S1121" s="103"/>
      <c r="T1121" s="103"/>
      <c r="U1121" s="103"/>
      <c r="V1121" s="103"/>
      <c r="W1121" s="103"/>
      <c r="X1121" s="103"/>
      <c r="Y1121" s="70"/>
      <c r="Z1121" s="70"/>
      <c r="AA1121" s="70"/>
      <c r="AB1121" s="70"/>
      <c r="AC1121" s="70"/>
      <c r="AD1121" s="70"/>
      <c r="AE1121" s="70"/>
      <c r="AF1121" s="70"/>
      <c r="AG1121" s="70"/>
      <c r="AH1121" s="70"/>
      <c r="AI1121" s="70"/>
      <c r="AJ1121" s="70"/>
      <c r="AK1121" s="70"/>
      <c r="AL1121" s="70"/>
      <c r="AM1121" s="70"/>
      <c r="AN1121" s="70"/>
      <c r="AO1121" s="70"/>
      <c r="AP1121" s="70"/>
      <c r="AQ1121" s="77"/>
      <c r="AR1121" s="77"/>
      <c r="AS1121" s="77"/>
      <c r="AT1121" s="77"/>
      <c r="AU1121" s="77"/>
      <c r="AV1121" s="77"/>
      <c r="AW1121" s="77"/>
      <c r="AX1121" s="77"/>
      <c r="AY1121" s="77"/>
      <c r="AZ1121" s="77"/>
      <c r="BA1121" s="77"/>
      <c r="BB1121" s="77"/>
      <c r="BC1121" s="77"/>
      <c r="BD1121" s="77"/>
      <c r="BE1121" s="77"/>
      <c r="BF1121" s="77"/>
      <c r="BG1121" s="77"/>
      <c r="BH1121" s="77"/>
      <c r="BI1121" s="77"/>
      <c r="BJ1121" s="77"/>
      <c r="BK1121" s="77"/>
      <c r="BL1121" s="77"/>
      <c r="BM1121" s="77"/>
    </row>
    <row r="1122">
      <c r="A1122" s="99" t="s">
        <v>69</v>
      </c>
      <c r="B1122" s="99" t="b">
        <v>0</v>
      </c>
      <c r="C1122" s="99" t="b">
        <v>0</v>
      </c>
      <c r="D1122" s="80"/>
      <c r="E1122" s="81"/>
      <c r="F1122" s="106"/>
      <c r="G1122" s="107"/>
      <c r="H1122" s="108"/>
      <c r="I1122" s="108"/>
      <c r="J1122" s="109"/>
      <c r="K1122" s="107"/>
      <c r="L1122" s="107"/>
      <c r="M1122" s="110"/>
      <c r="N1122" s="110"/>
      <c r="O1122" s="108"/>
      <c r="P1122" s="108"/>
      <c r="Q1122" s="108"/>
      <c r="R1122" s="108"/>
      <c r="S1122" s="108"/>
      <c r="T1122" s="108"/>
      <c r="U1122" s="108"/>
      <c r="V1122" s="108"/>
      <c r="W1122" s="108"/>
      <c r="X1122" s="108"/>
      <c r="Y1122" s="70"/>
      <c r="Z1122" s="70"/>
      <c r="AA1122" s="70"/>
      <c r="AB1122" s="70"/>
      <c r="AC1122" s="70"/>
      <c r="AD1122" s="70"/>
      <c r="AE1122" s="70"/>
      <c r="AF1122" s="70"/>
      <c r="AG1122" s="70"/>
      <c r="AH1122" s="70"/>
      <c r="AI1122" s="70"/>
      <c r="AJ1122" s="70"/>
      <c r="AK1122" s="70"/>
      <c r="AL1122" s="70"/>
      <c r="AM1122" s="70"/>
      <c r="AN1122" s="70"/>
      <c r="AO1122" s="70"/>
      <c r="AP1122" s="70"/>
      <c r="AQ1122" s="77"/>
      <c r="AR1122" s="77"/>
      <c r="AS1122" s="77"/>
      <c r="AT1122" s="77"/>
      <c r="AU1122" s="77"/>
      <c r="AV1122" s="77"/>
      <c r="AW1122" s="77"/>
      <c r="AX1122" s="77"/>
      <c r="AY1122" s="77"/>
      <c r="AZ1122" s="77"/>
      <c r="BA1122" s="77"/>
      <c r="BB1122" s="77"/>
      <c r="BC1122" s="77"/>
      <c r="BD1122" s="77"/>
      <c r="BE1122" s="77"/>
      <c r="BF1122" s="77"/>
      <c r="BG1122" s="77"/>
      <c r="BH1122" s="77"/>
      <c r="BI1122" s="77"/>
      <c r="BJ1122" s="77"/>
      <c r="BK1122" s="77"/>
      <c r="BL1122" s="77"/>
      <c r="BM1122" s="77"/>
    </row>
    <row r="1123">
      <c r="A1123" s="100" t="s">
        <v>69</v>
      </c>
      <c r="B1123" s="100" t="b">
        <v>0</v>
      </c>
      <c r="C1123" s="100" t="b">
        <v>0</v>
      </c>
      <c r="D1123" s="42"/>
      <c r="E1123" s="43"/>
      <c r="F1123" s="101"/>
      <c r="G1123" s="102"/>
      <c r="H1123" s="103"/>
      <c r="I1123" s="103"/>
      <c r="J1123" s="104"/>
      <c r="K1123" s="102"/>
      <c r="L1123" s="102"/>
      <c r="M1123" s="105"/>
      <c r="N1123" s="105"/>
      <c r="O1123" s="103"/>
      <c r="P1123" s="103"/>
      <c r="Q1123" s="103"/>
      <c r="R1123" s="103"/>
      <c r="S1123" s="103"/>
      <c r="T1123" s="103"/>
      <c r="U1123" s="103"/>
      <c r="V1123" s="103"/>
      <c r="W1123" s="103"/>
      <c r="X1123" s="103"/>
      <c r="Y1123" s="70"/>
      <c r="Z1123" s="70"/>
      <c r="AA1123" s="70"/>
      <c r="AB1123" s="70"/>
      <c r="AC1123" s="70"/>
      <c r="AD1123" s="70"/>
      <c r="AE1123" s="70"/>
      <c r="AF1123" s="70"/>
      <c r="AG1123" s="70"/>
      <c r="AH1123" s="70"/>
      <c r="AI1123" s="70"/>
      <c r="AJ1123" s="70"/>
      <c r="AK1123" s="70"/>
      <c r="AL1123" s="70"/>
      <c r="AM1123" s="70"/>
      <c r="AN1123" s="70"/>
      <c r="AO1123" s="70"/>
      <c r="AP1123" s="70"/>
      <c r="AQ1123" s="77"/>
      <c r="AR1123" s="77"/>
      <c r="AS1123" s="77"/>
      <c r="AT1123" s="77"/>
      <c r="AU1123" s="77"/>
      <c r="AV1123" s="77"/>
      <c r="AW1123" s="77"/>
      <c r="AX1123" s="77"/>
      <c r="AY1123" s="77"/>
      <c r="AZ1123" s="77"/>
      <c r="BA1123" s="77"/>
      <c r="BB1123" s="77"/>
      <c r="BC1123" s="77"/>
      <c r="BD1123" s="77"/>
      <c r="BE1123" s="77"/>
      <c r="BF1123" s="77"/>
      <c r="BG1123" s="77"/>
      <c r="BH1123" s="77"/>
      <c r="BI1123" s="77"/>
      <c r="BJ1123" s="77"/>
      <c r="BK1123" s="77"/>
      <c r="BL1123" s="77"/>
      <c r="BM1123" s="77"/>
    </row>
    <row r="1124">
      <c r="A1124" s="99" t="s">
        <v>69</v>
      </c>
      <c r="B1124" s="99" t="b">
        <v>0</v>
      </c>
      <c r="C1124" s="99" t="b">
        <v>0</v>
      </c>
      <c r="D1124" s="80"/>
      <c r="E1124" s="81"/>
      <c r="F1124" s="106"/>
      <c r="G1124" s="107"/>
      <c r="H1124" s="108"/>
      <c r="I1124" s="108"/>
      <c r="J1124" s="109"/>
      <c r="K1124" s="107"/>
      <c r="L1124" s="107"/>
      <c r="M1124" s="110"/>
      <c r="N1124" s="110"/>
      <c r="O1124" s="108"/>
      <c r="P1124" s="108"/>
      <c r="Q1124" s="108"/>
      <c r="R1124" s="108"/>
      <c r="S1124" s="108"/>
      <c r="T1124" s="108"/>
      <c r="U1124" s="108"/>
      <c r="V1124" s="108"/>
      <c r="W1124" s="108"/>
      <c r="X1124" s="108"/>
      <c r="Y1124" s="70"/>
      <c r="Z1124" s="70"/>
      <c r="AA1124" s="70"/>
      <c r="AB1124" s="70"/>
      <c r="AC1124" s="70"/>
      <c r="AD1124" s="70"/>
      <c r="AE1124" s="70"/>
      <c r="AF1124" s="70"/>
      <c r="AG1124" s="70"/>
      <c r="AH1124" s="70"/>
      <c r="AI1124" s="70"/>
      <c r="AJ1124" s="70"/>
      <c r="AK1124" s="70"/>
      <c r="AL1124" s="70"/>
      <c r="AM1124" s="70"/>
      <c r="AN1124" s="70"/>
      <c r="AO1124" s="70"/>
      <c r="AP1124" s="70"/>
      <c r="AQ1124" s="77"/>
      <c r="AR1124" s="77"/>
      <c r="AS1124" s="77"/>
      <c r="AT1124" s="77"/>
      <c r="AU1124" s="77"/>
      <c r="AV1124" s="77"/>
      <c r="AW1124" s="77"/>
      <c r="AX1124" s="77"/>
      <c r="AY1124" s="77"/>
      <c r="AZ1124" s="77"/>
      <c r="BA1124" s="77"/>
      <c r="BB1124" s="77"/>
      <c r="BC1124" s="77"/>
      <c r="BD1124" s="77"/>
      <c r="BE1124" s="77"/>
      <c r="BF1124" s="77"/>
      <c r="BG1124" s="77"/>
      <c r="BH1124" s="77"/>
      <c r="BI1124" s="77"/>
      <c r="BJ1124" s="77"/>
      <c r="BK1124" s="77"/>
      <c r="BL1124" s="77"/>
      <c r="BM1124" s="77"/>
    </row>
    <row r="1125">
      <c r="A1125" s="100" t="s">
        <v>69</v>
      </c>
      <c r="B1125" s="100" t="b">
        <v>0</v>
      </c>
      <c r="C1125" s="100" t="b">
        <v>0</v>
      </c>
      <c r="D1125" s="42"/>
      <c r="E1125" s="43"/>
      <c r="F1125" s="101"/>
      <c r="G1125" s="102"/>
      <c r="H1125" s="103"/>
      <c r="I1125" s="103"/>
      <c r="J1125" s="104"/>
      <c r="K1125" s="102"/>
      <c r="L1125" s="102"/>
      <c r="M1125" s="105"/>
      <c r="N1125" s="105"/>
      <c r="O1125" s="103"/>
      <c r="P1125" s="103"/>
      <c r="Q1125" s="103"/>
      <c r="R1125" s="103"/>
      <c r="S1125" s="103"/>
      <c r="T1125" s="103"/>
      <c r="U1125" s="103"/>
      <c r="V1125" s="103"/>
      <c r="W1125" s="103"/>
      <c r="X1125" s="103"/>
      <c r="Y1125" s="70"/>
      <c r="Z1125" s="70"/>
      <c r="AA1125" s="70"/>
      <c r="AB1125" s="70"/>
      <c r="AC1125" s="70"/>
      <c r="AD1125" s="70"/>
      <c r="AE1125" s="70"/>
      <c r="AF1125" s="70"/>
      <c r="AG1125" s="70"/>
      <c r="AH1125" s="70"/>
      <c r="AI1125" s="70"/>
      <c r="AJ1125" s="70"/>
      <c r="AK1125" s="70"/>
      <c r="AL1125" s="70"/>
      <c r="AM1125" s="70"/>
      <c r="AN1125" s="70"/>
      <c r="AO1125" s="70"/>
      <c r="AP1125" s="70"/>
      <c r="AQ1125" s="77"/>
      <c r="AR1125" s="77"/>
      <c r="AS1125" s="77"/>
      <c r="AT1125" s="77"/>
      <c r="AU1125" s="77"/>
      <c r="AV1125" s="77"/>
      <c r="AW1125" s="77"/>
      <c r="AX1125" s="77"/>
      <c r="AY1125" s="77"/>
      <c r="AZ1125" s="77"/>
      <c r="BA1125" s="77"/>
      <c r="BB1125" s="77"/>
      <c r="BC1125" s="77"/>
      <c r="BD1125" s="77"/>
      <c r="BE1125" s="77"/>
      <c r="BF1125" s="77"/>
      <c r="BG1125" s="77"/>
      <c r="BH1125" s="77"/>
      <c r="BI1125" s="77"/>
      <c r="BJ1125" s="77"/>
      <c r="BK1125" s="77"/>
      <c r="BL1125" s="77"/>
      <c r="BM1125" s="77"/>
    </row>
    <row r="1126">
      <c r="A1126" s="99" t="s">
        <v>69</v>
      </c>
      <c r="B1126" s="99" t="b">
        <v>0</v>
      </c>
      <c r="C1126" s="99" t="b">
        <v>0</v>
      </c>
      <c r="D1126" s="80"/>
      <c r="E1126" s="81"/>
      <c r="F1126" s="106"/>
      <c r="G1126" s="107"/>
      <c r="H1126" s="108"/>
      <c r="I1126" s="108"/>
      <c r="J1126" s="109"/>
      <c r="K1126" s="107"/>
      <c r="L1126" s="107"/>
      <c r="M1126" s="110"/>
      <c r="N1126" s="110"/>
      <c r="O1126" s="108"/>
      <c r="P1126" s="108"/>
      <c r="Q1126" s="108"/>
      <c r="R1126" s="108"/>
      <c r="S1126" s="108"/>
      <c r="T1126" s="108"/>
      <c r="U1126" s="108"/>
      <c r="V1126" s="108"/>
      <c r="W1126" s="108"/>
      <c r="X1126" s="108"/>
      <c r="Y1126" s="70"/>
      <c r="Z1126" s="70"/>
      <c r="AA1126" s="70"/>
      <c r="AB1126" s="70"/>
      <c r="AC1126" s="70"/>
      <c r="AD1126" s="70"/>
      <c r="AE1126" s="70"/>
      <c r="AF1126" s="70"/>
      <c r="AG1126" s="70"/>
      <c r="AH1126" s="70"/>
      <c r="AI1126" s="70"/>
      <c r="AJ1126" s="70"/>
      <c r="AK1126" s="70"/>
      <c r="AL1126" s="70"/>
      <c r="AM1126" s="70"/>
      <c r="AN1126" s="70"/>
      <c r="AO1126" s="70"/>
      <c r="AP1126" s="70"/>
      <c r="AQ1126" s="77"/>
      <c r="AR1126" s="77"/>
      <c r="AS1126" s="77"/>
      <c r="AT1126" s="77"/>
      <c r="AU1126" s="77"/>
      <c r="AV1126" s="77"/>
      <c r="AW1126" s="77"/>
      <c r="AX1126" s="77"/>
      <c r="AY1126" s="77"/>
      <c r="AZ1126" s="77"/>
      <c r="BA1126" s="77"/>
      <c r="BB1126" s="77"/>
      <c r="BC1126" s="77"/>
      <c r="BD1126" s="77"/>
      <c r="BE1126" s="77"/>
      <c r="BF1126" s="77"/>
      <c r="BG1126" s="77"/>
      <c r="BH1126" s="77"/>
      <c r="BI1126" s="77"/>
      <c r="BJ1126" s="77"/>
      <c r="BK1126" s="77"/>
      <c r="BL1126" s="77"/>
      <c r="BM1126" s="77"/>
    </row>
    <row r="1127">
      <c r="A1127" s="100" t="s">
        <v>69</v>
      </c>
      <c r="B1127" s="100" t="b">
        <v>0</v>
      </c>
      <c r="C1127" s="100" t="b">
        <v>0</v>
      </c>
      <c r="D1127" s="42"/>
      <c r="E1127" s="43"/>
      <c r="F1127" s="101"/>
      <c r="G1127" s="102"/>
      <c r="H1127" s="103"/>
      <c r="I1127" s="103"/>
      <c r="J1127" s="104"/>
      <c r="K1127" s="102"/>
      <c r="L1127" s="102"/>
      <c r="M1127" s="105"/>
      <c r="N1127" s="105"/>
      <c r="O1127" s="103"/>
      <c r="P1127" s="103"/>
      <c r="Q1127" s="103"/>
      <c r="R1127" s="103"/>
      <c r="S1127" s="103"/>
      <c r="T1127" s="103"/>
      <c r="U1127" s="103"/>
      <c r="V1127" s="103"/>
      <c r="W1127" s="103"/>
      <c r="X1127" s="103"/>
      <c r="Y1127" s="70"/>
      <c r="Z1127" s="70"/>
      <c r="AA1127" s="70"/>
      <c r="AB1127" s="70"/>
      <c r="AC1127" s="70"/>
      <c r="AD1127" s="70"/>
      <c r="AE1127" s="70"/>
      <c r="AF1127" s="70"/>
      <c r="AG1127" s="70"/>
      <c r="AH1127" s="70"/>
      <c r="AI1127" s="70"/>
      <c r="AJ1127" s="70"/>
      <c r="AK1127" s="70"/>
      <c r="AL1127" s="70"/>
      <c r="AM1127" s="70"/>
      <c r="AN1127" s="70"/>
      <c r="AO1127" s="70"/>
      <c r="AP1127" s="70"/>
      <c r="AQ1127" s="77"/>
      <c r="AR1127" s="77"/>
      <c r="AS1127" s="77"/>
      <c r="AT1127" s="77"/>
      <c r="AU1127" s="77"/>
      <c r="AV1127" s="77"/>
      <c r="AW1127" s="77"/>
      <c r="AX1127" s="77"/>
      <c r="AY1127" s="77"/>
      <c r="AZ1127" s="77"/>
      <c r="BA1127" s="77"/>
      <c r="BB1127" s="77"/>
      <c r="BC1127" s="77"/>
      <c r="BD1127" s="77"/>
      <c r="BE1127" s="77"/>
      <c r="BF1127" s="77"/>
      <c r="BG1127" s="77"/>
      <c r="BH1127" s="77"/>
      <c r="BI1127" s="77"/>
      <c r="BJ1127" s="77"/>
      <c r="BK1127" s="77"/>
      <c r="BL1127" s="77"/>
      <c r="BM1127" s="77"/>
    </row>
    <row r="1128">
      <c r="A1128" s="99" t="s">
        <v>69</v>
      </c>
      <c r="B1128" s="99" t="b">
        <v>0</v>
      </c>
      <c r="C1128" s="99" t="b">
        <v>0</v>
      </c>
      <c r="D1128" s="80"/>
      <c r="E1128" s="81"/>
      <c r="F1128" s="106"/>
      <c r="G1128" s="107"/>
      <c r="H1128" s="108"/>
      <c r="I1128" s="108"/>
      <c r="J1128" s="109"/>
      <c r="K1128" s="107"/>
      <c r="L1128" s="107"/>
      <c r="M1128" s="110"/>
      <c r="N1128" s="110"/>
      <c r="O1128" s="108"/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70"/>
      <c r="Z1128" s="70"/>
      <c r="AA1128" s="70"/>
      <c r="AB1128" s="70"/>
      <c r="AC1128" s="70"/>
      <c r="AD1128" s="70"/>
      <c r="AE1128" s="70"/>
      <c r="AF1128" s="70"/>
      <c r="AG1128" s="70"/>
      <c r="AH1128" s="70"/>
      <c r="AI1128" s="70"/>
      <c r="AJ1128" s="70"/>
      <c r="AK1128" s="70"/>
      <c r="AL1128" s="70"/>
      <c r="AM1128" s="70"/>
      <c r="AN1128" s="70"/>
      <c r="AO1128" s="70"/>
      <c r="AP1128" s="70"/>
      <c r="AQ1128" s="77"/>
      <c r="AR1128" s="77"/>
      <c r="AS1128" s="77"/>
      <c r="AT1128" s="77"/>
      <c r="AU1128" s="77"/>
      <c r="AV1128" s="77"/>
      <c r="AW1128" s="77"/>
      <c r="AX1128" s="77"/>
      <c r="AY1128" s="77"/>
      <c r="AZ1128" s="77"/>
      <c r="BA1128" s="77"/>
      <c r="BB1128" s="77"/>
      <c r="BC1128" s="77"/>
      <c r="BD1128" s="77"/>
      <c r="BE1128" s="77"/>
      <c r="BF1128" s="77"/>
      <c r="BG1128" s="77"/>
      <c r="BH1128" s="77"/>
      <c r="BI1128" s="77"/>
      <c r="BJ1128" s="77"/>
      <c r="BK1128" s="77"/>
      <c r="BL1128" s="77"/>
      <c r="BM1128" s="77"/>
    </row>
    <row r="1129">
      <c r="A1129" s="100" t="s">
        <v>69</v>
      </c>
      <c r="B1129" s="100" t="b">
        <v>0</v>
      </c>
      <c r="C1129" s="100" t="b">
        <v>0</v>
      </c>
      <c r="D1129" s="42"/>
      <c r="E1129" s="43"/>
      <c r="F1129" s="101"/>
      <c r="G1129" s="102"/>
      <c r="H1129" s="103"/>
      <c r="I1129" s="103"/>
      <c r="J1129" s="104"/>
      <c r="K1129" s="102"/>
      <c r="L1129" s="102"/>
      <c r="M1129" s="105"/>
      <c r="N1129" s="105"/>
      <c r="O1129" s="103"/>
      <c r="P1129" s="103"/>
      <c r="Q1129" s="103"/>
      <c r="R1129" s="103"/>
      <c r="S1129" s="103"/>
      <c r="T1129" s="103"/>
      <c r="U1129" s="103"/>
      <c r="V1129" s="103"/>
      <c r="W1129" s="103"/>
      <c r="X1129" s="103"/>
      <c r="Y1129" s="70"/>
      <c r="Z1129" s="70"/>
      <c r="AA1129" s="70"/>
      <c r="AB1129" s="70"/>
      <c r="AC1129" s="70"/>
      <c r="AD1129" s="70"/>
      <c r="AE1129" s="70"/>
      <c r="AF1129" s="70"/>
      <c r="AG1129" s="70"/>
      <c r="AH1129" s="70"/>
      <c r="AI1129" s="70"/>
      <c r="AJ1129" s="70"/>
      <c r="AK1129" s="70"/>
      <c r="AL1129" s="70"/>
      <c r="AM1129" s="70"/>
      <c r="AN1129" s="70"/>
      <c r="AO1129" s="70"/>
      <c r="AP1129" s="70"/>
      <c r="AQ1129" s="77"/>
      <c r="AR1129" s="77"/>
      <c r="AS1129" s="77"/>
      <c r="AT1129" s="77"/>
      <c r="AU1129" s="77"/>
      <c r="AV1129" s="77"/>
      <c r="AW1129" s="77"/>
      <c r="AX1129" s="77"/>
      <c r="AY1129" s="77"/>
      <c r="AZ1129" s="77"/>
      <c r="BA1129" s="77"/>
      <c r="BB1129" s="77"/>
      <c r="BC1129" s="77"/>
      <c r="BD1129" s="77"/>
      <c r="BE1129" s="77"/>
      <c r="BF1129" s="77"/>
      <c r="BG1129" s="77"/>
      <c r="BH1129" s="77"/>
      <c r="BI1129" s="77"/>
      <c r="BJ1129" s="77"/>
      <c r="BK1129" s="77"/>
      <c r="BL1129" s="77"/>
      <c r="BM1129" s="77"/>
    </row>
    <row r="1130">
      <c r="A1130" s="99" t="s">
        <v>69</v>
      </c>
      <c r="B1130" s="99" t="b">
        <v>0</v>
      </c>
      <c r="C1130" s="99" t="b">
        <v>0</v>
      </c>
      <c r="D1130" s="80"/>
      <c r="E1130" s="81"/>
      <c r="F1130" s="106"/>
      <c r="G1130" s="107"/>
      <c r="H1130" s="108"/>
      <c r="I1130" s="108"/>
      <c r="J1130" s="109"/>
      <c r="K1130" s="107"/>
      <c r="L1130" s="107"/>
      <c r="M1130" s="110"/>
      <c r="N1130" s="110"/>
      <c r="O1130" s="108"/>
      <c r="P1130" s="108"/>
      <c r="Q1130" s="108"/>
      <c r="R1130" s="108"/>
      <c r="S1130" s="108"/>
      <c r="T1130" s="108"/>
      <c r="U1130" s="108"/>
      <c r="V1130" s="108"/>
      <c r="W1130" s="108"/>
      <c r="X1130" s="108"/>
      <c r="Y1130" s="70"/>
      <c r="Z1130" s="70"/>
      <c r="AA1130" s="70"/>
      <c r="AB1130" s="70"/>
      <c r="AC1130" s="70"/>
      <c r="AD1130" s="70"/>
      <c r="AE1130" s="70"/>
      <c r="AF1130" s="70"/>
      <c r="AG1130" s="70"/>
      <c r="AH1130" s="70"/>
      <c r="AI1130" s="70"/>
      <c r="AJ1130" s="70"/>
      <c r="AK1130" s="70"/>
      <c r="AL1130" s="70"/>
      <c r="AM1130" s="70"/>
      <c r="AN1130" s="70"/>
      <c r="AO1130" s="70"/>
      <c r="AP1130" s="70"/>
      <c r="AQ1130" s="77"/>
      <c r="AR1130" s="77"/>
      <c r="AS1130" s="77"/>
      <c r="AT1130" s="77"/>
      <c r="AU1130" s="77"/>
      <c r="AV1130" s="77"/>
      <c r="AW1130" s="77"/>
      <c r="AX1130" s="77"/>
      <c r="AY1130" s="77"/>
      <c r="AZ1130" s="77"/>
      <c r="BA1130" s="77"/>
      <c r="BB1130" s="77"/>
      <c r="BC1130" s="77"/>
      <c r="BD1130" s="77"/>
      <c r="BE1130" s="77"/>
      <c r="BF1130" s="77"/>
      <c r="BG1130" s="77"/>
      <c r="BH1130" s="77"/>
      <c r="BI1130" s="77"/>
      <c r="BJ1130" s="77"/>
      <c r="BK1130" s="77"/>
      <c r="BL1130" s="77"/>
      <c r="BM1130" s="77"/>
    </row>
    <row r="1131">
      <c r="A1131" s="100" t="s">
        <v>69</v>
      </c>
      <c r="B1131" s="100" t="b">
        <v>0</v>
      </c>
      <c r="C1131" s="100" t="b">
        <v>0</v>
      </c>
      <c r="D1131" s="42"/>
      <c r="E1131" s="43"/>
      <c r="F1131" s="101"/>
      <c r="G1131" s="102"/>
      <c r="H1131" s="103"/>
      <c r="I1131" s="103"/>
      <c r="J1131" s="104"/>
      <c r="K1131" s="102"/>
      <c r="L1131" s="102"/>
      <c r="M1131" s="105"/>
      <c r="N1131" s="105"/>
      <c r="O1131" s="103"/>
      <c r="P1131" s="103"/>
      <c r="Q1131" s="103"/>
      <c r="R1131" s="103"/>
      <c r="S1131" s="103"/>
      <c r="T1131" s="103"/>
      <c r="U1131" s="103"/>
      <c r="V1131" s="103"/>
      <c r="W1131" s="103"/>
      <c r="X1131" s="103"/>
      <c r="Y1131" s="70"/>
      <c r="Z1131" s="70"/>
      <c r="AA1131" s="70"/>
      <c r="AB1131" s="70"/>
      <c r="AC1131" s="70"/>
      <c r="AD1131" s="70"/>
      <c r="AE1131" s="70"/>
      <c r="AF1131" s="70"/>
      <c r="AG1131" s="70"/>
      <c r="AH1131" s="70"/>
      <c r="AI1131" s="70"/>
      <c r="AJ1131" s="70"/>
      <c r="AK1131" s="70"/>
      <c r="AL1131" s="70"/>
      <c r="AM1131" s="70"/>
      <c r="AN1131" s="70"/>
      <c r="AO1131" s="70"/>
      <c r="AP1131" s="70"/>
      <c r="AQ1131" s="77"/>
      <c r="AR1131" s="77"/>
      <c r="AS1131" s="77"/>
      <c r="AT1131" s="77"/>
      <c r="AU1131" s="77"/>
      <c r="AV1131" s="77"/>
      <c r="AW1131" s="77"/>
      <c r="AX1131" s="77"/>
      <c r="AY1131" s="77"/>
      <c r="AZ1131" s="77"/>
      <c r="BA1131" s="77"/>
      <c r="BB1131" s="77"/>
      <c r="BC1131" s="77"/>
      <c r="BD1131" s="77"/>
      <c r="BE1131" s="77"/>
      <c r="BF1131" s="77"/>
      <c r="BG1131" s="77"/>
      <c r="BH1131" s="77"/>
      <c r="BI1131" s="77"/>
      <c r="BJ1131" s="77"/>
      <c r="BK1131" s="77"/>
      <c r="BL1131" s="77"/>
      <c r="BM1131" s="77"/>
    </row>
    <row r="1132">
      <c r="A1132" s="99" t="s">
        <v>69</v>
      </c>
      <c r="B1132" s="99" t="b">
        <v>0</v>
      </c>
      <c r="C1132" s="99" t="b">
        <v>0</v>
      </c>
      <c r="D1132" s="80"/>
      <c r="E1132" s="81"/>
      <c r="F1132" s="106"/>
      <c r="G1132" s="107"/>
      <c r="H1132" s="108"/>
      <c r="I1132" s="108"/>
      <c r="J1132" s="109"/>
      <c r="K1132" s="107"/>
      <c r="L1132" s="107"/>
      <c r="M1132" s="110"/>
      <c r="N1132" s="110"/>
      <c r="O1132" s="108"/>
      <c r="P1132" s="108"/>
      <c r="Q1132" s="108"/>
      <c r="R1132" s="108"/>
      <c r="S1132" s="108"/>
      <c r="T1132" s="108"/>
      <c r="U1132" s="108"/>
      <c r="V1132" s="108"/>
      <c r="W1132" s="108"/>
      <c r="X1132" s="108"/>
      <c r="Y1132" s="70"/>
      <c r="Z1132" s="70"/>
      <c r="AA1132" s="70"/>
      <c r="AB1132" s="70"/>
      <c r="AC1132" s="70"/>
      <c r="AD1132" s="70"/>
      <c r="AE1132" s="70"/>
      <c r="AF1132" s="70"/>
      <c r="AG1132" s="70"/>
      <c r="AH1132" s="70"/>
      <c r="AI1132" s="70"/>
      <c r="AJ1132" s="70"/>
      <c r="AK1132" s="70"/>
      <c r="AL1132" s="70"/>
      <c r="AM1132" s="70"/>
      <c r="AN1132" s="70"/>
      <c r="AO1132" s="70"/>
      <c r="AP1132" s="70"/>
      <c r="AQ1132" s="77"/>
      <c r="AR1132" s="77"/>
      <c r="AS1132" s="77"/>
      <c r="AT1132" s="77"/>
      <c r="AU1132" s="77"/>
      <c r="AV1132" s="77"/>
      <c r="AW1132" s="77"/>
      <c r="AX1132" s="77"/>
      <c r="AY1132" s="77"/>
      <c r="AZ1132" s="77"/>
      <c r="BA1132" s="77"/>
      <c r="BB1132" s="77"/>
      <c r="BC1132" s="77"/>
      <c r="BD1132" s="77"/>
      <c r="BE1132" s="77"/>
      <c r="BF1132" s="77"/>
      <c r="BG1132" s="77"/>
      <c r="BH1132" s="77"/>
      <c r="BI1132" s="77"/>
      <c r="BJ1132" s="77"/>
      <c r="BK1132" s="77"/>
      <c r="BL1132" s="77"/>
      <c r="BM1132" s="77"/>
    </row>
    <row r="1133">
      <c r="A1133" s="100" t="s">
        <v>69</v>
      </c>
      <c r="B1133" s="100" t="b">
        <v>0</v>
      </c>
      <c r="C1133" s="100" t="b">
        <v>0</v>
      </c>
      <c r="D1133" s="42"/>
      <c r="E1133" s="43"/>
      <c r="F1133" s="101"/>
      <c r="G1133" s="102"/>
      <c r="H1133" s="103"/>
      <c r="I1133" s="103"/>
      <c r="J1133" s="104"/>
      <c r="K1133" s="102"/>
      <c r="L1133" s="102"/>
      <c r="M1133" s="105"/>
      <c r="N1133" s="105"/>
      <c r="O1133" s="103"/>
      <c r="P1133" s="103"/>
      <c r="Q1133" s="103"/>
      <c r="R1133" s="103"/>
      <c r="S1133" s="103"/>
      <c r="T1133" s="103"/>
      <c r="U1133" s="103"/>
      <c r="V1133" s="103"/>
      <c r="W1133" s="103"/>
      <c r="X1133" s="103"/>
      <c r="Y1133" s="70"/>
      <c r="Z1133" s="70"/>
      <c r="AA1133" s="70"/>
      <c r="AB1133" s="70"/>
      <c r="AC1133" s="70"/>
      <c r="AD1133" s="70"/>
      <c r="AE1133" s="70"/>
      <c r="AF1133" s="70"/>
      <c r="AG1133" s="70"/>
      <c r="AH1133" s="70"/>
      <c r="AI1133" s="70"/>
      <c r="AJ1133" s="70"/>
      <c r="AK1133" s="70"/>
      <c r="AL1133" s="70"/>
      <c r="AM1133" s="70"/>
      <c r="AN1133" s="70"/>
      <c r="AO1133" s="70"/>
      <c r="AP1133" s="70"/>
      <c r="AQ1133" s="77"/>
      <c r="AR1133" s="77"/>
      <c r="AS1133" s="77"/>
      <c r="AT1133" s="77"/>
      <c r="AU1133" s="77"/>
      <c r="AV1133" s="77"/>
      <c r="AW1133" s="77"/>
      <c r="AX1133" s="77"/>
      <c r="AY1133" s="77"/>
      <c r="AZ1133" s="77"/>
      <c r="BA1133" s="77"/>
      <c r="BB1133" s="77"/>
      <c r="BC1133" s="77"/>
      <c r="BD1133" s="77"/>
      <c r="BE1133" s="77"/>
      <c r="BF1133" s="77"/>
      <c r="BG1133" s="77"/>
      <c r="BH1133" s="77"/>
      <c r="BI1133" s="77"/>
      <c r="BJ1133" s="77"/>
      <c r="BK1133" s="77"/>
      <c r="BL1133" s="77"/>
      <c r="BM1133" s="77"/>
    </row>
    <row r="1134">
      <c r="A1134" s="99" t="s">
        <v>69</v>
      </c>
      <c r="B1134" s="99" t="b">
        <v>0</v>
      </c>
      <c r="C1134" s="99" t="b">
        <v>0</v>
      </c>
      <c r="D1134" s="80"/>
      <c r="E1134" s="81"/>
      <c r="F1134" s="106"/>
      <c r="G1134" s="107"/>
      <c r="H1134" s="108"/>
      <c r="I1134" s="108"/>
      <c r="J1134" s="109"/>
      <c r="K1134" s="107"/>
      <c r="L1134" s="107"/>
      <c r="M1134" s="110"/>
      <c r="N1134" s="110"/>
      <c r="O1134" s="108"/>
      <c r="P1134" s="108"/>
      <c r="Q1134" s="108"/>
      <c r="R1134" s="108"/>
      <c r="S1134" s="108"/>
      <c r="T1134" s="108"/>
      <c r="U1134" s="108"/>
      <c r="V1134" s="108"/>
      <c r="W1134" s="108"/>
      <c r="X1134" s="108"/>
      <c r="Y1134" s="70"/>
      <c r="Z1134" s="70"/>
      <c r="AA1134" s="70"/>
      <c r="AB1134" s="70"/>
      <c r="AC1134" s="70"/>
      <c r="AD1134" s="70"/>
      <c r="AE1134" s="70"/>
      <c r="AF1134" s="70"/>
      <c r="AG1134" s="70"/>
      <c r="AH1134" s="70"/>
      <c r="AI1134" s="70"/>
      <c r="AJ1134" s="70"/>
      <c r="AK1134" s="70"/>
      <c r="AL1134" s="70"/>
      <c r="AM1134" s="70"/>
      <c r="AN1134" s="70"/>
      <c r="AO1134" s="70"/>
      <c r="AP1134" s="70"/>
      <c r="AQ1134" s="77"/>
      <c r="AR1134" s="77"/>
      <c r="AS1134" s="77"/>
      <c r="AT1134" s="77"/>
      <c r="AU1134" s="77"/>
      <c r="AV1134" s="77"/>
      <c r="AW1134" s="77"/>
      <c r="AX1134" s="77"/>
      <c r="AY1134" s="77"/>
      <c r="AZ1134" s="77"/>
      <c r="BA1134" s="77"/>
      <c r="BB1134" s="77"/>
      <c r="BC1134" s="77"/>
      <c r="BD1134" s="77"/>
      <c r="BE1134" s="77"/>
      <c r="BF1134" s="77"/>
      <c r="BG1134" s="77"/>
      <c r="BH1134" s="77"/>
      <c r="BI1134" s="77"/>
      <c r="BJ1134" s="77"/>
      <c r="BK1134" s="77"/>
      <c r="BL1134" s="77"/>
      <c r="BM1134" s="77"/>
    </row>
    <row r="1135">
      <c r="A1135" s="100" t="s">
        <v>69</v>
      </c>
      <c r="B1135" s="100" t="b">
        <v>0</v>
      </c>
      <c r="C1135" s="100" t="b">
        <v>0</v>
      </c>
      <c r="D1135" s="42"/>
      <c r="E1135" s="43"/>
      <c r="F1135" s="101"/>
      <c r="G1135" s="102"/>
      <c r="H1135" s="103"/>
      <c r="I1135" s="103"/>
      <c r="J1135" s="104"/>
      <c r="K1135" s="102"/>
      <c r="L1135" s="102"/>
      <c r="M1135" s="105"/>
      <c r="N1135" s="105"/>
      <c r="O1135" s="103"/>
      <c r="P1135" s="103"/>
      <c r="Q1135" s="103"/>
      <c r="R1135" s="103"/>
      <c r="S1135" s="103"/>
      <c r="T1135" s="103"/>
      <c r="U1135" s="103"/>
      <c r="V1135" s="103"/>
      <c r="W1135" s="103"/>
      <c r="X1135" s="103"/>
      <c r="Y1135" s="70"/>
      <c r="Z1135" s="70"/>
      <c r="AA1135" s="70"/>
      <c r="AB1135" s="70"/>
      <c r="AC1135" s="70"/>
      <c r="AD1135" s="70"/>
      <c r="AE1135" s="70"/>
      <c r="AF1135" s="70"/>
      <c r="AG1135" s="70"/>
      <c r="AH1135" s="70"/>
      <c r="AI1135" s="70"/>
      <c r="AJ1135" s="70"/>
      <c r="AK1135" s="70"/>
      <c r="AL1135" s="70"/>
      <c r="AM1135" s="70"/>
      <c r="AN1135" s="70"/>
      <c r="AO1135" s="70"/>
      <c r="AP1135" s="70"/>
      <c r="AQ1135" s="77"/>
      <c r="AR1135" s="77"/>
      <c r="AS1135" s="77"/>
      <c r="AT1135" s="77"/>
      <c r="AU1135" s="77"/>
      <c r="AV1135" s="77"/>
      <c r="AW1135" s="77"/>
      <c r="AX1135" s="77"/>
      <c r="AY1135" s="77"/>
      <c r="AZ1135" s="77"/>
      <c r="BA1135" s="77"/>
      <c r="BB1135" s="77"/>
      <c r="BC1135" s="77"/>
      <c r="BD1135" s="77"/>
      <c r="BE1135" s="77"/>
      <c r="BF1135" s="77"/>
      <c r="BG1135" s="77"/>
      <c r="BH1135" s="77"/>
      <c r="BI1135" s="77"/>
      <c r="BJ1135" s="77"/>
      <c r="BK1135" s="77"/>
      <c r="BL1135" s="77"/>
      <c r="BM1135" s="77"/>
    </row>
    <row r="1136">
      <c r="A1136" s="99" t="s">
        <v>69</v>
      </c>
      <c r="B1136" s="99" t="b">
        <v>0</v>
      </c>
      <c r="C1136" s="99" t="b">
        <v>0</v>
      </c>
      <c r="D1136" s="80"/>
      <c r="E1136" s="81"/>
      <c r="F1136" s="106"/>
      <c r="G1136" s="107"/>
      <c r="H1136" s="108"/>
      <c r="I1136" s="108"/>
      <c r="J1136" s="109"/>
      <c r="K1136" s="107"/>
      <c r="L1136" s="107"/>
      <c r="M1136" s="110"/>
      <c r="N1136" s="110"/>
      <c r="O1136" s="108"/>
      <c r="P1136" s="108"/>
      <c r="Q1136" s="108"/>
      <c r="R1136" s="108"/>
      <c r="S1136" s="108"/>
      <c r="T1136" s="108"/>
      <c r="U1136" s="108"/>
      <c r="V1136" s="108"/>
      <c r="W1136" s="108"/>
      <c r="X1136" s="108"/>
      <c r="Y1136" s="70"/>
      <c r="Z1136" s="70"/>
      <c r="AA1136" s="70"/>
      <c r="AB1136" s="70"/>
      <c r="AC1136" s="70"/>
      <c r="AD1136" s="70"/>
      <c r="AE1136" s="70"/>
      <c r="AF1136" s="70"/>
      <c r="AG1136" s="70"/>
      <c r="AH1136" s="70"/>
      <c r="AI1136" s="70"/>
      <c r="AJ1136" s="70"/>
      <c r="AK1136" s="70"/>
      <c r="AL1136" s="70"/>
      <c r="AM1136" s="70"/>
      <c r="AN1136" s="70"/>
      <c r="AO1136" s="70"/>
      <c r="AP1136" s="70"/>
      <c r="AQ1136" s="77"/>
      <c r="AR1136" s="77"/>
      <c r="AS1136" s="77"/>
      <c r="AT1136" s="77"/>
      <c r="AU1136" s="77"/>
      <c r="AV1136" s="77"/>
      <c r="AW1136" s="77"/>
      <c r="AX1136" s="77"/>
      <c r="AY1136" s="77"/>
      <c r="AZ1136" s="77"/>
      <c r="BA1136" s="77"/>
      <c r="BB1136" s="77"/>
      <c r="BC1136" s="77"/>
      <c r="BD1136" s="77"/>
      <c r="BE1136" s="77"/>
      <c r="BF1136" s="77"/>
      <c r="BG1136" s="77"/>
      <c r="BH1136" s="77"/>
      <c r="BI1136" s="77"/>
      <c r="BJ1136" s="77"/>
      <c r="BK1136" s="77"/>
      <c r="BL1136" s="77"/>
      <c r="BM1136" s="77"/>
    </row>
    <row r="1137">
      <c r="A1137" s="100" t="s">
        <v>69</v>
      </c>
      <c r="B1137" s="100" t="b">
        <v>0</v>
      </c>
      <c r="C1137" s="100" t="b">
        <v>0</v>
      </c>
      <c r="D1137" s="42"/>
      <c r="E1137" s="43"/>
      <c r="F1137" s="101"/>
      <c r="G1137" s="102"/>
      <c r="H1137" s="103"/>
      <c r="I1137" s="103"/>
      <c r="J1137" s="104"/>
      <c r="K1137" s="102"/>
      <c r="L1137" s="102"/>
      <c r="M1137" s="105"/>
      <c r="N1137" s="105"/>
      <c r="O1137" s="103"/>
      <c r="P1137" s="103"/>
      <c r="Q1137" s="103"/>
      <c r="R1137" s="103"/>
      <c r="S1137" s="103"/>
      <c r="T1137" s="103"/>
      <c r="U1137" s="103"/>
      <c r="V1137" s="103"/>
      <c r="W1137" s="103"/>
      <c r="X1137" s="103"/>
      <c r="Y1137" s="70"/>
      <c r="Z1137" s="70"/>
      <c r="AA1137" s="70"/>
      <c r="AB1137" s="70"/>
      <c r="AC1137" s="70"/>
      <c r="AD1137" s="70"/>
      <c r="AE1137" s="70"/>
      <c r="AF1137" s="70"/>
      <c r="AG1137" s="70"/>
      <c r="AH1137" s="70"/>
      <c r="AI1137" s="70"/>
      <c r="AJ1137" s="70"/>
      <c r="AK1137" s="70"/>
      <c r="AL1137" s="70"/>
      <c r="AM1137" s="70"/>
      <c r="AN1137" s="70"/>
      <c r="AO1137" s="70"/>
      <c r="AP1137" s="70"/>
      <c r="AQ1137" s="77"/>
      <c r="AR1137" s="77"/>
      <c r="AS1137" s="77"/>
      <c r="AT1137" s="77"/>
      <c r="AU1137" s="77"/>
      <c r="AV1137" s="77"/>
      <c r="AW1137" s="77"/>
      <c r="AX1137" s="77"/>
      <c r="AY1137" s="77"/>
      <c r="AZ1137" s="77"/>
      <c r="BA1137" s="77"/>
      <c r="BB1137" s="77"/>
      <c r="BC1137" s="77"/>
      <c r="BD1137" s="77"/>
      <c r="BE1137" s="77"/>
      <c r="BF1137" s="77"/>
      <c r="BG1137" s="77"/>
      <c r="BH1137" s="77"/>
      <c r="BI1137" s="77"/>
      <c r="BJ1137" s="77"/>
      <c r="BK1137" s="77"/>
      <c r="BL1137" s="77"/>
      <c r="BM1137" s="77"/>
    </row>
    <row r="1138">
      <c r="A1138" s="99" t="s">
        <v>69</v>
      </c>
      <c r="B1138" s="99" t="b">
        <v>0</v>
      </c>
      <c r="C1138" s="99" t="b">
        <v>0</v>
      </c>
      <c r="D1138" s="80"/>
      <c r="E1138" s="81"/>
      <c r="F1138" s="106"/>
      <c r="G1138" s="107"/>
      <c r="H1138" s="108"/>
      <c r="I1138" s="108"/>
      <c r="J1138" s="109"/>
      <c r="K1138" s="107"/>
      <c r="L1138" s="107"/>
      <c r="M1138" s="110"/>
      <c r="N1138" s="110"/>
      <c r="O1138" s="108"/>
      <c r="P1138" s="108"/>
      <c r="Q1138" s="108"/>
      <c r="R1138" s="108"/>
      <c r="S1138" s="108"/>
      <c r="T1138" s="108"/>
      <c r="U1138" s="108"/>
      <c r="V1138" s="108"/>
      <c r="W1138" s="108"/>
      <c r="X1138" s="108"/>
      <c r="Y1138" s="70"/>
      <c r="Z1138" s="70"/>
      <c r="AA1138" s="70"/>
      <c r="AB1138" s="70"/>
      <c r="AC1138" s="70"/>
      <c r="AD1138" s="70"/>
      <c r="AE1138" s="70"/>
      <c r="AF1138" s="70"/>
      <c r="AG1138" s="70"/>
      <c r="AH1138" s="70"/>
      <c r="AI1138" s="70"/>
      <c r="AJ1138" s="70"/>
      <c r="AK1138" s="70"/>
      <c r="AL1138" s="70"/>
      <c r="AM1138" s="70"/>
      <c r="AN1138" s="70"/>
      <c r="AO1138" s="70"/>
      <c r="AP1138" s="70"/>
      <c r="AQ1138" s="77"/>
      <c r="AR1138" s="77"/>
      <c r="AS1138" s="77"/>
      <c r="AT1138" s="77"/>
      <c r="AU1138" s="77"/>
      <c r="AV1138" s="77"/>
      <c r="AW1138" s="77"/>
      <c r="AX1138" s="77"/>
      <c r="AY1138" s="77"/>
      <c r="AZ1138" s="77"/>
      <c r="BA1138" s="77"/>
      <c r="BB1138" s="77"/>
      <c r="BC1138" s="77"/>
      <c r="BD1138" s="77"/>
      <c r="BE1138" s="77"/>
      <c r="BF1138" s="77"/>
      <c r="BG1138" s="77"/>
      <c r="BH1138" s="77"/>
      <c r="BI1138" s="77"/>
      <c r="BJ1138" s="77"/>
      <c r="BK1138" s="77"/>
      <c r="BL1138" s="77"/>
      <c r="BM1138" s="77"/>
    </row>
    <row r="1139">
      <c r="A1139" s="100" t="s">
        <v>69</v>
      </c>
      <c r="B1139" s="100" t="b">
        <v>0</v>
      </c>
      <c r="C1139" s="100" t="b">
        <v>0</v>
      </c>
      <c r="D1139" s="42"/>
      <c r="E1139" s="43"/>
      <c r="F1139" s="101"/>
      <c r="G1139" s="102"/>
      <c r="H1139" s="103"/>
      <c r="I1139" s="103"/>
      <c r="J1139" s="104"/>
      <c r="K1139" s="102"/>
      <c r="L1139" s="102"/>
      <c r="M1139" s="105"/>
      <c r="N1139" s="105"/>
      <c r="O1139" s="103"/>
      <c r="P1139" s="103"/>
      <c r="Q1139" s="103"/>
      <c r="R1139" s="103"/>
      <c r="S1139" s="103"/>
      <c r="T1139" s="103"/>
      <c r="U1139" s="103"/>
      <c r="V1139" s="103"/>
      <c r="W1139" s="103"/>
      <c r="X1139" s="103"/>
      <c r="Y1139" s="70"/>
      <c r="Z1139" s="70"/>
      <c r="AA1139" s="70"/>
      <c r="AB1139" s="70"/>
      <c r="AC1139" s="70"/>
      <c r="AD1139" s="70"/>
      <c r="AE1139" s="70"/>
      <c r="AF1139" s="70"/>
      <c r="AG1139" s="70"/>
      <c r="AH1139" s="70"/>
      <c r="AI1139" s="70"/>
      <c r="AJ1139" s="70"/>
      <c r="AK1139" s="70"/>
      <c r="AL1139" s="70"/>
      <c r="AM1139" s="70"/>
      <c r="AN1139" s="70"/>
      <c r="AO1139" s="70"/>
      <c r="AP1139" s="70"/>
      <c r="AQ1139" s="77"/>
      <c r="AR1139" s="77"/>
      <c r="AS1139" s="77"/>
      <c r="AT1139" s="77"/>
      <c r="AU1139" s="77"/>
      <c r="AV1139" s="77"/>
      <c r="AW1139" s="77"/>
      <c r="AX1139" s="77"/>
      <c r="AY1139" s="77"/>
      <c r="AZ1139" s="77"/>
      <c r="BA1139" s="77"/>
      <c r="BB1139" s="77"/>
      <c r="BC1139" s="77"/>
      <c r="BD1139" s="77"/>
      <c r="BE1139" s="77"/>
      <c r="BF1139" s="77"/>
      <c r="BG1139" s="77"/>
      <c r="BH1139" s="77"/>
      <c r="BI1139" s="77"/>
      <c r="BJ1139" s="77"/>
      <c r="BK1139" s="77"/>
      <c r="BL1139" s="77"/>
      <c r="BM1139" s="77"/>
    </row>
    <row r="1140">
      <c r="A1140" s="99" t="s">
        <v>69</v>
      </c>
      <c r="B1140" s="99" t="b">
        <v>0</v>
      </c>
      <c r="C1140" s="99" t="b">
        <v>0</v>
      </c>
      <c r="D1140" s="80"/>
      <c r="E1140" s="81"/>
      <c r="F1140" s="106"/>
      <c r="G1140" s="107"/>
      <c r="H1140" s="108"/>
      <c r="I1140" s="108"/>
      <c r="J1140" s="109"/>
      <c r="K1140" s="107"/>
      <c r="L1140" s="107"/>
      <c r="M1140" s="110"/>
      <c r="N1140" s="110"/>
      <c r="O1140" s="108"/>
      <c r="P1140" s="108"/>
      <c r="Q1140" s="108"/>
      <c r="R1140" s="108"/>
      <c r="S1140" s="108"/>
      <c r="T1140" s="108"/>
      <c r="U1140" s="108"/>
      <c r="V1140" s="108"/>
      <c r="W1140" s="108"/>
      <c r="X1140" s="108"/>
      <c r="Y1140" s="70"/>
      <c r="Z1140" s="70"/>
      <c r="AA1140" s="70"/>
      <c r="AB1140" s="70"/>
      <c r="AC1140" s="70"/>
      <c r="AD1140" s="70"/>
      <c r="AE1140" s="70"/>
      <c r="AF1140" s="70"/>
      <c r="AG1140" s="70"/>
      <c r="AH1140" s="70"/>
      <c r="AI1140" s="70"/>
      <c r="AJ1140" s="70"/>
      <c r="AK1140" s="70"/>
      <c r="AL1140" s="70"/>
      <c r="AM1140" s="70"/>
      <c r="AN1140" s="70"/>
      <c r="AO1140" s="70"/>
      <c r="AP1140" s="70"/>
      <c r="AQ1140" s="77"/>
      <c r="AR1140" s="77"/>
      <c r="AS1140" s="77"/>
      <c r="AT1140" s="77"/>
      <c r="AU1140" s="77"/>
      <c r="AV1140" s="77"/>
      <c r="AW1140" s="77"/>
      <c r="AX1140" s="77"/>
      <c r="AY1140" s="77"/>
      <c r="AZ1140" s="77"/>
      <c r="BA1140" s="77"/>
      <c r="BB1140" s="77"/>
      <c r="BC1140" s="77"/>
      <c r="BD1140" s="77"/>
      <c r="BE1140" s="77"/>
      <c r="BF1140" s="77"/>
      <c r="BG1140" s="77"/>
      <c r="BH1140" s="77"/>
      <c r="BI1140" s="77"/>
      <c r="BJ1140" s="77"/>
      <c r="BK1140" s="77"/>
      <c r="BL1140" s="77"/>
      <c r="BM1140" s="77"/>
    </row>
    <row r="1141">
      <c r="A1141" s="100" t="s">
        <v>69</v>
      </c>
      <c r="B1141" s="100" t="b">
        <v>0</v>
      </c>
      <c r="C1141" s="100" t="b">
        <v>0</v>
      </c>
      <c r="D1141" s="42"/>
      <c r="E1141" s="43"/>
      <c r="F1141" s="101"/>
      <c r="G1141" s="102"/>
      <c r="H1141" s="103"/>
      <c r="I1141" s="103"/>
      <c r="J1141" s="104"/>
      <c r="K1141" s="102"/>
      <c r="L1141" s="102"/>
      <c r="M1141" s="105"/>
      <c r="N1141" s="105"/>
      <c r="O1141" s="103"/>
      <c r="P1141" s="103"/>
      <c r="Q1141" s="103"/>
      <c r="R1141" s="103"/>
      <c r="S1141" s="103"/>
      <c r="T1141" s="103"/>
      <c r="U1141" s="103"/>
      <c r="V1141" s="103"/>
      <c r="W1141" s="103"/>
      <c r="X1141" s="103"/>
      <c r="Y1141" s="70"/>
      <c r="Z1141" s="70"/>
      <c r="AA1141" s="70"/>
      <c r="AB1141" s="70"/>
      <c r="AC1141" s="70"/>
      <c r="AD1141" s="70"/>
      <c r="AE1141" s="70"/>
      <c r="AF1141" s="70"/>
      <c r="AG1141" s="70"/>
      <c r="AH1141" s="70"/>
      <c r="AI1141" s="70"/>
      <c r="AJ1141" s="70"/>
      <c r="AK1141" s="70"/>
      <c r="AL1141" s="70"/>
      <c r="AM1141" s="70"/>
      <c r="AN1141" s="70"/>
      <c r="AO1141" s="70"/>
      <c r="AP1141" s="70"/>
      <c r="AQ1141" s="77"/>
      <c r="AR1141" s="77"/>
      <c r="AS1141" s="77"/>
      <c r="AT1141" s="77"/>
      <c r="AU1141" s="77"/>
      <c r="AV1141" s="77"/>
      <c r="AW1141" s="77"/>
      <c r="AX1141" s="77"/>
      <c r="AY1141" s="77"/>
      <c r="AZ1141" s="77"/>
      <c r="BA1141" s="77"/>
      <c r="BB1141" s="77"/>
      <c r="BC1141" s="77"/>
      <c r="BD1141" s="77"/>
      <c r="BE1141" s="77"/>
      <c r="BF1141" s="77"/>
      <c r="BG1141" s="77"/>
      <c r="BH1141" s="77"/>
      <c r="BI1141" s="77"/>
      <c r="BJ1141" s="77"/>
      <c r="BK1141" s="77"/>
      <c r="BL1141" s="77"/>
      <c r="BM1141" s="77"/>
    </row>
    <row r="1142">
      <c r="A1142" s="99" t="s">
        <v>69</v>
      </c>
      <c r="B1142" s="99" t="b">
        <v>0</v>
      </c>
      <c r="C1142" s="99" t="b">
        <v>0</v>
      </c>
      <c r="D1142" s="80"/>
      <c r="E1142" s="81"/>
      <c r="F1142" s="106"/>
      <c r="G1142" s="107"/>
      <c r="H1142" s="108"/>
      <c r="I1142" s="108"/>
      <c r="J1142" s="109"/>
      <c r="K1142" s="107"/>
      <c r="L1142" s="107"/>
      <c r="M1142" s="110"/>
      <c r="N1142" s="110"/>
      <c r="O1142" s="108"/>
      <c r="P1142" s="108"/>
      <c r="Q1142" s="108"/>
      <c r="R1142" s="108"/>
      <c r="S1142" s="108"/>
      <c r="T1142" s="108"/>
      <c r="U1142" s="108"/>
      <c r="V1142" s="108"/>
      <c r="W1142" s="108"/>
      <c r="X1142" s="108"/>
      <c r="Y1142" s="70"/>
      <c r="Z1142" s="70"/>
      <c r="AA1142" s="70"/>
      <c r="AB1142" s="70"/>
      <c r="AC1142" s="70"/>
      <c r="AD1142" s="70"/>
      <c r="AE1142" s="70"/>
      <c r="AF1142" s="70"/>
      <c r="AG1142" s="70"/>
      <c r="AH1142" s="70"/>
      <c r="AI1142" s="70"/>
      <c r="AJ1142" s="70"/>
      <c r="AK1142" s="70"/>
      <c r="AL1142" s="70"/>
      <c r="AM1142" s="70"/>
      <c r="AN1142" s="70"/>
      <c r="AO1142" s="70"/>
      <c r="AP1142" s="70"/>
      <c r="AQ1142" s="77"/>
      <c r="AR1142" s="77"/>
      <c r="AS1142" s="77"/>
      <c r="AT1142" s="77"/>
      <c r="AU1142" s="77"/>
      <c r="AV1142" s="77"/>
      <c r="AW1142" s="77"/>
      <c r="AX1142" s="77"/>
      <c r="AY1142" s="77"/>
      <c r="AZ1142" s="77"/>
      <c r="BA1142" s="77"/>
      <c r="BB1142" s="77"/>
      <c r="BC1142" s="77"/>
      <c r="BD1142" s="77"/>
      <c r="BE1142" s="77"/>
      <c r="BF1142" s="77"/>
      <c r="BG1142" s="77"/>
      <c r="BH1142" s="77"/>
      <c r="BI1142" s="77"/>
      <c r="BJ1142" s="77"/>
      <c r="BK1142" s="77"/>
      <c r="BL1142" s="77"/>
      <c r="BM1142" s="77"/>
    </row>
    <row r="1143">
      <c r="A1143" s="100" t="s">
        <v>69</v>
      </c>
      <c r="B1143" s="100" t="b">
        <v>0</v>
      </c>
      <c r="C1143" s="100" t="b">
        <v>0</v>
      </c>
      <c r="D1143" s="42"/>
      <c r="E1143" s="43"/>
      <c r="F1143" s="101"/>
      <c r="G1143" s="102"/>
      <c r="H1143" s="103"/>
      <c r="I1143" s="103"/>
      <c r="J1143" s="104"/>
      <c r="K1143" s="102"/>
      <c r="L1143" s="102"/>
      <c r="M1143" s="105"/>
      <c r="N1143" s="105"/>
      <c r="O1143" s="103"/>
      <c r="P1143" s="103"/>
      <c r="Q1143" s="103"/>
      <c r="R1143" s="103"/>
      <c r="S1143" s="103"/>
      <c r="T1143" s="103"/>
      <c r="U1143" s="103"/>
      <c r="V1143" s="103"/>
      <c r="W1143" s="103"/>
      <c r="X1143" s="103"/>
      <c r="Y1143" s="70"/>
      <c r="Z1143" s="70"/>
      <c r="AA1143" s="70"/>
      <c r="AB1143" s="70"/>
      <c r="AC1143" s="70"/>
      <c r="AD1143" s="70"/>
      <c r="AE1143" s="70"/>
      <c r="AF1143" s="70"/>
      <c r="AG1143" s="70"/>
      <c r="AH1143" s="70"/>
      <c r="AI1143" s="70"/>
      <c r="AJ1143" s="70"/>
      <c r="AK1143" s="70"/>
      <c r="AL1143" s="70"/>
      <c r="AM1143" s="70"/>
      <c r="AN1143" s="70"/>
      <c r="AO1143" s="70"/>
      <c r="AP1143" s="70"/>
      <c r="AQ1143" s="77"/>
      <c r="AR1143" s="77"/>
      <c r="AS1143" s="77"/>
      <c r="AT1143" s="77"/>
      <c r="AU1143" s="77"/>
      <c r="AV1143" s="77"/>
      <c r="AW1143" s="77"/>
      <c r="AX1143" s="77"/>
      <c r="AY1143" s="77"/>
      <c r="AZ1143" s="77"/>
      <c r="BA1143" s="77"/>
      <c r="BB1143" s="77"/>
      <c r="BC1143" s="77"/>
      <c r="BD1143" s="77"/>
      <c r="BE1143" s="77"/>
      <c r="BF1143" s="77"/>
      <c r="BG1143" s="77"/>
      <c r="BH1143" s="77"/>
      <c r="BI1143" s="77"/>
      <c r="BJ1143" s="77"/>
      <c r="BK1143" s="77"/>
      <c r="BL1143" s="77"/>
      <c r="BM1143" s="77"/>
    </row>
    <row r="1144">
      <c r="A1144" s="99" t="s">
        <v>69</v>
      </c>
      <c r="B1144" s="99" t="b">
        <v>0</v>
      </c>
      <c r="C1144" s="99" t="b">
        <v>0</v>
      </c>
      <c r="D1144" s="80"/>
      <c r="E1144" s="81"/>
      <c r="F1144" s="106"/>
      <c r="G1144" s="107"/>
      <c r="H1144" s="108"/>
      <c r="I1144" s="108"/>
      <c r="J1144" s="109"/>
      <c r="K1144" s="107"/>
      <c r="L1144" s="107"/>
      <c r="M1144" s="110"/>
      <c r="N1144" s="110"/>
      <c r="O1144" s="108"/>
      <c r="P1144" s="108"/>
      <c r="Q1144" s="108"/>
      <c r="R1144" s="108"/>
      <c r="S1144" s="108"/>
      <c r="T1144" s="108"/>
      <c r="U1144" s="108"/>
      <c r="V1144" s="108"/>
      <c r="W1144" s="108"/>
      <c r="X1144" s="108"/>
      <c r="Y1144" s="70"/>
      <c r="Z1144" s="70"/>
      <c r="AA1144" s="70"/>
      <c r="AB1144" s="70"/>
      <c r="AC1144" s="70"/>
      <c r="AD1144" s="70"/>
      <c r="AE1144" s="70"/>
      <c r="AF1144" s="70"/>
      <c r="AG1144" s="70"/>
      <c r="AH1144" s="70"/>
      <c r="AI1144" s="70"/>
      <c r="AJ1144" s="70"/>
      <c r="AK1144" s="70"/>
      <c r="AL1144" s="70"/>
      <c r="AM1144" s="70"/>
      <c r="AN1144" s="70"/>
      <c r="AO1144" s="70"/>
      <c r="AP1144" s="70"/>
      <c r="AQ1144" s="77"/>
      <c r="AR1144" s="77"/>
      <c r="AS1144" s="77"/>
      <c r="AT1144" s="77"/>
      <c r="AU1144" s="77"/>
      <c r="AV1144" s="77"/>
      <c r="AW1144" s="77"/>
      <c r="AX1144" s="77"/>
      <c r="AY1144" s="77"/>
      <c r="AZ1144" s="77"/>
      <c r="BA1144" s="77"/>
      <c r="BB1144" s="77"/>
      <c r="BC1144" s="77"/>
      <c r="BD1144" s="77"/>
      <c r="BE1144" s="77"/>
      <c r="BF1144" s="77"/>
      <c r="BG1144" s="77"/>
      <c r="BH1144" s="77"/>
      <c r="BI1144" s="77"/>
      <c r="BJ1144" s="77"/>
      <c r="BK1144" s="77"/>
      <c r="BL1144" s="77"/>
      <c r="BM1144" s="77"/>
    </row>
    <row r="1145">
      <c r="A1145" s="100" t="s">
        <v>69</v>
      </c>
      <c r="B1145" s="100" t="b">
        <v>0</v>
      </c>
      <c r="C1145" s="100" t="b">
        <v>0</v>
      </c>
      <c r="D1145" s="42"/>
      <c r="E1145" s="43"/>
      <c r="F1145" s="101"/>
      <c r="G1145" s="102"/>
      <c r="H1145" s="103"/>
      <c r="I1145" s="103"/>
      <c r="J1145" s="104"/>
      <c r="K1145" s="102"/>
      <c r="L1145" s="102"/>
      <c r="M1145" s="105"/>
      <c r="N1145" s="105"/>
      <c r="O1145" s="103"/>
      <c r="P1145" s="103"/>
      <c r="Q1145" s="103"/>
      <c r="R1145" s="103"/>
      <c r="S1145" s="103"/>
      <c r="T1145" s="103"/>
      <c r="U1145" s="103"/>
      <c r="V1145" s="103"/>
      <c r="W1145" s="103"/>
      <c r="X1145" s="103"/>
      <c r="Y1145" s="70"/>
      <c r="Z1145" s="70"/>
      <c r="AA1145" s="70"/>
      <c r="AB1145" s="70"/>
      <c r="AC1145" s="70"/>
      <c r="AD1145" s="70"/>
      <c r="AE1145" s="70"/>
      <c r="AF1145" s="70"/>
      <c r="AG1145" s="70"/>
      <c r="AH1145" s="70"/>
      <c r="AI1145" s="70"/>
      <c r="AJ1145" s="70"/>
      <c r="AK1145" s="70"/>
      <c r="AL1145" s="70"/>
      <c r="AM1145" s="70"/>
      <c r="AN1145" s="70"/>
      <c r="AO1145" s="70"/>
      <c r="AP1145" s="70"/>
      <c r="AQ1145" s="77"/>
      <c r="AR1145" s="77"/>
      <c r="AS1145" s="77"/>
      <c r="AT1145" s="77"/>
      <c r="AU1145" s="77"/>
      <c r="AV1145" s="77"/>
      <c r="AW1145" s="77"/>
      <c r="AX1145" s="77"/>
      <c r="AY1145" s="77"/>
      <c r="AZ1145" s="77"/>
      <c r="BA1145" s="77"/>
      <c r="BB1145" s="77"/>
      <c r="BC1145" s="77"/>
      <c r="BD1145" s="77"/>
      <c r="BE1145" s="77"/>
      <c r="BF1145" s="77"/>
      <c r="BG1145" s="77"/>
      <c r="BH1145" s="77"/>
      <c r="BI1145" s="77"/>
      <c r="BJ1145" s="77"/>
      <c r="BK1145" s="77"/>
      <c r="BL1145" s="77"/>
      <c r="BM1145" s="77"/>
    </row>
    <row r="1146">
      <c r="A1146" s="99" t="s">
        <v>69</v>
      </c>
      <c r="B1146" s="99" t="b">
        <v>0</v>
      </c>
      <c r="C1146" s="99" t="b">
        <v>0</v>
      </c>
      <c r="D1146" s="80"/>
      <c r="E1146" s="81"/>
      <c r="F1146" s="106"/>
      <c r="G1146" s="107"/>
      <c r="H1146" s="108"/>
      <c r="I1146" s="108"/>
      <c r="J1146" s="109"/>
      <c r="K1146" s="107"/>
      <c r="L1146" s="107"/>
      <c r="M1146" s="110"/>
      <c r="N1146" s="110"/>
      <c r="O1146" s="108"/>
      <c r="P1146" s="108"/>
      <c r="Q1146" s="108"/>
      <c r="R1146" s="108"/>
      <c r="S1146" s="108"/>
      <c r="T1146" s="108"/>
      <c r="U1146" s="108"/>
      <c r="V1146" s="108"/>
      <c r="W1146" s="108"/>
      <c r="X1146" s="108"/>
      <c r="Y1146" s="70"/>
      <c r="Z1146" s="70"/>
      <c r="AA1146" s="70"/>
      <c r="AB1146" s="70"/>
      <c r="AC1146" s="70"/>
      <c r="AD1146" s="70"/>
      <c r="AE1146" s="70"/>
      <c r="AF1146" s="70"/>
      <c r="AG1146" s="70"/>
      <c r="AH1146" s="70"/>
      <c r="AI1146" s="70"/>
      <c r="AJ1146" s="70"/>
      <c r="AK1146" s="70"/>
      <c r="AL1146" s="70"/>
      <c r="AM1146" s="70"/>
      <c r="AN1146" s="70"/>
      <c r="AO1146" s="70"/>
      <c r="AP1146" s="70"/>
      <c r="AQ1146" s="77"/>
      <c r="AR1146" s="77"/>
      <c r="AS1146" s="77"/>
      <c r="AT1146" s="77"/>
      <c r="AU1146" s="77"/>
      <c r="AV1146" s="77"/>
      <c r="AW1146" s="77"/>
      <c r="AX1146" s="77"/>
      <c r="AY1146" s="77"/>
      <c r="AZ1146" s="77"/>
      <c r="BA1146" s="77"/>
      <c r="BB1146" s="77"/>
      <c r="BC1146" s="77"/>
      <c r="BD1146" s="77"/>
      <c r="BE1146" s="77"/>
      <c r="BF1146" s="77"/>
      <c r="BG1146" s="77"/>
      <c r="BH1146" s="77"/>
      <c r="BI1146" s="77"/>
      <c r="BJ1146" s="77"/>
      <c r="BK1146" s="77"/>
      <c r="BL1146" s="77"/>
      <c r="BM1146" s="77"/>
    </row>
    <row r="1147">
      <c r="A1147" s="100" t="s">
        <v>69</v>
      </c>
      <c r="B1147" s="100" t="b">
        <v>0</v>
      </c>
      <c r="C1147" s="100" t="b">
        <v>0</v>
      </c>
      <c r="D1147" s="42"/>
      <c r="E1147" s="43"/>
      <c r="F1147" s="101"/>
      <c r="G1147" s="102"/>
      <c r="H1147" s="103"/>
      <c r="I1147" s="103"/>
      <c r="J1147" s="104"/>
      <c r="K1147" s="102"/>
      <c r="L1147" s="102"/>
      <c r="M1147" s="105"/>
      <c r="N1147" s="105"/>
      <c r="O1147" s="103"/>
      <c r="P1147" s="103"/>
      <c r="Q1147" s="103"/>
      <c r="R1147" s="103"/>
      <c r="S1147" s="103"/>
      <c r="T1147" s="103"/>
      <c r="U1147" s="103"/>
      <c r="V1147" s="103"/>
      <c r="W1147" s="103"/>
      <c r="X1147" s="103"/>
      <c r="Y1147" s="70"/>
      <c r="Z1147" s="70"/>
      <c r="AA1147" s="70"/>
      <c r="AB1147" s="70"/>
      <c r="AC1147" s="70"/>
      <c r="AD1147" s="70"/>
      <c r="AE1147" s="70"/>
      <c r="AF1147" s="70"/>
      <c r="AG1147" s="70"/>
      <c r="AH1147" s="70"/>
      <c r="AI1147" s="70"/>
      <c r="AJ1147" s="70"/>
      <c r="AK1147" s="70"/>
      <c r="AL1147" s="70"/>
      <c r="AM1147" s="70"/>
      <c r="AN1147" s="70"/>
      <c r="AO1147" s="70"/>
      <c r="AP1147" s="70"/>
      <c r="AQ1147" s="77"/>
      <c r="AR1147" s="77"/>
      <c r="AS1147" s="77"/>
      <c r="AT1147" s="77"/>
      <c r="AU1147" s="77"/>
      <c r="AV1147" s="77"/>
      <c r="AW1147" s="77"/>
      <c r="AX1147" s="77"/>
      <c r="AY1147" s="77"/>
      <c r="AZ1147" s="77"/>
      <c r="BA1147" s="77"/>
      <c r="BB1147" s="77"/>
      <c r="BC1147" s="77"/>
      <c r="BD1147" s="77"/>
      <c r="BE1147" s="77"/>
      <c r="BF1147" s="77"/>
      <c r="BG1147" s="77"/>
      <c r="BH1147" s="77"/>
      <c r="BI1147" s="77"/>
      <c r="BJ1147" s="77"/>
      <c r="BK1147" s="77"/>
      <c r="BL1147" s="77"/>
      <c r="BM1147" s="77"/>
    </row>
    <row r="1148">
      <c r="A1148" s="99" t="s">
        <v>69</v>
      </c>
      <c r="B1148" s="99" t="b">
        <v>0</v>
      </c>
      <c r="C1148" s="99" t="b">
        <v>0</v>
      </c>
      <c r="D1148" s="80"/>
      <c r="E1148" s="81"/>
      <c r="F1148" s="106"/>
      <c r="G1148" s="107"/>
      <c r="H1148" s="108"/>
      <c r="I1148" s="108"/>
      <c r="J1148" s="109"/>
      <c r="K1148" s="107"/>
      <c r="L1148" s="107"/>
      <c r="M1148" s="110"/>
      <c r="N1148" s="110"/>
      <c r="O1148" s="108"/>
      <c r="P1148" s="108"/>
      <c r="Q1148" s="108"/>
      <c r="R1148" s="108"/>
      <c r="S1148" s="108"/>
      <c r="T1148" s="108"/>
      <c r="U1148" s="108"/>
      <c r="V1148" s="108"/>
      <c r="W1148" s="108"/>
      <c r="X1148" s="108"/>
      <c r="Y1148" s="70"/>
      <c r="Z1148" s="70"/>
      <c r="AA1148" s="70"/>
      <c r="AB1148" s="70"/>
      <c r="AC1148" s="70"/>
      <c r="AD1148" s="70"/>
      <c r="AE1148" s="70"/>
      <c r="AF1148" s="70"/>
      <c r="AG1148" s="70"/>
      <c r="AH1148" s="70"/>
      <c r="AI1148" s="70"/>
      <c r="AJ1148" s="70"/>
      <c r="AK1148" s="70"/>
      <c r="AL1148" s="70"/>
      <c r="AM1148" s="70"/>
      <c r="AN1148" s="70"/>
      <c r="AO1148" s="70"/>
      <c r="AP1148" s="70"/>
      <c r="AQ1148" s="77"/>
      <c r="AR1148" s="77"/>
      <c r="AS1148" s="77"/>
      <c r="AT1148" s="77"/>
      <c r="AU1148" s="77"/>
      <c r="AV1148" s="77"/>
      <c r="AW1148" s="77"/>
      <c r="AX1148" s="77"/>
      <c r="AY1148" s="77"/>
      <c r="AZ1148" s="77"/>
      <c r="BA1148" s="77"/>
      <c r="BB1148" s="77"/>
      <c r="BC1148" s="77"/>
      <c r="BD1148" s="77"/>
      <c r="BE1148" s="77"/>
      <c r="BF1148" s="77"/>
      <c r="BG1148" s="77"/>
      <c r="BH1148" s="77"/>
      <c r="BI1148" s="77"/>
      <c r="BJ1148" s="77"/>
      <c r="BK1148" s="77"/>
      <c r="BL1148" s="77"/>
      <c r="BM1148" s="77"/>
    </row>
    <row r="1149">
      <c r="A1149" s="100" t="s">
        <v>69</v>
      </c>
      <c r="B1149" s="100" t="b">
        <v>0</v>
      </c>
      <c r="C1149" s="100" t="b">
        <v>0</v>
      </c>
      <c r="D1149" s="42"/>
      <c r="E1149" s="43"/>
      <c r="F1149" s="101"/>
      <c r="G1149" s="102"/>
      <c r="H1149" s="103"/>
      <c r="I1149" s="103"/>
      <c r="J1149" s="104"/>
      <c r="K1149" s="102"/>
      <c r="L1149" s="102"/>
      <c r="M1149" s="105"/>
      <c r="N1149" s="105"/>
      <c r="O1149" s="103"/>
      <c r="P1149" s="103"/>
      <c r="Q1149" s="103"/>
      <c r="R1149" s="103"/>
      <c r="S1149" s="103"/>
      <c r="T1149" s="103"/>
      <c r="U1149" s="103"/>
      <c r="V1149" s="103"/>
      <c r="W1149" s="103"/>
      <c r="X1149" s="103"/>
      <c r="Y1149" s="70"/>
      <c r="Z1149" s="70"/>
      <c r="AA1149" s="70"/>
      <c r="AB1149" s="70"/>
      <c r="AC1149" s="70"/>
      <c r="AD1149" s="70"/>
      <c r="AE1149" s="70"/>
      <c r="AF1149" s="70"/>
      <c r="AG1149" s="70"/>
      <c r="AH1149" s="70"/>
      <c r="AI1149" s="70"/>
      <c r="AJ1149" s="70"/>
      <c r="AK1149" s="70"/>
      <c r="AL1149" s="70"/>
      <c r="AM1149" s="70"/>
      <c r="AN1149" s="70"/>
      <c r="AO1149" s="70"/>
      <c r="AP1149" s="70"/>
      <c r="AQ1149" s="77"/>
      <c r="AR1149" s="77"/>
      <c r="AS1149" s="77"/>
      <c r="AT1149" s="77"/>
      <c r="AU1149" s="77"/>
      <c r="AV1149" s="77"/>
      <c r="AW1149" s="77"/>
      <c r="AX1149" s="77"/>
      <c r="AY1149" s="77"/>
      <c r="AZ1149" s="77"/>
      <c r="BA1149" s="77"/>
      <c r="BB1149" s="77"/>
      <c r="BC1149" s="77"/>
      <c r="BD1149" s="77"/>
      <c r="BE1149" s="77"/>
      <c r="BF1149" s="77"/>
      <c r="BG1149" s="77"/>
      <c r="BH1149" s="77"/>
      <c r="BI1149" s="77"/>
      <c r="BJ1149" s="77"/>
      <c r="BK1149" s="77"/>
      <c r="BL1149" s="77"/>
      <c r="BM1149" s="77"/>
    </row>
    <row r="1150">
      <c r="A1150" s="99" t="s">
        <v>69</v>
      </c>
      <c r="B1150" s="99" t="b">
        <v>0</v>
      </c>
      <c r="C1150" s="99" t="b">
        <v>0</v>
      </c>
      <c r="D1150" s="80"/>
      <c r="E1150" s="81"/>
      <c r="F1150" s="106"/>
      <c r="G1150" s="107"/>
      <c r="H1150" s="108"/>
      <c r="I1150" s="108"/>
      <c r="J1150" s="109"/>
      <c r="K1150" s="107"/>
      <c r="L1150" s="107"/>
      <c r="M1150" s="110"/>
      <c r="N1150" s="110"/>
      <c r="O1150" s="108"/>
      <c r="P1150" s="108"/>
      <c r="Q1150" s="108"/>
      <c r="R1150" s="108"/>
      <c r="S1150" s="108"/>
      <c r="T1150" s="108"/>
      <c r="U1150" s="108"/>
      <c r="V1150" s="108"/>
      <c r="W1150" s="108"/>
      <c r="X1150" s="108"/>
      <c r="Y1150" s="70"/>
      <c r="Z1150" s="70"/>
      <c r="AA1150" s="70"/>
      <c r="AB1150" s="70"/>
      <c r="AC1150" s="70"/>
      <c r="AD1150" s="70"/>
      <c r="AE1150" s="70"/>
      <c r="AF1150" s="70"/>
      <c r="AG1150" s="70"/>
      <c r="AH1150" s="70"/>
      <c r="AI1150" s="70"/>
      <c r="AJ1150" s="70"/>
      <c r="AK1150" s="70"/>
      <c r="AL1150" s="70"/>
      <c r="AM1150" s="70"/>
      <c r="AN1150" s="70"/>
      <c r="AO1150" s="70"/>
      <c r="AP1150" s="70"/>
      <c r="AQ1150" s="77"/>
      <c r="AR1150" s="77"/>
      <c r="AS1150" s="77"/>
      <c r="AT1150" s="77"/>
      <c r="AU1150" s="77"/>
      <c r="AV1150" s="77"/>
      <c r="AW1150" s="77"/>
      <c r="AX1150" s="77"/>
      <c r="AY1150" s="77"/>
      <c r="AZ1150" s="77"/>
      <c r="BA1150" s="77"/>
      <c r="BB1150" s="77"/>
      <c r="BC1150" s="77"/>
      <c r="BD1150" s="77"/>
      <c r="BE1150" s="77"/>
      <c r="BF1150" s="77"/>
      <c r="BG1150" s="77"/>
      <c r="BH1150" s="77"/>
      <c r="BI1150" s="77"/>
      <c r="BJ1150" s="77"/>
      <c r="BK1150" s="77"/>
      <c r="BL1150" s="77"/>
      <c r="BM1150" s="77"/>
    </row>
    <row r="1151">
      <c r="A1151" s="100" t="s">
        <v>69</v>
      </c>
      <c r="B1151" s="100" t="b">
        <v>0</v>
      </c>
      <c r="C1151" s="100" t="b">
        <v>0</v>
      </c>
      <c r="D1151" s="42"/>
      <c r="E1151" s="43"/>
      <c r="F1151" s="101"/>
      <c r="G1151" s="102"/>
      <c r="H1151" s="103"/>
      <c r="I1151" s="103"/>
      <c r="J1151" s="104"/>
      <c r="K1151" s="102"/>
      <c r="L1151" s="102"/>
      <c r="M1151" s="105"/>
      <c r="N1151" s="105"/>
      <c r="O1151" s="103"/>
      <c r="P1151" s="103"/>
      <c r="Q1151" s="103"/>
      <c r="R1151" s="103"/>
      <c r="S1151" s="103"/>
      <c r="T1151" s="103"/>
      <c r="U1151" s="103"/>
      <c r="V1151" s="103"/>
      <c r="W1151" s="103"/>
      <c r="X1151" s="103"/>
      <c r="Y1151" s="70"/>
      <c r="Z1151" s="70"/>
      <c r="AA1151" s="70"/>
      <c r="AB1151" s="70"/>
      <c r="AC1151" s="70"/>
      <c r="AD1151" s="70"/>
      <c r="AE1151" s="70"/>
      <c r="AF1151" s="70"/>
      <c r="AG1151" s="70"/>
      <c r="AH1151" s="70"/>
      <c r="AI1151" s="70"/>
      <c r="AJ1151" s="70"/>
      <c r="AK1151" s="70"/>
      <c r="AL1151" s="70"/>
      <c r="AM1151" s="70"/>
      <c r="AN1151" s="70"/>
      <c r="AO1151" s="70"/>
      <c r="AP1151" s="70"/>
      <c r="AQ1151" s="77"/>
      <c r="AR1151" s="77"/>
      <c r="AS1151" s="77"/>
      <c r="AT1151" s="77"/>
      <c r="AU1151" s="77"/>
      <c r="AV1151" s="77"/>
      <c r="AW1151" s="77"/>
      <c r="AX1151" s="77"/>
      <c r="AY1151" s="77"/>
      <c r="AZ1151" s="77"/>
      <c r="BA1151" s="77"/>
      <c r="BB1151" s="77"/>
      <c r="BC1151" s="77"/>
      <c r="BD1151" s="77"/>
      <c r="BE1151" s="77"/>
      <c r="BF1151" s="77"/>
      <c r="BG1151" s="77"/>
      <c r="BH1151" s="77"/>
      <c r="BI1151" s="77"/>
      <c r="BJ1151" s="77"/>
      <c r="BK1151" s="77"/>
      <c r="BL1151" s="77"/>
      <c r="BM1151" s="77"/>
    </row>
    <row r="1152">
      <c r="A1152" s="99" t="s">
        <v>69</v>
      </c>
      <c r="B1152" s="99" t="b">
        <v>0</v>
      </c>
      <c r="C1152" s="99" t="b">
        <v>0</v>
      </c>
      <c r="D1152" s="80"/>
      <c r="E1152" s="81"/>
      <c r="F1152" s="106"/>
      <c r="G1152" s="107"/>
      <c r="H1152" s="108"/>
      <c r="I1152" s="108"/>
      <c r="J1152" s="109"/>
      <c r="K1152" s="107"/>
      <c r="L1152" s="107"/>
      <c r="M1152" s="110"/>
      <c r="N1152" s="110"/>
      <c r="O1152" s="108"/>
      <c r="P1152" s="108"/>
      <c r="Q1152" s="108"/>
      <c r="R1152" s="108"/>
      <c r="S1152" s="108"/>
      <c r="T1152" s="108"/>
      <c r="U1152" s="108"/>
      <c r="V1152" s="108"/>
      <c r="W1152" s="108"/>
      <c r="X1152" s="108"/>
      <c r="Y1152" s="70"/>
      <c r="Z1152" s="70"/>
      <c r="AA1152" s="70"/>
      <c r="AB1152" s="70"/>
      <c r="AC1152" s="70"/>
      <c r="AD1152" s="70"/>
      <c r="AE1152" s="70"/>
      <c r="AF1152" s="70"/>
      <c r="AG1152" s="70"/>
      <c r="AH1152" s="70"/>
      <c r="AI1152" s="70"/>
      <c r="AJ1152" s="70"/>
      <c r="AK1152" s="70"/>
      <c r="AL1152" s="70"/>
      <c r="AM1152" s="70"/>
      <c r="AN1152" s="70"/>
      <c r="AO1152" s="70"/>
      <c r="AP1152" s="70"/>
      <c r="AQ1152" s="77"/>
      <c r="AR1152" s="77"/>
      <c r="AS1152" s="77"/>
      <c r="AT1152" s="77"/>
      <c r="AU1152" s="77"/>
      <c r="AV1152" s="77"/>
      <c r="AW1152" s="77"/>
      <c r="AX1152" s="77"/>
      <c r="AY1152" s="77"/>
      <c r="AZ1152" s="77"/>
      <c r="BA1152" s="77"/>
      <c r="BB1152" s="77"/>
      <c r="BC1152" s="77"/>
      <c r="BD1152" s="77"/>
      <c r="BE1152" s="77"/>
      <c r="BF1152" s="77"/>
      <c r="BG1152" s="77"/>
      <c r="BH1152" s="77"/>
      <c r="BI1152" s="77"/>
      <c r="BJ1152" s="77"/>
      <c r="BK1152" s="77"/>
      <c r="BL1152" s="77"/>
      <c r="BM1152" s="77"/>
    </row>
    <row r="1153">
      <c r="A1153" s="100" t="s">
        <v>69</v>
      </c>
      <c r="B1153" s="100" t="b">
        <v>0</v>
      </c>
      <c r="C1153" s="100" t="b">
        <v>0</v>
      </c>
      <c r="D1153" s="42"/>
      <c r="E1153" s="43"/>
      <c r="F1153" s="101"/>
      <c r="G1153" s="102"/>
      <c r="H1153" s="103"/>
      <c r="I1153" s="103"/>
      <c r="J1153" s="104"/>
      <c r="K1153" s="102"/>
      <c r="L1153" s="102"/>
      <c r="M1153" s="105"/>
      <c r="N1153" s="105"/>
      <c r="O1153" s="103"/>
      <c r="P1153" s="103"/>
      <c r="Q1153" s="103"/>
      <c r="R1153" s="103"/>
      <c r="S1153" s="103"/>
      <c r="T1153" s="103"/>
      <c r="U1153" s="103"/>
      <c r="V1153" s="103"/>
      <c r="W1153" s="103"/>
      <c r="X1153" s="103"/>
      <c r="Y1153" s="70"/>
      <c r="Z1153" s="70"/>
      <c r="AA1153" s="70"/>
      <c r="AB1153" s="70"/>
      <c r="AC1153" s="70"/>
      <c r="AD1153" s="70"/>
      <c r="AE1153" s="70"/>
      <c r="AF1153" s="70"/>
      <c r="AG1153" s="70"/>
      <c r="AH1153" s="70"/>
      <c r="AI1153" s="70"/>
      <c r="AJ1153" s="70"/>
      <c r="AK1153" s="70"/>
      <c r="AL1153" s="70"/>
      <c r="AM1153" s="70"/>
      <c r="AN1153" s="70"/>
      <c r="AO1153" s="70"/>
      <c r="AP1153" s="70"/>
      <c r="AQ1153" s="77"/>
      <c r="AR1153" s="77"/>
      <c r="AS1153" s="77"/>
      <c r="AT1153" s="77"/>
      <c r="AU1153" s="77"/>
      <c r="AV1153" s="77"/>
      <c r="AW1153" s="77"/>
      <c r="AX1153" s="77"/>
      <c r="AY1153" s="77"/>
      <c r="AZ1153" s="77"/>
      <c r="BA1153" s="77"/>
      <c r="BB1153" s="77"/>
      <c r="BC1153" s="77"/>
      <c r="BD1153" s="77"/>
      <c r="BE1153" s="77"/>
      <c r="BF1153" s="77"/>
      <c r="BG1153" s="77"/>
      <c r="BH1153" s="77"/>
      <c r="BI1153" s="77"/>
      <c r="BJ1153" s="77"/>
      <c r="BK1153" s="77"/>
      <c r="BL1153" s="77"/>
      <c r="BM1153" s="77"/>
    </row>
    <row r="1154">
      <c r="A1154" s="99" t="s">
        <v>69</v>
      </c>
      <c r="B1154" s="99" t="b">
        <v>0</v>
      </c>
      <c r="C1154" s="99" t="b">
        <v>0</v>
      </c>
      <c r="D1154" s="80"/>
      <c r="E1154" s="81"/>
      <c r="F1154" s="106"/>
      <c r="G1154" s="107"/>
      <c r="H1154" s="108"/>
      <c r="I1154" s="108"/>
      <c r="J1154" s="109"/>
      <c r="K1154" s="107"/>
      <c r="L1154" s="107"/>
      <c r="M1154" s="110"/>
      <c r="N1154" s="110"/>
      <c r="O1154" s="108"/>
      <c r="P1154" s="108"/>
      <c r="Q1154" s="108"/>
      <c r="R1154" s="108"/>
      <c r="S1154" s="108"/>
      <c r="T1154" s="108"/>
      <c r="U1154" s="108"/>
      <c r="V1154" s="108"/>
      <c r="W1154" s="108"/>
      <c r="X1154" s="108"/>
      <c r="Y1154" s="70"/>
      <c r="Z1154" s="70"/>
      <c r="AA1154" s="70"/>
      <c r="AB1154" s="70"/>
      <c r="AC1154" s="70"/>
      <c r="AD1154" s="70"/>
      <c r="AE1154" s="70"/>
      <c r="AF1154" s="70"/>
      <c r="AG1154" s="70"/>
      <c r="AH1154" s="70"/>
      <c r="AI1154" s="70"/>
      <c r="AJ1154" s="70"/>
      <c r="AK1154" s="70"/>
      <c r="AL1154" s="70"/>
      <c r="AM1154" s="70"/>
      <c r="AN1154" s="70"/>
      <c r="AO1154" s="70"/>
      <c r="AP1154" s="70"/>
      <c r="AQ1154" s="77"/>
      <c r="AR1154" s="77"/>
      <c r="AS1154" s="77"/>
      <c r="AT1154" s="77"/>
      <c r="AU1154" s="77"/>
      <c r="AV1154" s="77"/>
      <c r="AW1154" s="77"/>
      <c r="AX1154" s="77"/>
      <c r="AY1154" s="77"/>
      <c r="AZ1154" s="77"/>
      <c r="BA1154" s="77"/>
      <c r="BB1154" s="77"/>
      <c r="BC1154" s="77"/>
      <c r="BD1154" s="77"/>
      <c r="BE1154" s="77"/>
      <c r="BF1154" s="77"/>
      <c r="BG1154" s="77"/>
      <c r="BH1154" s="77"/>
      <c r="BI1154" s="77"/>
      <c r="BJ1154" s="77"/>
      <c r="BK1154" s="77"/>
      <c r="BL1154" s="77"/>
      <c r="BM1154" s="77"/>
    </row>
    <row r="1155">
      <c r="A1155" s="100" t="s">
        <v>69</v>
      </c>
      <c r="B1155" s="100" t="b">
        <v>0</v>
      </c>
      <c r="C1155" s="100" t="b">
        <v>0</v>
      </c>
      <c r="D1155" s="42"/>
      <c r="E1155" s="43"/>
      <c r="F1155" s="101"/>
      <c r="G1155" s="102"/>
      <c r="H1155" s="103"/>
      <c r="I1155" s="103"/>
      <c r="J1155" s="104"/>
      <c r="K1155" s="102"/>
      <c r="L1155" s="102"/>
      <c r="M1155" s="105"/>
      <c r="N1155" s="105"/>
      <c r="O1155" s="103"/>
      <c r="P1155" s="103"/>
      <c r="Q1155" s="103"/>
      <c r="R1155" s="103"/>
      <c r="S1155" s="103"/>
      <c r="T1155" s="103"/>
      <c r="U1155" s="103"/>
      <c r="V1155" s="103"/>
      <c r="W1155" s="103"/>
      <c r="X1155" s="103"/>
      <c r="Y1155" s="70"/>
      <c r="Z1155" s="70"/>
      <c r="AA1155" s="70"/>
      <c r="AB1155" s="70"/>
      <c r="AC1155" s="70"/>
      <c r="AD1155" s="70"/>
      <c r="AE1155" s="70"/>
      <c r="AF1155" s="70"/>
      <c r="AG1155" s="70"/>
      <c r="AH1155" s="70"/>
      <c r="AI1155" s="70"/>
      <c r="AJ1155" s="70"/>
      <c r="AK1155" s="70"/>
      <c r="AL1155" s="70"/>
      <c r="AM1155" s="70"/>
      <c r="AN1155" s="70"/>
      <c r="AO1155" s="70"/>
      <c r="AP1155" s="70"/>
      <c r="AQ1155" s="77"/>
      <c r="AR1155" s="77"/>
      <c r="AS1155" s="77"/>
      <c r="AT1155" s="77"/>
      <c r="AU1155" s="77"/>
      <c r="AV1155" s="77"/>
      <c r="AW1155" s="77"/>
      <c r="AX1155" s="77"/>
      <c r="AY1155" s="77"/>
      <c r="AZ1155" s="77"/>
      <c r="BA1155" s="77"/>
      <c r="BB1155" s="77"/>
      <c r="BC1155" s="77"/>
      <c r="BD1155" s="77"/>
      <c r="BE1155" s="77"/>
      <c r="BF1155" s="77"/>
      <c r="BG1155" s="77"/>
      <c r="BH1155" s="77"/>
      <c r="BI1155" s="77"/>
      <c r="BJ1155" s="77"/>
      <c r="BK1155" s="77"/>
      <c r="BL1155" s="77"/>
      <c r="BM1155" s="77"/>
    </row>
    <row r="1156">
      <c r="A1156" s="99" t="s">
        <v>69</v>
      </c>
      <c r="B1156" s="99" t="b">
        <v>0</v>
      </c>
      <c r="C1156" s="99" t="b">
        <v>0</v>
      </c>
      <c r="D1156" s="80"/>
      <c r="E1156" s="81"/>
      <c r="F1156" s="106"/>
      <c r="G1156" s="107"/>
      <c r="H1156" s="108"/>
      <c r="I1156" s="108"/>
      <c r="J1156" s="109"/>
      <c r="K1156" s="107"/>
      <c r="L1156" s="107"/>
      <c r="M1156" s="110"/>
      <c r="N1156" s="110"/>
      <c r="O1156" s="108"/>
      <c r="P1156" s="108"/>
      <c r="Q1156" s="108"/>
      <c r="R1156" s="108"/>
      <c r="S1156" s="108"/>
      <c r="T1156" s="108"/>
      <c r="U1156" s="108"/>
      <c r="V1156" s="108"/>
      <c r="W1156" s="108"/>
      <c r="X1156" s="108"/>
      <c r="Y1156" s="70"/>
      <c r="Z1156" s="70"/>
      <c r="AA1156" s="70"/>
      <c r="AB1156" s="70"/>
      <c r="AC1156" s="70"/>
      <c r="AD1156" s="70"/>
      <c r="AE1156" s="70"/>
      <c r="AF1156" s="70"/>
      <c r="AG1156" s="70"/>
      <c r="AH1156" s="70"/>
      <c r="AI1156" s="70"/>
      <c r="AJ1156" s="70"/>
      <c r="AK1156" s="70"/>
      <c r="AL1156" s="70"/>
      <c r="AM1156" s="70"/>
      <c r="AN1156" s="70"/>
      <c r="AO1156" s="70"/>
      <c r="AP1156" s="70"/>
      <c r="AQ1156" s="77"/>
      <c r="AR1156" s="77"/>
      <c r="AS1156" s="77"/>
      <c r="AT1156" s="77"/>
      <c r="AU1156" s="77"/>
      <c r="AV1156" s="77"/>
      <c r="AW1156" s="77"/>
      <c r="AX1156" s="77"/>
      <c r="AY1156" s="77"/>
      <c r="AZ1156" s="77"/>
      <c r="BA1156" s="77"/>
      <c r="BB1156" s="77"/>
      <c r="BC1156" s="77"/>
      <c r="BD1156" s="77"/>
      <c r="BE1156" s="77"/>
      <c r="BF1156" s="77"/>
      <c r="BG1156" s="77"/>
      <c r="BH1156" s="77"/>
      <c r="BI1156" s="77"/>
      <c r="BJ1156" s="77"/>
      <c r="BK1156" s="77"/>
      <c r="BL1156" s="77"/>
      <c r="BM1156" s="77"/>
    </row>
    <row r="1157">
      <c r="A1157" s="100" t="s">
        <v>69</v>
      </c>
      <c r="B1157" s="100" t="b">
        <v>0</v>
      </c>
      <c r="C1157" s="100" t="b">
        <v>0</v>
      </c>
      <c r="D1157" s="42"/>
      <c r="E1157" s="43"/>
      <c r="F1157" s="101"/>
      <c r="G1157" s="102"/>
      <c r="H1157" s="103"/>
      <c r="I1157" s="103"/>
      <c r="J1157" s="104"/>
      <c r="K1157" s="102"/>
      <c r="L1157" s="102"/>
      <c r="M1157" s="105"/>
      <c r="N1157" s="105"/>
      <c r="O1157" s="103"/>
      <c r="P1157" s="103"/>
      <c r="Q1157" s="103"/>
      <c r="R1157" s="103"/>
      <c r="S1157" s="103"/>
      <c r="T1157" s="103"/>
      <c r="U1157" s="103"/>
      <c r="V1157" s="103"/>
      <c r="W1157" s="103"/>
      <c r="X1157" s="103"/>
      <c r="Y1157" s="70"/>
      <c r="Z1157" s="70"/>
      <c r="AA1157" s="70"/>
      <c r="AB1157" s="70"/>
      <c r="AC1157" s="70"/>
      <c r="AD1157" s="70"/>
      <c r="AE1157" s="70"/>
      <c r="AF1157" s="70"/>
      <c r="AG1157" s="70"/>
      <c r="AH1157" s="70"/>
      <c r="AI1157" s="70"/>
      <c r="AJ1157" s="70"/>
      <c r="AK1157" s="70"/>
      <c r="AL1157" s="70"/>
      <c r="AM1157" s="70"/>
      <c r="AN1157" s="70"/>
      <c r="AO1157" s="70"/>
      <c r="AP1157" s="70"/>
      <c r="AQ1157" s="77"/>
      <c r="AR1157" s="77"/>
      <c r="AS1157" s="77"/>
      <c r="AT1157" s="77"/>
      <c r="AU1157" s="77"/>
      <c r="AV1157" s="77"/>
      <c r="AW1157" s="77"/>
      <c r="AX1157" s="77"/>
      <c r="AY1157" s="77"/>
      <c r="AZ1157" s="77"/>
      <c r="BA1157" s="77"/>
      <c r="BB1157" s="77"/>
      <c r="BC1157" s="77"/>
      <c r="BD1157" s="77"/>
      <c r="BE1157" s="77"/>
      <c r="BF1157" s="77"/>
      <c r="BG1157" s="77"/>
      <c r="BH1157" s="77"/>
      <c r="BI1157" s="77"/>
      <c r="BJ1157" s="77"/>
      <c r="BK1157" s="77"/>
      <c r="BL1157" s="77"/>
      <c r="BM1157" s="77"/>
    </row>
    <row r="1158">
      <c r="A1158" s="99" t="s">
        <v>69</v>
      </c>
      <c r="B1158" s="99" t="b">
        <v>0</v>
      </c>
      <c r="C1158" s="99" t="b">
        <v>0</v>
      </c>
      <c r="D1158" s="80"/>
      <c r="E1158" s="81"/>
      <c r="F1158" s="106"/>
      <c r="G1158" s="107"/>
      <c r="H1158" s="108"/>
      <c r="I1158" s="108"/>
      <c r="J1158" s="109"/>
      <c r="K1158" s="107"/>
      <c r="L1158" s="107"/>
      <c r="M1158" s="110"/>
      <c r="N1158" s="110"/>
      <c r="O1158" s="108"/>
      <c r="P1158" s="108"/>
      <c r="Q1158" s="108"/>
      <c r="R1158" s="108"/>
      <c r="S1158" s="108"/>
      <c r="T1158" s="108"/>
      <c r="U1158" s="108"/>
      <c r="V1158" s="108"/>
      <c r="W1158" s="108"/>
      <c r="X1158" s="108"/>
      <c r="Y1158" s="70"/>
      <c r="Z1158" s="70"/>
      <c r="AA1158" s="70"/>
      <c r="AB1158" s="70"/>
      <c r="AC1158" s="70"/>
      <c r="AD1158" s="70"/>
      <c r="AE1158" s="70"/>
      <c r="AF1158" s="70"/>
      <c r="AG1158" s="70"/>
      <c r="AH1158" s="70"/>
      <c r="AI1158" s="70"/>
      <c r="AJ1158" s="70"/>
      <c r="AK1158" s="70"/>
      <c r="AL1158" s="70"/>
      <c r="AM1158" s="70"/>
      <c r="AN1158" s="70"/>
      <c r="AO1158" s="70"/>
      <c r="AP1158" s="70"/>
      <c r="AQ1158" s="77"/>
      <c r="AR1158" s="77"/>
      <c r="AS1158" s="77"/>
      <c r="AT1158" s="77"/>
      <c r="AU1158" s="77"/>
      <c r="AV1158" s="77"/>
      <c r="AW1158" s="77"/>
      <c r="AX1158" s="77"/>
      <c r="AY1158" s="77"/>
      <c r="AZ1158" s="77"/>
      <c r="BA1158" s="77"/>
      <c r="BB1158" s="77"/>
      <c r="BC1158" s="77"/>
      <c r="BD1158" s="77"/>
      <c r="BE1158" s="77"/>
      <c r="BF1158" s="77"/>
      <c r="BG1158" s="77"/>
      <c r="BH1158" s="77"/>
      <c r="BI1158" s="77"/>
      <c r="BJ1158" s="77"/>
      <c r="BK1158" s="77"/>
      <c r="BL1158" s="77"/>
      <c r="BM1158" s="77"/>
    </row>
    <row r="1159">
      <c r="A1159" s="100" t="s">
        <v>69</v>
      </c>
      <c r="B1159" s="100" t="b">
        <v>0</v>
      </c>
      <c r="C1159" s="100" t="b">
        <v>0</v>
      </c>
      <c r="D1159" s="42"/>
      <c r="E1159" s="43"/>
      <c r="F1159" s="101"/>
      <c r="G1159" s="102"/>
      <c r="H1159" s="103"/>
      <c r="I1159" s="103"/>
      <c r="J1159" s="104"/>
      <c r="K1159" s="102"/>
      <c r="L1159" s="102"/>
      <c r="M1159" s="105"/>
      <c r="N1159" s="105"/>
      <c r="O1159" s="103"/>
      <c r="P1159" s="103"/>
      <c r="Q1159" s="103"/>
      <c r="R1159" s="103"/>
      <c r="S1159" s="103"/>
      <c r="T1159" s="103"/>
      <c r="U1159" s="103"/>
      <c r="V1159" s="103"/>
      <c r="W1159" s="103"/>
      <c r="X1159" s="103"/>
      <c r="Y1159" s="70"/>
      <c r="Z1159" s="70"/>
      <c r="AA1159" s="70"/>
      <c r="AB1159" s="70"/>
      <c r="AC1159" s="70"/>
      <c r="AD1159" s="70"/>
      <c r="AE1159" s="70"/>
      <c r="AF1159" s="70"/>
      <c r="AG1159" s="70"/>
      <c r="AH1159" s="70"/>
      <c r="AI1159" s="70"/>
      <c r="AJ1159" s="70"/>
      <c r="AK1159" s="70"/>
      <c r="AL1159" s="70"/>
      <c r="AM1159" s="70"/>
      <c r="AN1159" s="70"/>
      <c r="AO1159" s="70"/>
      <c r="AP1159" s="70"/>
      <c r="AQ1159" s="77"/>
      <c r="AR1159" s="77"/>
      <c r="AS1159" s="77"/>
      <c r="AT1159" s="77"/>
      <c r="AU1159" s="77"/>
      <c r="AV1159" s="77"/>
      <c r="AW1159" s="77"/>
      <c r="AX1159" s="77"/>
      <c r="AY1159" s="77"/>
      <c r="AZ1159" s="77"/>
      <c r="BA1159" s="77"/>
      <c r="BB1159" s="77"/>
      <c r="BC1159" s="77"/>
      <c r="BD1159" s="77"/>
      <c r="BE1159" s="77"/>
      <c r="BF1159" s="77"/>
      <c r="BG1159" s="77"/>
      <c r="BH1159" s="77"/>
      <c r="BI1159" s="77"/>
      <c r="BJ1159" s="77"/>
      <c r="BK1159" s="77"/>
      <c r="BL1159" s="77"/>
      <c r="BM1159" s="77"/>
    </row>
    <row r="1160">
      <c r="A1160" s="99" t="s">
        <v>69</v>
      </c>
      <c r="B1160" s="99" t="b">
        <v>0</v>
      </c>
      <c r="C1160" s="99" t="b">
        <v>0</v>
      </c>
      <c r="D1160" s="80"/>
      <c r="E1160" s="81"/>
      <c r="F1160" s="106"/>
      <c r="G1160" s="107"/>
      <c r="H1160" s="108"/>
      <c r="I1160" s="108"/>
      <c r="J1160" s="109"/>
      <c r="K1160" s="107"/>
      <c r="L1160" s="107"/>
      <c r="M1160" s="110"/>
      <c r="N1160" s="110"/>
      <c r="O1160" s="108"/>
      <c r="P1160" s="108"/>
      <c r="Q1160" s="108"/>
      <c r="R1160" s="108"/>
      <c r="S1160" s="108"/>
      <c r="T1160" s="108"/>
      <c r="U1160" s="108"/>
      <c r="V1160" s="108"/>
      <c r="W1160" s="108"/>
      <c r="X1160" s="108"/>
      <c r="Y1160" s="70"/>
      <c r="Z1160" s="70"/>
      <c r="AA1160" s="70"/>
      <c r="AB1160" s="70"/>
      <c r="AC1160" s="70"/>
      <c r="AD1160" s="70"/>
      <c r="AE1160" s="70"/>
      <c r="AF1160" s="70"/>
      <c r="AG1160" s="70"/>
      <c r="AH1160" s="70"/>
      <c r="AI1160" s="70"/>
      <c r="AJ1160" s="70"/>
      <c r="AK1160" s="70"/>
      <c r="AL1160" s="70"/>
      <c r="AM1160" s="70"/>
      <c r="AN1160" s="70"/>
      <c r="AO1160" s="70"/>
      <c r="AP1160" s="70"/>
      <c r="AQ1160" s="77"/>
      <c r="AR1160" s="77"/>
      <c r="AS1160" s="77"/>
      <c r="AT1160" s="77"/>
      <c r="AU1160" s="77"/>
      <c r="AV1160" s="77"/>
      <c r="AW1160" s="77"/>
      <c r="AX1160" s="77"/>
      <c r="AY1160" s="77"/>
      <c r="AZ1160" s="77"/>
      <c r="BA1160" s="77"/>
      <c r="BB1160" s="77"/>
      <c r="BC1160" s="77"/>
      <c r="BD1160" s="77"/>
      <c r="BE1160" s="77"/>
      <c r="BF1160" s="77"/>
      <c r="BG1160" s="77"/>
      <c r="BH1160" s="77"/>
      <c r="BI1160" s="77"/>
      <c r="BJ1160" s="77"/>
      <c r="BK1160" s="77"/>
      <c r="BL1160" s="77"/>
      <c r="BM1160" s="77"/>
    </row>
    <row r="1161">
      <c r="A1161" s="100" t="s">
        <v>69</v>
      </c>
      <c r="B1161" s="100" t="b">
        <v>0</v>
      </c>
      <c r="C1161" s="100" t="b">
        <v>0</v>
      </c>
      <c r="D1161" s="42"/>
      <c r="E1161" s="43"/>
      <c r="F1161" s="101"/>
      <c r="G1161" s="102"/>
      <c r="H1161" s="103"/>
      <c r="I1161" s="103"/>
      <c r="J1161" s="104"/>
      <c r="K1161" s="102"/>
      <c r="L1161" s="102"/>
      <c r="M1161" s="105"/>
      <c r="N1161" s="105"/>
      <c r="O1161" s="103"/>
      <c r="P1161" s="103"/>
      <c r="Q1161" s="103"/>
      <c r="R1161" s="103"/>
      <c r="S1161" s="103"/>
      <c r="T1161" s="103"/>
      <c r="U1161" s="103"/>
      <c r="V1161" s="103"/>
      <c r="W1161" s="103"/>
      <c r="X1161" s="103"/>
      <c r="Y1161" s="70"/>
      <c r="Z1161" s="70"/>
      <c r="AA1161" s="70"/>
      <c r="AB1161" s="70"/>
      <c r="AC1161" s="70"/>
      <c r="AD1161" s="70"/>
      <c r="AE1161" s="70"/>
      <c r="AF1161" s="70"/>
      <c r="AG1161" s="70"/>
      <c r="AH1161" s="70"/>
      <c r="AI1161" s="70"/>
      <c r="AJ1161" s="70"/>
      <c r="AK1161" s="70"/>
      <c r="AL1161" s="70"/>
      <c r="AM1161" s="70"/>
      <c r="AN1161" s="70"/>
      <c r="AO1161" s="70"/>
      <c r="AP1161" s="70"/>
      <c r="AQ1161" s="77"/>
      <c r="AR1161" s="77"/>
      <c r="AS1161" s="77"/>
      <c r="AT1161" s="77"/>
      <c r="AU1161" s="77"/>
      <c r="AV1161" s="77"/>
      <c r="AW1161" s="77"/>
      <c r="AX1161" s="77"/>
      <c r="AY1161" s="77"/>
      <c r="AZ1161" s="77"/>
      <c r="BA1161" s="77"/>
      <c r="BB1161" s="77"/>
      <c r="BC1161" s="77"/>
      <c r="BD1161" s="77"/>
      <c r="BE1161" s="77"/>
      <c r="BF1161" s="77"/>
      <c r="BG1161" s="77"/>
      <c r="BH1161" s="77"/>
      <c r="BI1161" s="77"/>
      <c r="BJ1161" s="77"/>
      <c r="BK1161" s="77"/>
      <c r="BL1161" s="77"/>
      <c r="BM1161" s="77"/>
    </row>
    <row r="1162">
      <c r="A1162" s="99" t="s">
        <v>69</v>
      </c>
      <c r="B1162" s="99" t="b">
        <v>0</v>
      </c>
      <c r="C1162" s="99" t="b">
        <v>0</v>
      </c>
      <c r="D1162" s="80"/>
      <c r="E1162" s="81"/>
      <c r="F1162" s="106"/>
      <c r="G1162" s="107"/>
      <c r="H1162" s="108"/>
      <c r="I1162" s="108"/>
      <c r="J1162" s="109"/>
      <c r="K1162" s="107"/>
      <c r="L1162" s="107"/>
      <c r="M1162" s="110"/>
      <c r="N1162" s="110"/>
      <c r="O1162" s="108"/>
      <c r="P1162" s="108"/>
      <c r="Q1162" s="108"/>
      <c r="R1162" s="108"/>
      <c r="S1162" s="108"/>
      <c r="T1162" s="108"/>
      <c r="U1162" s="108"/>
      <c r="V1162" s="108"/>
      <c r="W1162" s="108"/>
      <c r="X1162" s="108"/>
      <c r="Y1162" s="70"/>
      <c r="Z1162" s="70"/>
      <c r="AA1162" s="70"/>
      <c r="AB1162" s="70"/>
      <c r="AC1162" s="70"/>
      <c r="AD1162" s="70"/>
      <c r="AE1162" s="70"/>
      <c r="AF1162" s="70"/>
      <c r="AG1162" s="70"/>
      <c r="AH1162" s="70"/>
      <c r="AI1162" s="70"/>
      <c r="AJ1162" s="70"/>
      <c r="AK1162" s="70"/>
      <c r="AL1162" s="70"/>
      <c r="AM1162" s="70"/>
      <c r="AN1162" s="70"/>
      <c r="AO1162" s="70"/>
      <c r="AP1162" s="70"/>
      <c r="AQ1162" s="77"/>
      <c r="AR1162" s="77"/>
      <c r="AS1162" s="77"/>
      <c r="AT1162" s="77"/>
      <c r="AU1162" s="77"/>
      <c r="AV1162" s="77"/>
      <c r="AW1162" s="77"/>
      <c r="AX1162" s="77"/>
      <c r="AY1162" s="77"/>
      <c r="AZ1162" s="77"/>
      <c r="BA1162" s="77"/>
      <c r="BB1162" s="77"/>
      <c r="BC1162" s="77"/>
      <c r="BD1162" s="77"/>
      <c r="BE1162" s="77"/>
      <c r="BF1162" s="77"/>
      <c r="BG1162" s="77"/>
      <c r="BH1162" s="77"/>
      <c r="BI1162" s="77"/>
      <c r="BJ1162" s="77"/>
      <c r="BK1162" s="77"/>
      <c r="BL1162" s="77"/>
      <c r="BM1162" s="77"/>
    </row>
    <row r="1163">
      <c r="A1163" s="100" t="s">
        <v>69</v>
      </c>
      <c r="B1163" s="100" t="b">
        <v>0</v>
      </c>
      <c r="C1163" s="100" t="b">
        <v>0</v>
      </c>
      <c r="D1163" s="42"/>
      <c r="E1163" s="43"/>
      <c r="F1163" s="101"/>
      <c r="G1163" s="102"/>
      <c r="H1163" s="103"/>
      <c r="I1163" s="103"/>
      <c r="J1163" s="104"/>
      <c r="K1163" s="102"/>
      <c r="L1163" s="102"/>
      <c r="M1163" s="105"/>
      <c r="N1163" s="105"/>
      <c r="O1163" s="103"/>
      <c r="P1163" s="103"/>
      <c r="Q1163" s="103"/>
      <c r="R1163" s="103"/>
      <c r="S1163" s="103"/>
      <c r="T1163" s="103"/>
      <c r="U1163" s="103"/>
      <c r="V1163" s="103"/>
      <c r="W1163" s="103"/>
      <c r="X1163" s="103"/>
      <c r="Y1163" s="70"/>
      <c r="Z1163" s="70"/>
      <c r="AA1163" s="70"/>
      <c r="AB1163" s="70"/>
      <c r="AC1163" s="70"/>
      <c r="AD1163" s="70"/>
      <c r="AE1163" s="70"/>
      <c r="AF1163" s="70"/>
      <c r="AG1163" s="70"/>
      <c r="AH1163" s="70"/>
      <c r="AI1163" s="70"/>
      <c r="AJ1163" s="70"/>
      <c r="AK1163" s="70"/>
      <c r="AL1163" s="70"/>
      <c r="AM1163" s="70"/>
      <c r="AN1163" s="70"/>
      <c r="AO1163" s="70"/>
      <c r="AP1163" s="70"/>
      <c r="AQ1163" s="77"/>
      <c r="AR1163" s="77"/>
      <c r="AS1163" s="77"/>
      <c r="AT1163" s="77"/>
      <c r="AU1163" s="77"/>
      <c r="AV1163" s="77"/>
      <c r="AW1163" s="77"/>
      <c r="AX1163" s="77"/>
      <c r="AY1163" s="77"/>
      <c r="AZ1163" s="77"/>
      <c r="BA1163" s="77"/>
      <c r="BB1163" s="77"/>
      <c r="BC1163" s="77"/>
      <c r="BD1163" s="77"/>
      <c r="BE1163" s="77"/>
      <c r="BF1163" s="77"/>
      <c r="BG1163" s="77"/>
      <c r="BH1163" s="77"/>
      <c r="BI1163" s="77"/>
      <c r="BJ1163" s="77"/>
      <c r="BK1163" s="77"/>
      <c r="BL1163" s="77"/>
      <c r="BM1163" s="77"/>
    </row>
    <row r="1164">
      <c r="A1164" s="99" t="s">
        <v>69</v>
      </c>
      <c r="B1164" s="99" t="b">
        <v>0</v>
      </c>
      <c r="C1164" s="99" t="b">
        <v>0</v>
      </c>
      <c r="D1164" s="80"/>
      <c r="E1164" s="81"/>
      <c r="F1164" s="106"/>
      <c r="G1164" s="107"/>
      <c r="H1164" s="108"/>
      <c r="I1164" s="108"/>
      <c r="J1164" s="109"/>
      <c r="K1164" s="107"/>
      <c r="L1164" s="107"/>
      <c r="M1164" s="110"/>
      <c r="N1164" s="110"/>
      <c r="O1164" s="108"/>
      <c r="P1164" s="108"/>
      <c r="Q1164" s="108"/>
      <c r="R1164" s="108"/>
      <c r="S1164" s="108"/>
      <c r="T1164" s="108"/>
      <c r="U1164" s="108"/>
      <c r="V1164" s="108"/>
      <c r="W1164" s="108"/>
      <c r="X1164" s="108"/>
      <c r="Y1164" s="70"/>
      <c r="Z1164" s="70"/>
      <c r="AA1164" s="70"/>
      <c r="AB1164" s="70"/>
      <c r="AC1164" s="70"/>
      <c r="AD1164" s="70"/>
      <c r="AE1164" s="70"/>
      <c r="AF1164" s="70"/>
      <c r="AG1164" s="70"/>
      <c r="AH1164" s="70"/>
      <c r="AI1164" s="70"/>
      <c r="AJ1164" s="70"/>
      <c r="AK1164" s="70"/>
      <c r="AL1164" s="70"/>
      <c r="AM1164" s="70"/>
      <c r="AN1164" s="70"/>
      <c r="AO1164" s="70"/>
      <c r="AP1164" s="70"/>
      <c r="AQ1164" s="77"/>
      <c r="AR1164" s="77"/>
      <c r="AS1164" s="77"/>
      <c r="AT1164" s="77"/>
      <c r="AU1164" s="77"/>
      <c r="AV1164" s="77"/>
      <c r="AW1164" s="77"/>
      <c r="AX1164" s="77"/>
      <c r="AY1164" s="77"/>
      <c r="AZ1164" s="77"/>
      <c r="BA1164" s="77"/>
      <c r="BB1164" s="77"/>
      <c r="BC1164" s="77"/>
      <c r="BD1164" s="77"/>
      <c r="BE1164" s="77"/>
      <c r="BF1164" s="77"/>
      <c r="BG1164" s="77"/>
      <c r="BH1164" s="77"/>
      <c r="BI1164" s="77"/>
      <c r="BJ1164" s="77"/>
      <c r="BK1164" s="77"/>
      <c r="BL1164" s="77"/>
      <c r="BM1164" s="77"/>
    </row>
    <row r="1165">
      <c r="A1165" s="100" t="s">
        <v>69</v>
      </c>
      <c r="B1165" s="100" t="b">
        <v>0</v>
      </c>
      <c r="C1165" s="100" t="b">
        <v>0</v>
      </c>
      <c r="D1165" s="42"/>
      <c r="E1165" s="43"/>
      <c r="F1165" s="101"/>
      <c r="G1165" s="102"/>
      <c r="H1165" s="103"/>
      <c r="I1165" s="103"/>
      <c r="J1165" s="104"/>
      <c r="K1165" s="102"/>
      <c r="L1165" s="102"/>
      <c r="M1165" s="105"/>
      <c r="N1165" s="105"/>
      <c r="O1165" s="103"/>
      <c r="P1165" s="103"/>
      <c r="Q1165" s="103"/>
      <c r="R1165" s="103"/>
      <c r="S1165" s="103"/>
      <c r="T1165" s="103"/>
      <c r="U1165" s="103"/>
      <c r="V1165" s="103"/>
      <c r="W1165" s="103"/>
      <c r="X1165" s="103"/>
      <c r="Y1165" s="70"/>
      <c r="Z1165" s="70"/>
      <c r="AA1165" s="70"/>
      <c r="AB1165" s="70"/>
      <c r="AC1165" s="70"/>
      <c r="AD1165" s="70"/>
      <c r="AE1165" s="70"/>
      <c r="AF1165" s="70"/>
      <c r="AG1165" s="70"/>
      <c r="AH1165" s="70"/>
      <c r="AI1165" s="70"/>
      <c r="AJ1165" s="70"/>
      <c r="AK1165" s="70"/>
      <c r="AL1165" s="70"/>
      <c r="AM1165" s="70"/>
      <c r="AN1165" s="70"/>
      <c r="AO1165" s="70"/>
      <c r="AP1165" s="70"/>
      <c r="AQ1165" s="77"/>
      <c r="AR1165" s="77"/>
      <c r="AS1165" s="77"/>
      <c r="AT1165" s="77"/>
      <c r="AU1165" s="77"/>
      <c r="AV1165" s="77"/>
      <c r="AW1165" s="77"/>
      <c r="AX1165" s="77"/>
      <c r="AY1165" s="77"/>
      <c r="AZ1165" s="77"/>
      <c r="BA1165" s="77"/>
      <c r="BB1165" s="77"/>
      <c r="BC1165" s="77"/>
      <c r="BD1165" s="77"/>
      <c r="BE1165" s="77"/>
      <c r="BF1165" s="77"/>
      <c r="BG1165" s="77"/>
      <c r="BH1165" s="77"/>
      <c r="BI1165" s="77"/>
      <c r="BJ1165" s="77"/>
      <c r="BK1165" s="77"/>
      <c r="BL1165" s="77"/>
      <c r="BM1165" s="77"/>
    </row>
    <row r="1166">
      <c r="A1166" s="99" t="s">
        <v>69</v>
      </c>
      <c r="B1166" s="99" t="b">
        <v>0</v>
      </c>
      <c r="C1166" s="99" t="b">
        <v>0</v>
      </c>
      <c r="D1166" s="80"/>
      <c r="E1166" s="81"/>
      <c r="F1166" s="106"/>
      <c r="G1166" s="107"/>
      <c r="H1166" s="108"/>
      <c r="I1166" s="108"/>
      <c r="J1166" s="109"/>
      <c r="K1166" s="107"/>
      <c r="L1166" s="107"/>
      <c r="M1166" s="110"/>
      <c r="N1166" s="110"/>
      <c r="O1166" s="108"/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70"/>
      <c r="Z1166" s="70"/>
      <c r="AA1166" s="70"/>
      <c r="AB1166" s="70"/>
      <c r="AC1166" s="70"/>
      <c r="AD1166" s="70"/>
      <c r="AE1166" s="70"/>
      <c r="AF1166" s="70"/>
      <c r="AG1166" s="70"/>
      <c r="AH1166" s="70"/>
      <c r="AI1166" s="70"/>
      <c r="AJ1166" s="70"/>
      <c r="AK1166" s="70"/>
      <c r="AL1166" s="70"/>
      <c r="AM1166" s="70"/>
      <c r="AN1166" s="70"/>
      <c r="AO1166" s="70"/>
      <c r="AP1166" s="70"/>
      <c r="AQ1166" s="77"/>
      <c r="AR1166" s="77"/>
      <c r="AS1166" s="77"/>
      <c r="AT1166" s="77"/>
      <c r="AU1166" s="77"/>
      <c r="AV1166" s="77"/>
      <c r="AW1166" s="77"/>
      <c r="AX1166" s="77"/>
      <c r="AY1166" s="77"/>
      <c r="AZ1166" s="77"/>
      <c r="BA1166" s="77"/>
      <c r="BB1166" s="77"/>
      <c r="BC1166" s="77"/>
      <c r="BD1166" s="77"/>
      <c r="BE1166" s="77"/>
      <c r="BF1166" s="77"/>
      <c r="BG1166" s="77"/>
      <c r="BH1166" s="77"/>
      <c r="BI1166" s="77"/>
      <c r="BJ1166" s="77"/>
      <c r="BK1166" s="77"/>
      <c r="BL1166" s="77"/>
      <c r="BM1166" s="77"/>
    </row>
    <row r="1167">
      <c r="A1167" s="100" t="s">
        <v>69</v>
      </c>
      <c r="B1167" s="100" t="b">
        <v>0</v>
      </c>
      <c r="C1167" s="100" t="b">
        <v>0</v>
      </c>
      <c r="D1167" s="42"/>
      <c r="E1167" s="43"/>
      <c r="F1167" s="101"/>
      <c r="G1167" s="102"/>
      <c r="H1167" s="103"/>
      <c r="I1167" s="103"/>
      <c r="J1167" s="104"/>
      <c r="K1167" s="102"/>
      <c r="L1167" s="102"/>
      <c r="M1167" s="105"/>
      <c r="N1167" s="105"/>
      <c r="O1167" s="103"/>
      <c r="P1167" s="103"/>
      <c r="Q1167" s="103"/>
      <c r="R1167" s="103"/>
      <c r="S1167" s="103"/>
      <c r="T1167" s="103"/>
      <c r="U1167" s="103"/>
      <c r="V1167" s="103"/>
      <c r="W1167" s="103"/>
      <c r="X1167" s="103"/>
      <c r="Y1167" s="70"/>
      <c r="Z1167" s="70"/>
      <c r="AA1167" s="70"/>
      <c r="AB1167" s="70"/>
      <c r="AC1167" s="70"/>
      <c r="AD1167" s="70"/>
      <c r="AE1167" s="70"/>
      <c r="AF1167" s="70"/>
      <c r="AG1167" s="70"/>
      <c r="AH1167" s="70"/>
      <c r="AI1167" s="70"/>
      <c r="AJ1167" s="70"/>
      <c r="AK1167" s="70"/>
      <c r="AL1167" s="70"/>
      <c r="AM1167" s="70"/>
      <c r="AN1167" s="70"/>
      <c r="AO1167" s="70"/>
      <c r="AP1167" s="70"/>
      <c r="AQ1167" s="77"/>
      <c r="AR1167" s="77"/>
      <c r="AS1167" s="77"/>
      <c r="AT1167" s="77"/>
      <c r="AU1167" s="77"/>
      <c r="AV1167" s="77"/>
      <c r="AW1167" s="77"/>
      <c r="AX1167" s="77"/>
      <c r="AY1167" s="77"/>
      <c r="AZ1167" s="77"/>
      <c r="BA1167" s="77"/>
      <c r="BB1167" s="77"/>
      <c r="BC1167" s="77"/>
      <c r="BD1167" s="77"/>
      <c r="BE1167" s="77"/>
      <c r="BF1167" s="77"/>
      <c r="BG1167" s="77"/>
      <c r="BH1167" s="77"/>
      <c r="BI1167" s="77"/>
      <c r="BJ1167" s="77"/>
      <c r="BK1167" s="77"/>
      <c r="BL1167" s="77"/>
      <c r="BM1167" s="77"/>
    </row>
    <row r="1168">
      <c r="A1168" s="99" t="s">
        <v>69</v>
      </c>
      <c r="B1168" s="99" t="b">
        <v>0</v>
      </c>
      <c r="C1168" s="99" t="b">
        <v>0</v>
      </c>
      <c r="D1168" s="80"/>
      <c r="E1168" s="81"/>
      <c r="F1168" s="106"/>
      <c r="G1168" s="107"/>
      <c r="H1168" s="108"/>
      <c r="I1168" s="108"/>
      <c r="J1168" s="109"/>
      <c r="K1168" s="107"/>
      <c r="L1168" s="107"/>
      <c r="M1168" s="110"/>
      <c r="N1168" s="110"/>
      <c r="O1168" s="108"/>
      <c r="P1168" s="108"/>
      <c r="Q1168" s="108"/>
      <c r="R1168" s="108"/>
      <c r="S1168" s="108"/>
      <c r="T1168" s="108"/>
      <c r="U1168" s="108"/>
      <c r="V1168" s="108"/>
      <c r="W1168" s="108"/>
      <c r="X1168" s="108"/>
      <c r="Y1168" s="70"/>
      <c r="Z1168" s="70"/>
      <c r="AA1168" s="70"/>
      <c r="AB1168" s="70"/>
      <c r="AC1168" s="70"/>
      <c r="AD1168" s="70"/>
      <c r="AE1168" s="70"/>
      <c r="AF1168" s="70"/>
      <c r="AG1168" s="70"/>
      <c r="AH1168" s="70"/>
      <c r="AI1168" s="70"/>
      <c r="AJ1168" s="70"/>
      <c r="AK1168" s="70"/>
      <c r="AL1168" s="70"/>
      <c r="AM1168" s="70"/>
      <c r="AN1168" s="70"/>
      <c r="AO1168" s="70"/>
      <c r="AP1168" s="70"/>
      <c r="AQ1168" s="77"/>
      <c r="AR1168" s="77"/>
      <c r="AS1168" s="77"/>
      <c r="AT1168" s="77"/>
      <c r="AU1168" s="77"/>
      <c r="AV1168" s="77"/>
      <c r="AW1168" s="77"/>
      <c r="AX1168" s="77"/>
      <c r="AY1168" s="77"/>
      <c r="AZ1168" s="77"/>
      <c r="BA1168" s="77"/>
      <c r="BB1168" s="77"/>
      <c r="BC1168" s="77"/>
      <c r="BD1168" s="77"/>
      <c r="BE1168" s="77"/>
      <c r="BF1168" s="77"/>
      <c r="BG1168" s="77"/>
      <c r="BH1168" s="77"/>
      <c r="BI1168" s="77"/>
      <c r="BJ1168" s="77"/>
      <c r="BK1168" s="77"/>
      <c r="BL1168" s="77"/>
      <c r="BM1168" s="77"/>
    </row>
    <row r="1169">
      <c r="A1169" s="100" t="s">
        <v>69</v>
      </c>
      <c r="B1169" s="100" t="b">
        <v>0</v>
      </c>
      <c r="C1169" s="100" t="b">
        <v>0</v>
      </c>
      <c r="D1169" s="42"/>
      <c r="E1169" s="43"/>
      <c r="F1169" s="101"/>
      <c r="G1169" s="102"/>
      <c r="H1169" s="103"/>
      <c r="I1169" s="103"/>
      <c r="J1169" s="104"/>
      <c r="K1169" s="102"/>
      <c r="L1169" s="102"/>
      <c r="M1169" s="105"/>
      <c r="N1169" s="105"/>
      <c r="O1169" s="103"/>
      <c r="P1169" s="103"/>
      <c r="Q1169" s="103"/>
      <c r="R1169" s="103"/>
      <c r="S1169" s="103"/>
      <c r="T1169" s="103"/>
      <c r="U1169" s="103"/>
      <c r="V1169" s="103"/>
      <c r="W1169" s="103"/>
      <c r="X1169" s="103"/>
      <c r="Y1169" s="70"/>
      <c r="Z1169" s="70"/>
      <c r="AA1169" s="70"/>
      <c r="AB1169" s="70"/>
      <c r="AC1169" s="70"/>
      <c r="AD1169" s="70"/>
      <c r="AE1169" s="70"/>
      <c r="AF1169" s="70"/>
      <c r="AG1169" s="70"/>
      <c r="AH1169" s="70"/>
      <c r="AI1169" s="70"/>
      <c r="AJ1169" s="70"/>
      <c r="AK1169" s="70"/>
      <c r="AL1169" s="70"/>
      <c r="AM1169" s="70"/>
      <c r="AN1169" s="70"/>
      <c r="AO1169" s="70"/>
      <c r="AP1169" s="70"/>
      <c r="AQ1169" s="77"/>
      <c r="AR1169" s="77"/>
      <c r="AS1169" s="77"/>
      <c r="AT1169" s="77"/>
      <c r="AU1169" s="77"/>
      <c r="AV1169" s="77"/>
      <c r="AW1169" s="77"/>
      <c r="AX1169" s="77"/>
      <c r="AY1169" s="77"/>
      <c r="AZ1169" s="77"/>
      <c r="BA1169" s="77"/>
      <c r="BB1169" s="77"/>
      <c r="BC1169" s="77"/>
      <c r="BD1169" s="77"/>
      <c r="BE1169" s="77"/>
      <c r="BF1169" s="77"/>
      <c r="BG1169" s="77"/>
      <c r="BH1169" s="77"/>
      <c r="BI1169" s="77"/>
      <c r="BJ1169" s="77"/>
      <c r="BK1169" s="77"/>
      <c r="BL1169" s="77"/>
      <c r="BM1169" s="77"/>
    </row>
    <row r="1170">
      <c r="A1170" s="99" t="s">
        <v>69</v>
      </c>
      <c r="B1170" s="99" t="b">
        <v>0</v>
      </c>
      <c r="C1170" s="99" t="b">
        <v>0</v>
      </c>
      <c r="D1170" s="80"/>
      <c r="E1170" s="81"/>
      <c r="F1170" s="106"/>
      <c r="G1170" s="107"/>
      <c r="H1170" s="108"/>
      <c r="I1170" s="108"/>
      <c r="J1170" s="109"/>
      <c r="K1170" s="107"/>
      <c r="L1170" s="107"/>
      <c r="M1170" s="110"/>
      <c r="N1170" s="110"/>
      <c r="O1170" s="108"/>
      <c r="P1170" s="108"/>
      <c r="Q1170" s="108"/>
      <c r="R1170" s="108"/>
      <c r="S1170" s="108"/>
      <c r="T1170" s="108"/>
      <c r="U1170" s="108"/>
      <c r="V1170" s="108"/>
      <c r="W1170" s="108"/>
      <c r="X1170" s="108"/>
      <c r="Y1170" s="70"/>
      <c r="Z1170" s="70"/>
      <c r="AA1170" s="70"/>
      <c r="AB1170" s="70"/>
      <c r="AC1170" s="70"/>
      <c r="AD1170" s="70"/>
      <c r="AE1170" s="70"/>
      <c r="AF1170" s="70"/>
      <c r="AG1170" s="70"/>
      <c r="AH1170" s="70"/>
      <c r="AI1170" s="70"/>
      <c r="AJ1170" s="70"/>
      <c r="AK1170" s="70"/>
      <c r="AL1170" s="70"/>
      <c r="AM1170" s="70"/>
      <c r="AN1170" s="70"/>
      <c r="AO1170" s="70"/>
      <c r="AP1170" s="70"/>
      <c r="AQ1170" s="77"/>
      <c r="AR1170" s="77"/>
      <c r="AS1170" s="77"/>
      <c r="AT1170" s="77"/>
      <c r="AU1170" s="77"/>
      <c r="AV1170" s="77"/>
      <c r="AW1170" s="77"/>
      <c r="AX1170" s="77"/>
      <c r="AY1170" s="77"/>
      <c r="AZ1170" s="77"/>
      <c r="BA1170" s="77"/>
      <c r="BB1170" s="77"/>
      <c r="BC1170" s="77"/>
      <c r="BD1170" s="77"/>
      <c r="BE1170" s="77"/>
      <c r="BF1170" s="77"/>
      <c r="BG1170" s="77"/>
      <c r="BH1170" s="77"/>
      <c r="BI1170" s="77"/>
      <c r="BJ1170" s="77"/>
      <c r="BK1170" s="77"/>
      <c r="BL1170" s="77"/>
      <c r="BM1170" s="77"/>
    </row>
    <row r="1171">
      <c r="A1171" s="100" t="s">
        <v>69</v>
      </c>
      <c r="B1171" s="100" t="b">
        <v>0</v>
      </c>
      <c r="C1171" s="100" t="b">
        <v>0</v>
      </c>
      <c r="D1171" s="42"/>
      <c r="E1171" s="43"/>
      <c r="F1171" s="101"/>
      <c r="G1171" s="102"/>
      <c r="H1171" s="103"/>
      <c r="I1171" s="103"/>
      <c r="J1171" s="104"/>
      <c r="K1171" s="102"/>
      <c r="L1171" s="102"/>
      <c r="M1171" s="105"/>
      <c r="N1171" s="105"/>
      <c r="O1171" s="103"/>
      <c r="P1171" s="103"/>
      <c r="Q1171" s="103"/>
      <c r="R1171" s="103"/>
      <c r="S1171" s="103"/>
      <c r="T1171" s="103"/>
      <c r="U1171" s="103"/>
      <c r="V1171" s="103"/>
      <c r="W1171" s="103"/>
      <c r="X1171" s="103"/>
      <c r="Y1171" s="70"/>
      <c r="Z1171" s="70"/>
      <c r="AA1171" s="70"/>
      <c r="AB1171" s="70"/>
      <c r="AC1171" s="70"/>
      <c r="AD1171" s="70"/>
      <c r="AE1171" s="70"/>
      <c r="AF1171" s="70"/>
      <c r="AG1171" s="70"/>
      <c r="AH1171" s="70"/>
      <c r="AI1171" s="70"/>
      <c r="AJ1171" s="70"/>
      <c r="AK1171" s="70"/>
      <c r="AL1171" s="70"/>
      <c r="AM1171" s="70"/>
      <c r="AN1171" s="70"/>
      <c r="AO1171" s="70"/>
      <c r="AP1171" s="70"/>
      <c r="AQ1171" s="77"/>
      <c r="AR1171" s="77"/>
      <c r="AS1171" s="77"/>
      <c r="AT1171" s="77"/>
      <c r="AU1171" s="77"/>
      <c r="AV1171" s="77"/>
      <c r="AW1171" s="77"/>
      <c r="AX1171" s="77"/>
      <c r="AY1171" s="77"/>
      <c r="AZ1171" s="77"/>
      <c r="BA1171" s="77"/>
      <c r="BB1171" s="77"/>
      <c r="BC1171" s="77"/>
      <c r="BD1171" s="77"/>
      <c r="BE1171" s="77"/>
      <c r="BF1171" s="77"/>
      <c r="BG1171" s="77"/>
      <c r="BH1171" s="77"/>
      <c r="BI1171" s="77"/>
      <c r="BJ1171" s="77"/>
      <c r="BK1171" s="77"/>
      <c r="BL1171" s="77"/>
      <c r="BM1171" s="77"/>
    </row>
    <row r="1172">
      <c r="A1172" s="99" t="s">
        <v>69</v>
      </c>
      <c r="B1172" s="99" t="b">
        <v>0</v>
      </c>
      <c r="C1172" s="99" t="b">
        <v>0</v>
      </c>
      <c r="D1172" s="80"/>
      <c r="E1172" s="81"/>
      <c r="F1172" s="106"/>
      <c r="G1172" s="107"/>
      <c r="H1172" s="108"/>
      <c r="I1172" s="108"/>
      <c r="J1172" s="109"/>
      <c r="K1172" s="107"/>
      <c r="L1172" s="107"/>
      <c r="M1172" s="110"/>
      <c r="N1172" s="110"/>
      <c r="O1172" s="108"/>
      <c r="P1172" s="108"/>
      <c r="Q1172" s="108"/>
      <c r="R1172" s="108"/>
      <c r="S1172" s="108"/>
      <c r="T1172" s="108"/>
      <c r="U1172" s="108"/>
      <c r="V1172" s="108"/>
      <c r="W1172" s="108"/>
      <c r="X1172" s="108"/>
      <c r="Y1172" s="70"/>
      <c r="Z1172" s="70"/>
      <c r="AA1172" s="70"/>
      <c r="AB1172" s="70"/>
      <c r="AC1172" s="70"/>
      <c r="AD1172" s="70"/>
      <c r="AE1172" s="70"/>
      <c r="AF1172" s="70"/>
      <c r="AG1172" s="70"/>
      <c r="AH1172" s="70"/>
      <c r="AI1172" s="70"/>
      <c r="AJ1172" s="70"/>
      <c r="AK1172" s="70"/>
      <c r="AL1172" s="70"/>
      <c r="AM1172" s="70"/>
      <c r="AN1172" s="70"/>
      <c r="AO1172" s="70"/>
      <c r="AP1172" s="70"/>
      <c r="AQ1172" s="77"/>
      <c r="AR1172" s="77"/>
      <c r="AS1172" s="77"/>
      <c r="AT1172" s="77"/>
      <c r="AU1172" s="77"/>
      <c r="AV1172" s="77"/>
      <c r="AW1172" s="77"/>
      <c r="AX1172" s="77"/>
      <c r="AY1172" s="77"/>
      <c r="AZ1172" s="77"/>
      <c r="BA1172" s="77"/>
      <c r="BB1172" s="77"/>
      <c r="BC1172" s="77"/>
      <c r="BD1172" s="77"/>
      <c r="BE1172" s="77"/>
      <c r="BF1172" s="77"/>
      <c r="BG1172" s="77"/>
      <c r="BH1172" s="77"/>
      <c r="BI1172" s="77"/>
      <c r="BJ1172" s="77"/>
      <c r="BK1172" s="77"/>
      <c r="BL1172" s="77"/>
      <c r="BM1172" s="77"/>
    </row>
    <row r="1173">
      <c r="A1173" s="100" t="s">
        <v>69</v>
      </c>
      <c r="B1173" s="100" t="b">
        <v>0</v>
      </c>
      <c r="C1173" s="100" t="b">
        <v>0</v>
      </c>
      <c r="D1173" s="42"/>
      <c r="E1173" s="43"/>
      <c r="F1173" s="101"/>
      <c r="G1173" s="102"/>
      <c r="H1173" s="103"/>
      <c r="I1173" s="103"/>
      <c r="J1173" s="104"/>
      <c r="K1173" s="102"/>
      <c r="L1173" s="102"/>
      <c r="M1173" s="105"/>
      <c r="N1173" s="105"/>
      <c r="O1173" s="103"/>
      <c r="P1173" s="103"/>
      <c r="Q1173" s="103"/>
      <c r="R1173" s="103"/>
      <c r="S1173" s="103"/>
      <c r="T1173" s="103"/>
      <c r="U1173" s="103"/>
      <c r="V1173" s="103"/>
      <c r="W1173" s="103"/>
      <c r="X1173" s="103"/>
      <c r="Y1173" s="70"/>
      <c r="Z1173" s="70"/>
      <c r="AA1173" s="70"/>
      <c r="AB1173" s="70"/>
      <c r="AC1173" s="70"/>
      <c r="AD1173" s="70"/>
      <c r="AE1173" s="70"/>
      <c r="AF1173" s="70"/>
      <c r="AG1173" s="70"/>
      <c r="AH1173" s="70"/>
      <c r="AI1173" s="70"/>
      <c r="AJ1173" s="70"/>
      <c r="AK1173" s="70"/>
      <c r="AL1173" s="70"/>
      <c r="AM1173" s="70"/>
      <c r="AN1173" s="70"/>
      <c r="AO1173" s="70"/>
      <c r="AP1173" s="70"/>
      <c r="AQ1173" s="77"/>
      <c r="AR1173" s="77"/>
      <c r="AS1173" s="77"/>
      <c r="AT1173" s="77"/>
      <c r="AU1173" s="77"/>
      <c r="AV1173" s="77"/>
      <c r="AW1173" s="77"/>
      <c r="AX1173" s="77"/>
      <c r="AY1173" s="77"/>
      <c r="AZ1173" s="77"/>
      <c r="BA1173" s="77"/>
      <c r="BB1173" s="77"/>
      <c r="BC1173" s="77"/>
      <c r="BD1173" s="77"/>
      <c r="BE1173" s="77"/>
      <c r="BF1173" s="77"/>
      <c r="BG1173" s="77"/>
      <c r="BH1173" s="77"/>
      <c r="BI1173" s="77"/>
      <c r="BJ1173" s="77"/>
      <c r="BK1173" s="77"/>
      <c r="BL1173" s="77"/>
      <c r="BM1173" s="77"/>
    </row>
    <row r="1174">
      <c r="A1174" s="99" t="s">
        <v>69</v>
      </c>
      <c r="B1174" s="99" t="b">
        <v>0</v>
      </c>
      <c r="C1174" s="99" t="b">
        <v>0</v>
      </c>
      <c r="D1174" s="80"/>
      <c r="E1174" s="81"/>
      <c r="F1174" s="106"/>
      <c r="G1174" s="107"/>
      <c r="H1174" s="108"/>
      <c r="I1174" s="108"/>
      <c r="J1174" s="109"/>
      <c r="K1174" s="107"/>
      <c r="L1174" s="107"/>
      <c r="M1174" s="110"/>
      <c r="N1174" s="110"/>
      <c r="O1174" s="108"/>
      <c r="P1174" s="108"/>
      <c r="Q1174" s="108"/>
      <c r="R1174" s="108"/>
      <c r="S1174" s="108"/>
      <c r="T1174" s="108"/>
      <c r="U1174" s="108"/>
      <c r="V1174" s="108"/>
      <c r="W1174" s="108"/>
      <c r="X1174" s="108"/>
      <c r="Y1174" s="70"/>
      <c r="Z1174" s="70"/>
      <c r="AA1174" s="70"/>
      <c r="AB1174" s="70"/>
      <c r="AC1174" s="70"/>
      <c r="AD1174" s="70"/>
      <c r="AE1174" s="70"/>
      <c r="AF1174" s="70"/>
      <c r="AG1174" s="70"/>
      <c r="AH1174" s="70"/>
      <c r="AI1174" s="70"/>
      <c r="AJ1174" s="70"/>
      <c r="AK1174" s="70"/>
      <c r="AL1174" s="70"/>
      <c r="AM1174" s="70"/>
      <c r="AN1174" s="70"/>
      <c r="AO1174" s="70"/>
      <c r="AP1174" s="70"/>
      <c r="AQ1174" s="77"/>
      <c r="AR1174" s="77"/>
      <c r="AS1174" s="77"/>
      <c r="AT1174" s="77"/>
      <c r="AU1174" s="77"/>
      <c r="AV1174" s="77"/>
      <c r="AW1174" s="77"/>
      <c r="AX1174" s="77"/>
      <c r="AY1174" s="77"/>
      <c r="AZ1174" s="77"/>
      <c r="BA1174" s="77"/>
      <c r="BB1174" s="77"/>
      <c r="BC1174" s="77"/>
      <c r="BD1174" s="77"/>
      <c r="BE1174" s="77"/>
      <c r="BF1174" s="77"/>
      <c r="BG1174" s="77"/>
      <c r="BH1174" s="77"/>
      <c r="BI1174" s="77"/>
      <c r="BJ1174" s="77"/>
      <c r="BK1174" s="77"/>
      <c r="BL1174" s="77"/>
      <c r="BM1174" s="77"/>
    </row>
    <row r="1175">
      <c r="A1175" s="100" t="s">
        <v>69</v>
      </c>
      <c r="B1175" s="100" t="b">
        <v>0</v>
      </c>
      <c r="C1175" s="100" t="b">
        <v>0</v>
      </c>
      <c r="D1175" s="42"/>
      <c r="E1175" s="43"/>
      <c r="F1175" s="101"/>
      <c r="G1175" s="102"/>
      <c r="H1175" s="103"/>
      <c r="I1175" s="103"/>
      <c r="J1175" s="104"/>
      <c r="K1175" s="102"/>
      <c r="L1175" s="102"/>
      <c r="M1175" s="105"/>
      <c r="N1175" s="105"/>
      <c r="O1175" s="103"/>
      <c r="P1175" s="103"/>
      <c r="Q1175" s="103"/>
      <c r="R1175" s="103"/>
      <c r="S1175" s="103"/>
      <c r="T1175" s="103"/>
      <c r="U1175" s="103"/>
      <c r="V1175" s="103"/>
      <c r="W1175" s="103"/>
      <c r="X1175" s="103"/>
      <c r="Y1175" s="70"/>
      <c r="Z1175" s="70"/>
      <c r="AA1175" s="70"/>
      <c r="AB1175" s="70"/>
      <c r="AC1175" s="70"/>
      <c r="AD1175" s="70"/>
      <c r="AE1175" s="70"/>
      <c r="AF1175" s="70"/>
      <c r="AG1175" s="70"/>
      <c r="AH1175" s="70"/>
      <c r="AI1175" s="70"/>
      <c r="AJ1175" s="70"/>
      <c r="AK1175" s="70"/>
      <c r="AL1175" s="70"/>
      <c r="AM1175" s="70"/>
      <c r="AN1175" s="70"/>
      <c r="AO1175" s="70"/>
      <c r="AP1175" s="70"/>
      <c r="AQ1175" s="77"/>
      <c r="AR1175" s="77"/>
      <c r="AS1175" s="77"/>
      <c r="AT1175" s="77"/>
      <c r="AU1175" s="77"/>
      <c r="AV1175" s="77"/>
      <c r="AW1175" s="77"/>
      <c r="AX1175" s="77"/>
      <c r="AY1175" s="77"/>
      <c r="AZ1175" s="77"/>
      <c r="BA1175" s="77"/>
      <c r="BB1175" s="77"/>
      <c r="BC1175" s="77"/>
      <c r="BD1175" s="77"/>
      <c r="BE1175" s="77"/>
      <c r="BF1175" s="77"/>
      <c r="BG1175" s="77"/>
      <c r="BH1175" s="77"/>
      <c r="BI1175" s="77"/>
      <c r="BJ1175" s="77"/>
      <c r="BK1175" s="77"/>
      <c r="BL1175" s="77"/>
      <c r="BM1175" s="77"/>
    </row>
    <row r="1176">
      <c r="A1176" s="99" t="s">
        <v>69</v>
      </c>
      <c r="B1176" s="99" t="b">
        <v>0</v>
      </c>
      <c r="C1176" s="99" t="b">
        <v>0</v>
      </c>
      <c r="D1176" s="80"/>
      <c r="E1176" s="81"/>
      <c r="F1176" s="106"/>
      <c r="G1176" s="107"/>
      <c r="H1176" s="108"/>
      <c r="I1176" s="108"/>
      <c r="J1176" s="109"/>
      <c r="K1176" s="107"/>
      <c r="L1176" s="107"/>
      <c r="M1176" s="110"/>
      <c r="N1176" s="110"/>
      <c r="O1176" s="108"/>
      <c r="P1176" s="108"/>
      <c r="Q1176" s="108"/>
      <c r="R1176" s="108"/>
      <c r="S1176" s="108"/>
      <c r="T1176" s="108"/>
      <c r="U1176" s="108"/>
      <c r="V1176" s="108"/>
      <c r="W1176" s="108"/>
      <c r="X1176" s="108"/>
      <c r="Y1176" s="70"/>
      <c r="Z1176" s="70"/>
      <c r="AA1176" s="70"/>
      <c r="AB1176" s="70"/>
      <c r="AC1176" s="70"/>
      <c r="AD1176" s="70"/>
      <c r="AE1176" s="70"/>
      <c r="AF1176" s="70"/>
      <c r="AG1176" s="70"/>
      <c r="AH1176" s="70"/>
      <c r="AI1176" s="70"/>
      <c r="AJ1176" s="70"/>
      <c r="AK1176" s="70"/>
      <c r="AL1176" s="70"/>
      <c r="AM1176" s="70"/>
      <c r="AN1176" s="70"/>
      <c r="AO1176" s="70"/>
      <c r="AP1176" s="70"/>
      <c r="AQ1176" s="77"/>
      <c r="AR1176" s="77"/>
      <c r="AS1176" s="77"/>
      <c r="AT1176" s="77"/>
      <c r="AU1176" s="77"/>
      <c r="AV1176" s="77"/>
      <c r="AW1176" s="77"/>
      <c r="AX1176" s="77"/>
      <c r="AY1176" s="77"/>
      <c r="AZ1176" s="77"/>
      <c r="BA1176" s="77"/>
      <c r="BB1176" s="77"/>
      <c r="BC1176" s="77"/>
      <c r="BD1176" s="77"/>
      <c r="BE1176" s="77"/>
      <c r="BF1176" s="77"/>
      <c r="BG1176" s="77"/>
      <c r="BH1176" s="77"/>
      <c r="BI1176" s="77"/>
      <c r="BJ1176" s="77"/>
      <c r="BK1176" s="77"/>
      <c r="BL1176" s="77"/>
      <c r="BM1176" s="77"/>
    </row>
    <row r="1177">
      <c r="A1177" s="100" t="s">
        <v>69</v>
      </c>
      <c r="B1177" s="100" t="b">
        <v>0</v>
      </c>
      <c r="C1177" s="100" t="b">
        <v>0</v>
      </c>
      <c r="D1177" s="42"/>
      <c r="E1177" s="43"/>
      <c r="F1177" s="101"/>
      <c r="G1177" s="102"/>
      <c r="H1177" s="103"/>
      <c r="I1177" s="103"/>
      <c r="J1177" s="104"/>
      <c r="K1177" s="102"/>
      <c r="L1177" s="102"/>
      <c r="M1177" s="105"/>
      <c r="N1177" s="105"/>
      <c r="O1177" s="103"/>
      <c r="P1177" s="103"/>
      <c r="Q1177" s="103"/>
      <c r="R1177" s="103"/>
      <c r="S1177" s="103"/>
      <c r="T1177" s="103"/>
      <c r="U1177" s="103"/>
      <c r="V1177" s="103"/>
      <c r="W1177" s="103"/>
      <c r="X1177" s="103"/>
      <c r="Y1177" s="70"/>
      <c r="Z1177" s="70"/>
      <c r="AA1177" s="70"/>
      <c r="AB1177" s="70"/>
      <c r="AC1177" s="70"/>
      <c r="AD1177" s="70"/>
      <c r="AE1177" s="70"/>
      <c r="AF1177" s="70"/>
      <c r="AG1177" s="70"/>
      <c r="AH1177" s="70"/>
      <c r="AI1177" s="70"/>
      <c r="AJ1177" s="70"/>
      <c r="AK1177" s="70"/>
      <c r="AL1177" s="70"/>
      <c r="AM1177" s="70"/>
      <c r="AN1177" s="70"/>
      <c r="AO1177" s="70"/>
      <c r="AP1177" s="70"/>
      <c r="AQ1177" s="77"/>
      <c r="AR1177" s="77"/>
      <c r="AS1177" s="77"/>
      <c r="AT1177" s="77"/>
      <c r="AU1177" s="77"/>
      <c r="AV1177" s="77"/>
      <c r="AW1177" s="77"/>
      <c r="AX1177" s="77"/>
      <c r="AY1177" s="77"/>
      <c r="AZ1177" s="77"/>
      <c r="BA1177" s="77"/>
      <c r="BB1177" s="77"/>
      <c r="BC1177" s="77"/>
      <c r="BD1177" s="77"/>
      <c r="BE1177" s="77"/>
      <c r="BF1177" s="77"/>
      <c r="BG1177" s="77"/>
      <c r="BH1177" s="77"/>
      <c r="BI1177" s="77"/>
      <c r="BJ1177" s="77"/>
      <c r="BK1177" s="77"/>
      <c r="BL1177" s="77"/>
      <c r="BM1177" s="77"/>
    </row>
    <row r="1178">
      <c r="A1178" s="99" t="s">
        <v>69</v>
      </c>
      <c r="B1178" s="99" t="b">
        <v>0</v>
      </c>
      <c r="C1178" s="99" t="b">
        <v>0</v>
      </c>
      <c r="D1178" s="80"/>
      <c r="E1178" s="81"/>
      <c r="F1178" s="106"/>
      <c r="G1178" s="107"/>
      <c r="H1178" s="108"/>
      <c r="I1178" s="108"/>
      <c r="J1178" s="109"/>
      <c r="K1178" s="107"/>
      <c r="L1178" s="107"/>
      <c r="M1178" s="110"/>
      <c r="N1178" s="110"/>
      <c r="O1178" s="108"/>
      <c r="P1178" s="108"/>
      <c r="Q1178" s="108"/>
      <c r="R1178" s="108"/>
      <c r="S1178" s="108"/>
      <c r="T1178" s="108"/>
      <c r="U1178" s="108"/>
      <c r="V1178" s="108"/>
      <c r="W1178" s="108"/>
      <c r="X1178" s="108"/>
      <c r="Y1178" s="70"/>
      <c r="Z1178" s="70"/>
      <c r="AA1178" s="70"/>
      <c r="AB1178" s="70"/>
      <c r="AC1178" s="70"/>
      <c r="AD1178" s="70"/>
      <c r="AE1178" s="70"/>
      <c r="AF1178" s="70"/>
      <c r="AG1178" s="70"/>
      <c r="AH1178" s="70"/>
      <c r="AI1178" s="70"/>
      <c r="AJ1178" s="70"/>
      <c r="AK1178" s="70"/>
      <c r="AL1178" s="70"/>
      <c r="AM1178" s="70"/>
      <c r="AN1178" s="70"/>
      <c r="AO1178" s="70"/>
      <c r="AP1178" s="70"/>
      <c r="AQ1178" s="77"/>
      <c r="AR1178" s="77"/>
      <c r="AS1178" s="77"/>
      <c r="AT1178" s="77"/>
      <c r="AU1178" s="77"/>
      <c r="AV1178" s="77"/>
      <c r="AW1178" s="77"/>
      <c r="AX1178" s="77"/>
      <c r="AY1178" s="77"/>
      <c r="AZ1178" s="77"/>
      <c r="BA1178" s="77"/>
      <c r="BB1178" s="77"/>
      <c r="BC1178" s="77"/>
      <c r="BD1178" s="77"/>
      <c r="BE1178" s="77"/>
      <c r="BF1178" s="77"/>
      <c r="BG1178" s="77"/>
      <c r="BH1178" s="77"/>
      <c r="BI1178" s="77"/>
      <c r="BJ1178" s="77"/>
      <c r="BK1178" s="77"/>
      <c r="BL1178" s="77"/>
      <c r="BM1178" s="77"/>
    </row>
    <row r="1179">
      <c r="A1179" s="100" t="s">
        <v>69</v>
      </c>
      <c r="B1179" s="100" t="b">
        <v>0</v>
      </c>
      <c r="C1179" s="100" t="b">
        <v>0</v>
      </c>
      <c r="D1179" s="42"/>
      <c r="E1179" s="43"/>
      <c r="F1179" s="101"/>
      <c r="G1179" s="102"/>
      <c r="H1179" s="103"/>
      <c r="I1179" s="103"/>
      <c r="J1179" s="104"/>
      <c r="K1179" s="102"/>
      <c r="L1179" s="102"/>
      <c r="M1179" s="105"/>
      <c r="N1179" s="105"/>
      <c r="O1179" s="103"/>
      <c r="P1179" s="103"/>
      <c r="Q1179" s="103"/>
      <c r="R1179" s="103"/>
      <c r="S1179" s="103"/>
      <c r="T1179" s="103"/>
      <c r="U1179" s="103"/>
      <c r="V1179" s="103"/>
      <c r="W1179" s="103"/>
      <c r="X1179" s="103"/>
      <c r="Y1179" s="70"/>
      <c r="Z1179" s="70"/>
      <c r="AA1179" s="70"/>
      <c r="AB1179" s="70"/>
      <c r="AC1179" s="70"/>
      <c r="AD1179" s="70"/>
      <c r="AE1179" s="70"/>
      <c r="AF1179" s="70"/>
      <c r="AG1179" s="70"/>
      <c r="AH1179" s="70"/>
      <c r="AI1179" s="70"/>
      <c r="AJ1179" s="70"/>
      <c r="AK1179" s="70"/>
      <c r="AL1179" s="70"/>
      <c r="AM1179" s="70"/>
      <c r="AN1179" s="70"/>
      <c r="AO1179" s="70"/>
      <c r="AP1179" s="70"/>
      <c r="AQ1179" s="77"/>
      <c r="AR1179" s="77"/>
      <c r="AS1179" s="77"/>
      <c r="AT1179" s="77"/>
      <c r="AU1179" s="77"/>
      <c r="AV1179" s="77"/>
      <c r="AW1179" s="77"/>
      <c r="AX1179" s="77"/>
      <c r="AY1179" s="77"/>
      <c r="AZ1179" s="77"/>
      <c r="BA1179" s="77"/>
      <c r="BB1179" s="77"/>
      <c r="BC1179" s="77"/>
      <c r="BD1179" s="77"/>
      <c r="BE1179" s="77"/>
      <c r="BF1179" s="77"/>
      <c r="BG1179" s="77"/>
      <c r="BH1179" s="77"/>
      <c r="BI1179" s="77"/>
      <c r="BJ1179" s="77"/>
      <c r="BK1179" s="77"/>
      <c r="BL1179" s="77"/>
      <c r="BM1179" s="77"/>
    </row>
    <row r="1180">
      <c r="A1180" s="99" t="s">
        <v>69</v>
      </c>
      <c r="B1180" s="99" t="b">
        <v>0</v>
      </c>
      <c r="C1180" s="99" t="b">
        <v>0</v>
      </c>
      <c r="D1180" s="80"/>
      <c r="E1180" s="81"/>
      <c r="F1180" s="106"/>
      <c r="G1180" s="107"/>
      <c r="H1180" s="108"/>
      <c r="I1180" s="108"/>
      <c r="J1180" s="109"/>
      <c r="K1180" s="107"/>
      <c r="L1180" s="107"/>
      <c r="M1180" s="110"/>
      <c r="N1180" s="110"/>
      <c r="O1180" s="108"/>
      <c r="P1180" s="108"/>
      <c r="Q1180" s="108"/>
      <c r="R1180" s="108"/>
      <c r="S1180" s="108"/>
      <c r="T1180" s="108"/>
      <c r="U1180" s="108"/>
      <c r="V1180" s="108"/>
      <c r="W1180" s="108"/>
      <c r="X1180" s="108"/>
      <c r="Y1180" s="70"/>
      <c r="Z1180" s="70"/>
      <c r="AA1180" s="70"/>
      <c r="AB1180" s="70"/>
      <c r="AC1180" s="70"/>
      <c r="AD1180" s="70"/>
      <c r="AE1180" s="70"/>
      <c r="AF1180" s="70"/>
      <c r="AG1180" s="70"/>
      <c r="AH1180" s="70"/>
      <c r="AI1180" s="70"/>
      <c r="AJ1180" s="70"/>
      <c r="AK1180" s="70"/>
      <c r="AL1180" s="70"/>
      <c r="AM1180" s="70"/>
      <c r="AN1180" s="70"/>
      <c r="AO1180" s="70"/>
      <c r="AP1180" s="70"/>
      <c r="AQ1180" s="77"/>
      <c r="AR1180" s="77"/>
      <c r="AS1180" s="77"/>
      <c r="AT1180" s="77"/>
      <c r="AU1180" s="77"/>
      <c r="AV1180" s="77"/>
      <c r="AW1180" s="77"/>
      <c r="AX1180" s="77"/>
      <c r="AY1180" s="77"/>
      <c r="AZ1180" s="77"/>
      <c r="BA1180" s="77"/>
      <c r="BB1180" s="77"/>
      <c r="BC1180" s="77"/>
      <c r="BD1180" s="77"/>
      <c r="BE1180" s="77"/>
      <c r="BF1180" s="77"/>
      <c r="BG1180" s="77"/>
      <c r="BH1180" s="77"/>
      <c r="BI1180" s="77"/>
      <c r="BJ1180" s="77"/>
      <c r="BK1180" s="77"/>
      <c r="BL1180" s="77"/>
      <c r="BM1180" s="77"/>
    </row>
    <row r="1181">
      <c r="A1181" s="100" t="s">
        <v>69</v>
      </c>
      <c r="B1181" s="100" t="b">
        <v>0</v>
      </c>
      <c r="C1181" s="100" t="b">
        <v>0</v>
      </c>
      <c r="D1181" s="42"/>
      <c r="E1181" s="43"/>
      <c r="F1181" s="101"/>
      <c r="G1181" s="102"/>
      <c r="H1181" s="103"/>
      <c r="I1181" s="103"/>
      <c r="J1181" s="104"/>
      <c r="K1181" s="102"/>
      <c r="L1181" s="102"/>
      <c r="M1181" s="105"/>
      <c r="N1181" s="105"/>
      <c r="O1181" s="103"/>
      <c r="P1181" s="103"/>
      <c r="Q1181" s="103"/>
      <c r="R1181" s="103"/>
      <c r="S1181" s="103"/>
      <c r="T1181" s="103"/>
      <c r="U1181" s="103"/>
      <c r="V1181" s="103"/>
      <c r="W1181" s="103"/>
      <c r="X1181" s="103"/>
      <c r="Y1181" s="70"/>
      <c r="Z1181" s="70"/>
      <c r="AA1181" s="70"/>
      <c r="AB1181" s="70"/>
      <c r="AC1181" s="70"/>
      <c r="AD1181" s="70"/>
      <c r="AE1181" s="70"/>
      <c r="AF1181" s="70"/>
      <c r="AG1181" s="70"/>
      <c r="AH1181" s="70"/>
      <c r="AI1181" s="70"/>
      <c r="AJ1181" s="70"/>
      <c r="AK1181" s="70"/>
      <c r="AL1181" s="70"/>
      <c r="AM1181" s="70"/>
      <c r="AN1181" s="70"/>
      <c r="AO1181" s="70"/>
      <c r="AP1181" s="70"/>
      <c r="AQ1181" s="77"/>
      <c r="AR1181" s="77"/>
      <c r="AS1181" s="77"/>
      <c r="AT1181" s="77"/>
      <c r="AU1181" s="77"/>
      <c r="AV1181" s="77"/>
      <c r="AW1181" s="77"/>
      <c r="AX1181" s="77"/>
      <c r="AY1181" s="77"/>
      <c r="AZ1181" s="77"/>
      <c r="BA1181" s="77"/>
      <c r="BB1181" s="77"/>
      <c r="BC1181" s="77"/>
      <c r="BD1181" s="77"/>
      <c r="BE1181" s="77"/>
      <c r="BF1181" s="77"/>
      <c r="BG1181" s="77"/>
      <c r="BH1181" s="77"/>
      <c r="BI1181" s="77"/>
      <c r="BJ1181" s="77"/>
      <c r="BK1181" s="77"/>
      <c r="BL1181" s="77"/>
      <c r="BM1181" s="77"/>
    </row>
    <row r="1182">
      <c r="A1182" s="99" t="s">
        <v>69</v>
      </c>
      <c r="B1182" s="99" t="b">
        <v>0</v>
      </c>
      <c r="C1182" s="99" t="b">
        <v>0</v>
      </c>
      <c r="D1182" s="80"/>
      <c r="E1182" s="81"/>
      <c r="F1182" s="106"/>
      <c r="G1182" s="107"/>
      <c r="H1182" s="108"/>
      <c r="I1182" s="108"/>
      <c r="J1182" s="109"/>
      <c r="K1182" s="107"/>
      <c r="L1182" s="107"/>
      <c r="M1182" s="110"/>
      <c r="N1182" s="110"/>
      <c r="O1182" s="108"/>
      <c r="P1182" s="108"/>
      <c r="Q1182" s="108"/>
      <c r="R1182" s="108"/>
      <c r="S1182" s="108"/>
      <c r="T1182" s="108"/>
      <c r="U1182" s="108"/>
      <c r="V1182" s="108"/>
      <c r="W1182" s="108"/>
      <c r="X1182" s="108"/>
      <c r="Y1182" s="70"/>
      <c r="Z1182" s="70"/>
      <c r="AA1182" s="70"/>
      <c r="AB1182" s="70"/>
      <c r="AC1182" s="70"/>
      <c r="AD1182" s="70"/>
      <c r="AE1182" s="70"/>
      <c r="AF1182" s="70"/>
      <c r="AG1182" s="70"/>
      <c r="AH1182" s="70"/>
      <c r="AI1182" s="70"/>
      <c r="AJ1182" s="70"/>
      <c r="AK1182" s="70"/>
      <c r="AL1182" s="70"/>
      <c r="AM1182" s="70"/>
      <c r="AN1182" s="70"/>
      <c r="AO1182" s="70"/>
      <c r="AP1182" s="70"/>
      <c r="AQ1182" s="77"/>
      <c r="AR1182" s="77"/>
      <c r="AS1182" s="77"/>
      <c r="AT1182" s="77"/>
      <c r="AU1182" s="77"/>
      <c r="AV1182" s="77"/>
      <c r="AW1182" s="77"/>
      <c r="AX1182" s="77"/>
      <c r="AY1182" s="77"/>
      <c r="AZ1182" s="77"/>
      <c r="BA1182" s="77"/>
      <c r="BB1182" s="77"/>
      <c r="BC1182" s="77"/>
      <c r="BD1182" s="77"/>
      <c r="BE1182" s="77"/>
      <c r="BF1182" s="77"/>
      <c r="BG1182" s="77"/>
      <c r="BH1182" s="77"/>
      <c r="BI1182" s="77"/>
      <c r="BJ1182" s="77"/>
      <c r="BK1182" s="77"/>
      <c r="BL1182" s="77"/>
      <c r="BM1182" s="77"/>
    </row>
    <row r="1183">
      <c r="A1183" s="100" t="s">
        <v>69</v>
      </c>
      <c r="B1183" s="100" t="b">
        <v>0</v>
      </c>
      <c r="C1183" s="100" t="b">
        <v>0</v>
      </c>
      <c r="D1183" s="42"/>
      <c r="E1183" s="43"/>
      <c r="F1183" s="101"/>
      <c r="G1183" s="102"/>
      <c r="H1183" s="103"/>
      <c r="I1183" s="103"/>
      <c r="J1183" s="104"/>
      <c r="K1183" s="102"/>
      <c r="L1183" s="102"/>
      <c r="M1183" s="105"/>
      <c r="N1183" s="105"/>
      <c r="O1183" s="103"/>
      <c r="P1183" s="103"/>
      <c r="Q1183" s="103"/>
      <c r="R1183" s="103"/>
      <c r="S1183" s="103"/>
      <c r="T1183" s="103"/>
      <c r="U1183" s="103"/>
      <c r="V1183" s="103"/>
      <c r="W1183" s="103"/>
      <c r="X1183" s="103"/>
      <c r="Y1183" s="70"/>
      <c r="Z1183" s="70"/>
      <c r="AA1183" s="70"/>
      <c r="AB1183" s="70"/>
      <c r="AC1183" s="70"/>
      <c r="AD1183" s="70"/>
      <c r="AE1183" s="70"/>
      <c r="AF1183" s="70"/>
      <c r="AG1183" s="70"/>
      <c r="AH1183" s="70"/>
      <c r="AI1183" s="70"/>
      <c r="AJ1183" s="70"/>
      <c r="AK1183" s="70"/>
      <c r="AL1183" s="70"/>
      <c r="AM1183" s="70"/>
      <c r="AN1183" s="70"/>
      <c r="AO1183" s="70"/>
      <c r="AP1183" s="70"/>
      <c r="AQ1183" s="77"/>
      <c r="AR1183" s="77"/>
      <c r="AS1183" s="77"/>
      <c r="AT1183" s="77"/>
      <c r="AU1183" s="77"/>
      <c r="AV1183" s="77"/>
      <c r="AW1183" s="77"/>
      <c r="AX1183" s="77"/>
      <c r="AY1183" s="77"/>
      <c r="AZ1183" s="77"/>
      <c r="BA1183" s="77"/>
      <c r="BB1183" s="77"/>
      <c r="BC1183" s="77"/>
      <c r="BD1183" s="77"/>
      <c r="BE1183" s="77"/>
      <c r="BF1183" s="77"/>
      <c r="BG1183" s="77"/>
      <c r="BH1183" s="77"/>
      <c r="BI1183" s="77"/>
      <c r="BJ1183" s="77"/>
      <c r="BK1183" s="77"/>
      <c r="BL1183" s="77"/>
      <c r="BM1183" s="77"/>
    </row>
    <row r="1184">
      <c r="A1184" s="99" t="s">
        <v>69</v>
      </c>
      <c r="B1184" s="99" t="b">
        <v>0</v>
      </c>
      <c r="C1184" s="99" t="b">
        <v>0</v>
      </c>
      <c r="D1184" s="80"/>
      <c r="E1184" s="81"/>
      <c r="F1184" s="106"/>
      <c r="G1184" s="107"/>
      <c r="H1184" s="108"/>
      <c r="I1184" s="108"/>
      <c r="J1184" s="109"/>
      <c r="K1184" s="107"/>
      <c r="L1184" s="107"/>
      <c r="M1184" s="110"/>
      <c r="N1184" s="110"/>
      <c r="O1184" s="108"/>
      <c r="P1184" s="108"/>
      <c r="Q1184" s="108"/>
      <c r="R1184" s="108"/>
      <c r="S1184" s="108"/>
      <c r="T1184" s="108"/>
      <c r="U1184" s="108"/>
      <c r="V1184" s="108"/>
      <c r="W1184" s="108"/>
      <c r="X1184" s="108"/>
      <c r="Y1184" s="70"/>
      <c r="Z1184" s="70"/>
      <c r="AA1184" s="70"/>
      <c r="AB1184" s="70"/>
      <c r="AC1184" s="70"/>
      <c r="AD1184" s="70"/>
      <c r="AE1184" s="70"/>
      <c r="AF1184" s="70"/>
      <c r="AG1184" s="70"/>
      <c r="AH1184" s="70"/>
      <c r="AI1184" s="70"/>
      <c r="AJ1184" s="70"/>
      <c r="AK1184" s="70"/>
      <c r="AL1184" s="70"/>
      <c r="AM1184" s="70"/>
      <c r="AN1184" s="70"/>
      <c r="AO1184" s="70"/>
      <c r="AP1184" s="70"/>
      <c r="AQ1184" s="77"/>
      <c r="AR1184" s="77"/>
      <c r="AS1184" s="77"/>
      <c r="AT1184" s="77"/>
      <c r="AU1184" s="77"/>
      <c r="AV1184" s="77"/>
      <c r="AW1184" s="77"/>
      <c r="AX1184" s="77"/>
      <c r="AY1184" s="77"/>
      <c r="AZ1184" s="77"/>
      <c r="BA1184" s="77"/>
      <c r="BB1184" s="77"/>
      <c r="BC1184" s="77"/>
      <c r="BD1184" s="77"/>
      <c r="BE1184" s="77"/>
      <c r="BF1184" s="77"/>
      <c r="BG1184" s="77"/>
      <c r="BH1184" s="77"/>
      <c r="BI1184" s="77"/>
      <c r="BJ1184" s="77"/>
      <c r="BK1184" s="77"/>
      <c r="BL1184" s="77"/>
      <c r="BM1184" s="77"/>
    </row>
    <row r="1185">
      <c r="A1185" s="100" t="s">
        <v>69</v>
      </c>
      <c r="B1185" s="100" t="b">
        <v>0</v>
      </c>
      <c r="C1185" s="100" t="b">
        <v>0</v>
      </c>
      <c r="D1185" s="42"/>
      <c r="E1185" s="43"/>
      <c r="F1185" s="101"/>
      <c r="G1185" s="102"/>
      <c r="H1185" s="103"/>
      <c r="I1185" s="103"/>
      <c r="J1185" s="104"/>
      <c r="K1185" s="102"/>
      <c r="L1185" s="102"/>
      <c r="M1185" s="105"/>
      <c r="N1185" s="105"/>
      <c r="O1185" s="103"/>
      <c r="P1185" s="103"/>
      <c r="Q1185" s="103"/>
      <c r="R1185" s="103"/>
      <c r="S1185" s="103"/>
      <c r="T1185" s="103"/>
      <c r="U1185" s="103"/>
      <c r="V1185" s="103"/>
      <c r="W1185" s="103"/>
      <c r="X1185" s="103"/>
      <c r="Y1185" s="70"/>
      <c r="Z1185" s="70"/>
      <c r="AA1185" s="70"/>
      <c r="AB1185" s="70"/>
      <c r="AC1185" s="70"/>
      <c r="AD1185" s="70"/>
      <c r="AE1185" s="70"/>
      <c r="AF1185" s="70"/>
      <c r="AG1185" s="70"/>
      <c r="AH1185" s="70"/>
      <c r="AI1185" s="70"/>
      <c r="AJ1185" s="70"/>
      <c r="AK1185" s="70"/>
      <c r="AL1185" s="70"/>
      <c r="AM1185" s="70"/>
      <c r="AN1185" s="70"/>
      <c r="AO1185" s="70"/>
      <c r="AP1185" s="70"/>
      <c r="AQ1185" s="77"/>
      <c r="AR1185" s="77"/>
      <c r="AS1185" s="77"/>
      <c r="AT1185" s="77"/>
      <c r="AU1185" s="77"/>
      <c r="AV1185" s="77"/>
      <c r="AW1185" s="77"/>
      <c r="AX1185" s="77"/>
      <c r="AY1185" s="77"/>
      <c r="AZ1185" s="77"/>
      <c r="BA1185" s="77"/>
      <c r="BB1185" s="77"/>
      <c r="BC1185" s="77"/>
      <c r="BD1185" s="77"/>
      <c r="BE1185" s="77"/>
      <c r="BF1185" s="77"/>
      <c r="BG1185" s="77"/>
      <c r="BH1185" s="77"/>
      <c r="BI1185" s="77"/>
      <c r="BJ1185" s="77"/>
      <c r="BK1185" s="77"/>
      <c r="BL1185" s="77"/>
      <c r="BM1185" s="77"/>
    </row>
    <row r="1186">
      <c r="A1186" s="99" t="s">
        <v>69</v>
      </c>
      <c r="B1186" s="99" t="b">
        <v>0</v>
      </c>
      <c r="C1186" s="99" t="b">
        <v>0</v>
      </c>
      <c r="D1186" s="80"/>
      <c r="E1186" s="81"/>
      <c r="F1186" s="106"/>
      <c r="G1186" s="107"/>
      <c r="H1186" s="108"/>
      <c r="I1186" s="108"/>
      <c r="J1186" s="109"/>
      <c r="K1186" s="107"/>
      <c r="L1186" s="107"/>
      <c r="M1186" s="110"/>
      <c r="N1186" s="110"/>
      <c r="O1186" s="108"/>
      <c r="P1186" s="108"/>
      <c r="Q1186" s="108"/>
      <c r="R1186" s="108"/>
      <c r="S1186" s="108"/>
      <c r="T1186" s="108"/>
      <c r="U1186" s="108"/>
      <c r="V1186" s="108"/>
      <c r="W1186" s="108"/>
      <c r="X1186" s="108"/>
      <c r="Y1186" s="70"/>
      <c r="Z1186" s="70"/>
      <c r="AA1186" s="70"/>
      <c r="AB1186" s="70"/>
      <c r="AC1186" s="70"/>
      <c r="AD1186" s="70"/>
      <c r="AE1186" s="70"/>
      <c r="AF1186" s="70"/>
      <c r="AG1186" s="70"/>
      <c r="AH1186" s="70"/>
      <c r="AI1186" s="70"/>
      <c r="AJ1186" s="70"/>
      <c r="AK1186" s="70"/>
      <c r="AL1186" s="70"/>
      <c r="AM1186" s="70"/>
      <c r="AN1186" s="70"/>
      <c r="AO1186" s="70"/>
      <c r="AP1186" s="70"/>
      <c r="AQ1186" s="77"/>
      <c r="AR1186" s="77"/>
      <c r="AS1186" s="77"/>
      <c r="AT1186" s="77"/>
      <c r="AU1186" s="77"/>
      <c r="AV1186" s="77"/>
      <c r="AW1186" s="77"/>
      <c r="AX1186" s="77"/>
      <c r="AY1186" s="77"/>
      <c r="AZ1186" s="77"/>
      <c r="BA1186" s="77"/>
      <c r="BB1186" s="77"/>
      <c r="BC1186" s="77"/>
      <c r="BD1186" s="77"/>
      <c r="BE1186" s="77"/>
      <c r="BF1186" s="77"/>
      <c r="BG1186" s="77"/>
      <c r="BH1186" s="77"/>
      <c r="BI1186" s="77"/>
      <c r="BJ1186" s="77"/>
      <c r="BK1186" s="77"/>
      <c r="BL1186" s="77"/>
      <c r="BM1186" s="77"/>
    </row>
    <row r="1187">
      <c r="A1187" s="100" t="s">
        <v>69</v>
      </c>
      <c r="B1187" s="100" t="b">
        <v>0</v>
      </c>
      <c r="C1187" s="100" t="b">
        <v>0</v>
      </c>
      <c r="D1187" s="42"/>
      <c r="E1187" s="43"/>
      <c r="F1187" s="101"/>
      <c r="G1187" s="102"/>
      <c r="H1187" s="103"/>
      <c r="I1187" s="103"/>
      <c r="J1187" s="104"/>
      <c r="K1187" s="102"/>
      <c r="L1187" s="102"/>
      <c r="M1187" s="105"/>
      <c r="N1187" s="105"/>
      <c r="O1187" s="103"/>
      <c r="P1187" s="103"/>
      <c r="Q1187" s="103"/>
      <c r="R1187" s="103"/>
      <c r="S1187" s="103"/>
      <c r="T1187" s="103"/>
      <c r="U1187" s="103"/>
      <c r="V1187" s="103"/>
      <c r="W1187" s="103"/>
      <c r="X1187" s="103"/>
      <c r="Y1187" s="70"/>
      <c r="Z1187" s="70"/>
      <c r="AA1187" s="70"/>
      <c r="AB1187" s="70"/>
      <c r="AC1187" s="70"/>
      <c r="AD1187" s="70"/>
      <c r="AE1187" s="70"/>
      <c r="AF1187" s="70"/>
      <c r="AG1187" s="70"/>
      <c r="AH1187" s="70"/>
      <c r="AI1187" s="70"/>
      <c r="AJ1187" s="70"/>
      <c r="AK1187" s="70"/>
      <c r="AL1187" s="70"/>
      <c r="AM1187" s="70"/>
      <c r="AN1187" s="70"/>
      <c r="AO1187" s="70"/>
      <c r="AP1187" s="70"/>
      <c r="AQ1187" s="77"/>
      <c r="AR1187" s="77"/>
      <c r="AS1187" s="77"/>
      <c r="AT1187" s="77"/>
      <c r="AU1187" s="77"/>
      <c r="AV1187" s="77"/>
      <c r="AW1187" s="77"/>
      <c r="AX1187" s="77"/>
      <c r="AY1187" s="77"/>
      <c r="AZ1187" s="77"/>
      <c r="BA1187" s="77"/>
      <c r="BB1187" s="77"/>
      <c r="BC1187" s="77"/>
      <c r="BD1187" s="77"/>
      <c r="BE1187" s="77"/>
      <c r="BF1187" s="77"/>
      <c r="BG1187" s="77"/>
      <c r="BH1187" s="77"/>
      <c r="BI1187" s="77"/>
      <c r="BJ1187" s="77"/>
      <c r="BK1187" s="77"/>
      <c r="BL1187" s="77"/>
      <c r="BM1187" s="77"/>
    </row>
    <row r="1188">
      <c r="A1188" s="99" t="s">
        <v>69</v>
      </c>
      <c r="B1188" s="99" t="b">
        <v>0</v>
      </c>
      <c r="C1188" s="99" t="b">
        <v>0</v>
      </c>
      <c r="D1188" s="80"/>
      <c r="E1188" s="81"/>
      <c r="F1188" s="106"/>
      <c r="G1188" s="107"/>
      <c r="H1188" s="108"/>
      <c r="I1188" s="108"/>
      <c r="J1188" s="109"/>
      <c r="K1188" s="107"/>
      <c r="L1188" s="107"/>
      <c r="M1188" s="110"/>
      <c r="N1188" s="110"/>
      <c r="O1188" s="108"/>
      <c r="P1188" s="108"/>
      <c r="Q1188" s="108"/>
      <c r="R1188" s="108"/>
      <c r="S1188" s="108"/>
      <c r="T1188" s="108"/>
      <c r="U1188" s="108"/>
      <c r="V1188" s="108"/>
      <c r="W1188" s="108"/>
      <c r="X1188" s="108"/>
      <c r="Y1188" s="70"/>
      <c r="Z1188" s="70"/>
      <c r="AA1188" s="70"/>
      <c r="AB1188" s="70"/>
      <c r="AC1188" s="70"/>
      <c r="AD1188" s="70"/>
      <c r="AE1188" s="70"/>
      <c r="AF1188" s="70"/>
      <c r="AG1188" s="70"/>
      <c r="AH1188" s="70"/>
      <c r="AI1188" s="70"/>
      <c r="AJ1188" s="70"/>
      <c r="AK1188" s="70"/>
      <c r="AL1188" s="70"/>
      <c r="AM1188" s="70"/>
      <c r="AN1188" s="70"/>
      <c r="AO1188" s="70"/>
      <c r="AP1188" s="70"/>
      <c r="AQ1188" s="77"/>
      <c r="AR1188" s="77"/>
      <c r="AS1188" s="77"/>
      <c r="AT1188" s="77"/>
      <c r="AU1188" s="77"/>
      <c r="AV1188" s="77"/>
      <c r="AW1188" s="77"/>
      <c r="AX1188" s="77"/>
      <c r="AY1188" s="77"/>
      <c r="AZ1188" s="77"/>
      <c r="BA1188" s="77"/>
      <c r="BB1188" s="77"/>
      <c r="BC1188" s="77"/>
      <c r="BD1188" s="77"/>
      <c r="BE1188" s="77"/>
      <c r="BF1188" s="77"/>
      <c r="BG1188" s="77"/>
      <c r="BH1188" s="77"/>
      <c r="BI1188" s="77"/>
      <c r="BJ1188" s="77"/>
      <c r="BK1188" s="77"/>
      <c r="BL1188" s="77"/>
      <c r="BM1188" s="77"/>
    </row>
    <row r="1189">
      <c r="A1189" s="100" t="s">
        <v>69</v>
      </c>
      <c r="B1189" s="100" t="b">
        <v>0</v>
      </c>
      <c r="C1189" s="100" t="b">
        <v>0</v>
      </c>
      <c r="D1189" s="42"/>
      <c r="E1189" s="43"/>
      <c r="F1189" s="101"/>
      <c r="G1189" s="102"/>
      <c r="H1189" s="103"/>
      <c r="I1189" s="103"/>
      <c r="J1189" s="104"/>
      <c r="K1189" s="102"/>
      <c r="L1189" s="102"/>
      <c r="M1189" s="105"/>
      <c r="N1189" s="105"/>
      <c r="O1189" s="103"/>
      <c r="P1189" s="103"/>
      <c r="Q1189" s="103"/>
      <c r="R1189" s="103"/>
      <c r="S1189" s="103"/>
      <c r="T1189" s="103"/>
      <c r="U1189" s="103"/>
      <c r="V1189" s="103"/>
      <c r="W1189" s="103"/>
      <c r="X1189" s="103"/>
      <c r="Y1189" s="70"/>
      <c r="Z1189" s="70"/>
      <c r="AA1189" s="70"/>
      <c r="AB1189" s="70"/>
      <c r="AC1189" s="70"/>
      <c r="AD1189" s="70"/>
      <c r="AE1189" s="70"/>
      <c r="AF1189" s="70"/>
      <c r="AG1189" s="70"/>
      <c r="AH1189" s="70"/>
      <c r="AI1189" s="70"/>
      <c r="AJ1189" s="70"/>
      <c r="AK1189" s="70"/>
      <c r="AL1189" s="70"/>
      <c r="AM1189" s="70"/>
      <c r="AN1189" s="70"/>
      <c r="AO1189" s="70"/>
      <c r="AP1189" s="70"/>
      <c r="AQ1189" s="77"/>
      <c r="AR1189" s="77"/>
      <c r="AS1189" s="77"/>
      <c r="AT1189" s="77"/>
      <c r="AU1189" s="77"/>
      <c r="AV1189" s="77"/>
      <c r="AW1189" s="77"/>
      <c r="AX1189" s="77"/>
      <c r="AY1189" s="77"/>
      <c r="AZ1189" s="77"/>
      <c r="BA1189" s="77"/>
      <c r="BB1189" s="77"/>
      <c r="BC1189" s="77"/>
      <c r="BD1189" s="77"/>
      <c r="BE1189" s="77"/>
      <c r="BF1189" s="77"/>
      <c r="BG1189" s="77"/>
      <c r="BH1189" s="77"/>
      <c r="BI1189" s="77"/>
      <c r="BJ1189" s="77"/>
      <c r="BK1189" s="77"/>
      <c r="BL1189" s="77"/>
      <c r="BM1189" s="77"/>
    </row>
    <row r="1190">
      <c r="A1190" s="99" t="s">
        <v>69</v>
      </c>
      <c r="B1190" s="99" t="b">
        <v>0</v>
      </c>
      <c r="C1190" s="99" t="b">
        <v>0</v>
      </c>
      <c r="D1190" s="80"/>
      <c r="E1190" s="81"/>
      <c r="F1190" s="106"/>
      <c r="G1190" s="107"/>
      <c r="H1190" s="108"/>
      <c r="I1190" s="108"/>
      <c r="J1190" s="109"/>
      <c r="K1190" s="107"/>
      <c r="L1190" s="107"/>
      <c r="M1190" s="110"/>
      <c r="N1190" s="110"/>
      <c r="O1190" s="108"/>
      <c r="P1190" s="108"/>
      <c r="Q1190" s="108"/>
      <c r="R1190" s="108"/>
      <c r="S1190" s="108"/>
      <c r="T1190" s="108"/>
      <c r="U1190" s="108"/>
      <c r="V1190" s="108"/>
      <c r="W1190" s="108"/>
      <c r="X1190" s="108"/>
      <c r="Y1190" s="70"/>
      <c r="Z1190" s="70"/>
      <c r="AA1190" s="70"/>
      <c r="AB1190" s="70"/>
      <c r="AC1190" s="70"/>
      <c r="AD1190" s="70"/>
      <c r="AE1190" s="70"/>
      <c r="AF1190" s="70"/>
      <c r="AG1190" s="70"/>
      <c r="AH1190" s="70"/>
      <c r="AI1190" s="70"/>
      <c r="AJ1190" s="70"/>
      <c r="AK1190" s="70"/>
      <c r="AL1190" s="70"/>
      <c r="AM1190" s="70"/>
      <c r="AN1190" s="70"/>
      <c r="AO1190" s="70"/>
      <c r="AP1190" s="70"/>
      <c r="AQ1190" s="77"/>
      <c r="AR1190" s="77"/>
      <c r="AS1190" s="77"/>
      <c r="AT1190" s="77"/>
      <c r="AU1190" s="77"/>
      <c r="AV1190" s="77"/>
      <c r="AW1190" s="77"/>
      <c r="AX1190" s="77"/>
      <c r="AY1190" s="77"/>
      <c r="AZ1190" s="77"/>
      <c r="BA1190" s="77"/>
      <c r="BB1190" s="77"/>
      <c r="BC1190" s="77"/>
      <c r="BD1190" s="77"/>
      <c r="BE1190" s="77"/>
      <c r="BF1190" s="77"/>
      <c r="BG1190" s="77"/>
      <c r="BH1190" s="77"/>
      <c r="BI1190" s="77"/>
      <c r="BJ1190" s="77"/>
      <c r="BK1190" s="77"/>
      <c r="BL1190" s="77"/>
      <c r="BM1190" s="77"/>
    </row>
    <row r="1191">
      <c r="A1191" s="100" t="s">
        <v>69</v>
      </c>
      <c r="B1191" s="100" t="b">
        <v>0</v>
      </c>
      <c r="C1191" s="100" t="b">
        <v>0</v>
      </c>
      <c r="D1191" s="42"/>
      <c r="E1191" s="43"/>
      <c r="F1191" s="101"/>
      <c r="G1191" s="102"/>
      <c r="H1191" s="103"/>
      <c r="I1191" s="103"/>
      <c r="J1191" s="104"/>
      <c r="K1191" s="102"/>
      <c r="L1191" s="102"/>
      <c r="M1191" s="105"/>
      <c r="N1191" s="105"/>
      <c r="O1191" s="103"/>
      <c r="P1191" s="103"/>
      <c r="Q1191" s="103"/>
      <c r="R1191" s="103"/>
      <c r="S1191" s="103"/>
      <c r="T1191" s="103"/>
      <c r="U1191" s="103"/>
      <c r="V1191" s="103"/>
      <c r="W1191" s="103"/>
      <c r="X1191" s="103"/>
      <c r="Y1191" s="70"/>
      <c r="Z1191" s="70"/>
      <c r="AA1191" s="70"/>
      <c r="AB1191" s="70"/>
      <c r="AC1191" s="70"/>
      <c r="AD1191" s="70"/>
      <c r="AE1191" s="70"/>
      <c r="AF1191" s="70"/>
      <c r="AG1191" s="70"/>
      <c r="AH1191" s="70"/>
      <c r="AI1191" s="70"/>
      <c r="AJ1191" s="70"/>
      <c r="AK1191" s="70"/>
      <c r="AL1191" s="70"/>
      <c r="AM1191" s="70"/>
      <c r="AN1191" s="70"/>
      <c r="AO1191" s="70"/>
      <c r="AP1191" s="70"/>
      <c r="AQ1191" s="77"/>
      <c r="AR1191" s="77"/>
      <c r="AS1191" s="77"/>
      <c r="AT1191" s="77"/>
      <c r="AU1191" s="77"/>
      <c r="AV1191" s="77"/>
      <c r="AW1191" s="77"/>
      <c r="AX1191" s="77"/>
      <c r="AY1191" s="77"/>
      <c r="AZ1191" s="77"/>
      <c r="BA1191" s="77"/>
      <c r="BB1191" s="77"/>
      <c r="BC1191" s="77"/>
      <c r="BD1191" s="77"/>
      <c r="BE1191" s="77"/>
      <c r="BF1191" s="77"/>
      <c r="BG1191" s="77"/>
      <c r="BH1191" s="77"/>
      <c r="BI1191" s="77"/>
      <c r="BJ1191" s="77"/>
      <c r="BK1191" s="77"/>
      <c r="BL1191" s="77"/>
      <c r="BM1191" s="77"/>
    </row>
    <row r="1192">
      <c r="A1192" s="99" t="s">
        <v>69</v>
      </c>
      <c r="B1192" s="99" t="b">
        <v>0</v>
      </c>
      <c r="C1192" s="99" t="b">
        <v>0</v>
      </c>
      <c r="D1192" s="80"/>
      <c r="E1192" s="81"/>
      <c r="F1192" s="106"/>
      <c r="G1192" s="107"/>
      <c r="H1192" s="108"/>
      <c r="I1192" s="108"/>
      <c r="J1192" s="109"/>
      <c r="K1192" s="107"/>
      <c r="L1192" s="107"/>
      <c r="M1192" s="110"/>
      <c r="N1192" s="110"/>
      <c r="O1192" s="108"/>
      <c r="P1192" s="108"/>
      <c r="Q1192" s="108"/>
      <c r="R1192" s="108"/>
      <c r="S1192" s="108"/>
      <c r="T1192" s="108"/>
      <c r="U1192" s="108"/>
      <c r="V1192" s="108"/>
      <c r="W1192" s="108"/>
      <c r="X1192" s="108"/>
      <c r="Y1192" s="70"/>
      <c r="Z1192" s="70"/>
      <c r="AA1192" s="70"/>
      <c r="AB1192" s="70"/>
      <c r="AC1192" s="70"/>
      <c r="AD1192" s="70"/>
      <c r="AE1192" s="70"/>
      <c r="AF1192" s="70"/>
      <c r="AG1192" s="70"/>
      <c r="AH1192" s="70"/>
      <c r="AI1192" s="70"/>
      <c r="AJ1192" s="70"/>
      <c r="AK1192" s="70"/>
      <c r="AL1192" s="70"/>
      <c r="AM1192" s="70"/>
      <c r="AN1192" s="70"/>
      <c r="AO1192" s="70"/>
      <c r="AP1192" s="70"/>
      <c r="AQ1192" s="77"/>
      <c r="AR1192" s="77"/>
      <c r="AS1192" s="77"/>
      <c r="AT1192" s="77"/>
      <c r="AU1192" s="77"/>
      <c r="AV1192" s="77"/>
      <c r="AW1192" s="77"/>
      <c r="AX1192" s="77"/>
      <c r="AY1192" s="77"/>
      <c r="AZ1192" s="77"/>
      <c r="BA1192" s="77"/>
      <c r="BB1192" s="77"/>
      <c r="BC1192" s="77"/>
      <c r="BD1192" s="77"/>
      <c r="BE1192" s="77"/>
      <c r="BF1192" s="77"/>
      <c r="BG1192" s="77"/>
      <c r="BH1192" s="77"/>
      <c r="BI1192" s="77"/>
      <c r="BJ1192" s="77"/>
      <c r="BK1192" s="77"/>
      <c r="BL1192" s="77"/>
      <c r="BM1192" s="77"/>
    </row>
    <row r="1193">
      <c r="A1193" s="100" t="s">
        <v>69</v>
      </c>
      <c r="B1193" s="100" t="b">
        <v>0</v>
      </c>
      <c r="C1193" s="100" t="b">
        <v>0</v>
      </c>
      <c r="D1193" s="42"/>
      <c r="E1193" s="43"/>
      <c r="F1193" s="101"/>
      <c r="G1193" s="102"/>
      <c r="H1193" s="103"/>
      <c r="I1193" s="103"/>
      <c r="J1193" s="104"/>
      <c r="K1193" s="102"/>
      <c r="L1193" s="102"/>
      <c r="M1193" s="105"/>
      <c r="N1193" s="105"/>
      <c r="O1193" s="103"/>
      <c r="P1193" s="103"/>
      <c r="Q1193" s="103"/>
      <c r="R1193" s="103"/>
      <c r="S1193" s="103"/>
      <c r="T1193" s="103"/>
      <c r="U1193" s="103"/>
      <c r="V1193" s="103"/>
      <c r="W1193" s="103"/>
      <c r="X1193" s="103"/>
      <c r="Y1193" s="70"/>
      <c r="Z1193" s="70"/>
      <c r="AA1193" s="70"/>
      <c r="AB1193" s="70"/>
      <c r="AC1193" s="70"/>
      <c r="AD1193" s="70"/>
      <c r="AE1193" s="70"/>
      <c r="AF1193" s="70"/>
      <c r="AG1193" s="70"/>
      <c r="AH1193" s="70"/>
      <c r="AI1193" s="70"/>
      <c r="AJ1193" s="70"/>
      <c r="AK1193" s="70"/>
      <c r="AL1193" s="70"/>
      <c r="AM1193" s="70"/>
      <c r="AN1193" s="70"/>
      <c r="AO1193" s="70"/>
      <c r="AP1193" s="70"/>
      <c r="AQ1193" s="77"/>
      <c r="AR1193" s="77"/>
      <c r="AS1193" s="77"/>
      <c r="AT1193" s="77"/>
      <c r="AU1193" s="77"/>
      <c r="AV1193" s="77"/>
      <c r="AW1193" s="77"/>
      <c r="AX1193" s="77"/>
      <c r="AY1193" s="77"/>
      <c r="AZ1193" s="77"/>
      <c r="BA1193" s="77"/>
      <c r="BB1193" s="77"/>
      <c r="BC1193" s="77"/>
      <c r="BD1193" s="77"/>
      <c r="BE1193" s="77"/>
      <c r="BF1193" s="77"/>
      <c r="BG1193" s="77"/>
      <c r="BH1193" s="77"/>
      <c r="BI1193" s="77"/>
      <c r="BJ1193" s="77"/>
      <c r="BK1193" s="77"/>
      <c r="BL1193" s="77"/>
      <c r="BM1193" s="77"/>
    </row>
    <row r="1194">
      <c r="A1194" s="99" t="s">
        <v>69</v>
      </c>
      <c r="B1194" s="99" t="b">
        <v>0</v>
      </c>
      <c r="C1194" s="99" t="b">
        <v>0</v>
      </c>
      <c r="D1194" s="80"/>
      <c r="E1194" s="81"/>
      <c r="F1194" s="106"/>
      <c r="G1194" s="107"/>
      <c r="H1194" s="108"/>
      <c r="I1194" s="108"/>
      <c r="J1194" s="109"/>
      <c r="K1194" s="107"/>
      <c r="L1194" s="107"/>
      <c r="M1194" s="110"/>
      <c r="N1194" s="110"/>
      <c r="O1194" s="108"/>
      <c r="P1194" s="108"/>
      <c r="Q1194" s="108"/>
      <c r="R1194" s="108"/>
      <c r="S1194" s="108"/>
      <c r="T1194" s="108"/>
      <c r="U1194" s="108"/>
      <c r="V1194" s="108"/>
      <c r="W1194" s="108"/>
      <c r="X1194" s="108"/>
      <c r="Y1194" s="70"/>
      <c r="Z1194" s="70"/>
      <c r="AA1194" s="70"/>
      <c r="AB1194" s="70"/>
      <c r="AC1194" s="70"/>
      <c r="AD1194" s="70"/>
      <c r="AE1194" s="70"/>
      <c r="AF1194" s="70"/>
      <c r="AG1194" s="70"/>
      <c r="AH1194" s="70"/>
      <c r="AI1194" s="70"/>
      <c r="AJ1194" s="70"/>
      <c r="AK1194" s="70"/>
      <c r="AL1194" s="70"/>
      <c r="AM1194" s="70"/>
      <c r="AN1194" s="70"/>
      <c r="AO1194" s="70"/>
      <c r="AP1194" s="70"/>
      <c r="AQ1194" s="77"/>
      <c r="AR1194" s="77"/>
      <c r="AS1194" s="77"/>
      <c r="AT1194" s="77"/>
      <c r="AU1194" s="77"/>
      <c r="AV1194" s="77"/>
      <c r="AW1194" s="77"/>
      <c r="AX1194" s="77"/>
      <c r="AY1194" s="77"/>
      <c r="AZ1194" s="77"/>
      <c r="BA1194" s="77"/>
      <c r="BB1194" s="77"/>
      <c r="BC1194" s="77"/>
      <c r="BD1194" s="77"/>
      <c r="BE1194" s="77"/>
      <c r="BF1194" s="77"/>
      <c r="BG1194" s="77"/>
      <c r="BH1194" s="77"/>
      <c r="BI1194" s="77"/>
      <c r="BJ1194" s="77"/>
      <c r="BK1194" s="77"/>
      <c r="BL1194" s="77"/>
      <c r="BM1194" s="77"/>
    </row>
    <row r="1195">
      <c r="A1195" s="100" t="s">
        <v>69</v>
      </c>
      <c r="B1195" s="100" t="b">
        <v>0</v>
      </c>
      <c r="C1195" s="100" t="b">
        <v>0</v>
      </c>
      <c r="D1195" s="42"/>
      <c r="E1195" s="43"/>
      <c r="F1195" s="101"/>
      <c r="G1195" s="102"/>
      <c r="H1195" s="103"/>
      <c r="I1195" s="103"/>
      <c r="J1195" s="104"/>
      <c r="K1195" s="102"/>
      <c r="L1195" s="102"/>
      <c r="M1195" s="105"/>
      <c r="N1195" s="105"/>
      <c r="O1195" s="103"/>
      <c r="P1195" s="103"/>
      <c r="Q1195" s="103"/>
      <c r="R1195" s="103"/>
      <c r="S1195" s="103"/>
      <c r="T1195" s="103"/>
      <c r="U1195" s="103"/>
      <c r="V1195" s="103"/>
      <c r="W1195" s="103"/>
      <c r="X1195" s="103"/>
      <c r="Y1195" s="70"/>
      <c r="Z1195" s="70"/>
      <c r="AA1195" s="70"/>
      <c r="AB1195" s="70"/>
      <c r="AC1195" s="70"/>
      <c r="AD1195" s="70"/>
      <c r="AE1195" s="70"/>
      <c r="AF1195" s="70"/>
      <c r="AG1195" s="70"/>
      <c r="AH1195" s="70"/>
      <c r="AI1195" s="70"/>
      <c r="AJ1195" s="70"/>
      <c r="AK1195" s="70"/>
      <c r="AL1195" s="70"/>
      <c r="AM1195" s="70"/>
      <c r="AN1195" s="70"/>
      <c r="AO1195" s="70"/>
      <c r="AP1195" s="70"/>
      <c r="AQ1195" s="77"/>
      <c r="AR1195" s="77"/>
      <c r="AS1195" s="77"/>
      <c r="AT1195" s="77"/>
      <c r="AU1195" s="77"/>
      <c r="AV1195" s="77"/>
      <c r="AW1195" s="77"/>
      <c r="AX1195" s="77"/>
      <c r="AY1195" s="77"/>
      <c r="AZ1195" s="77"/>
      <c r="BA1195" s="77"/>
      <c r="BB1195" s="77"/>
      <c r="BC1195" s="77"/>
      <c r="BD1195" s="77"/>
      <c r="BE1195" s="77"/>
      <c r="BF1195" s="77"/>
      <c r="BG1195" s="77"/>
      <c r="BH1195" s="77"/>
      <c r="BI1195" s="77"/>
      <c r="BJ1195" s="77"/>
      <c r="BK1195" s="77"/>
      <c r="BL1195" s="77"/>
      <c r="BM1195" s="77"/>
    </row>
    <row r="1196">
      <c r="A1196" s="99" t="s">
        <v>69</v>
      </c>
      <c r="B1196" s="99" t="b">
        <v>0</v>
      </c>
      <c r="C1196" s="99" t="b">
        <v>0</v>
      </c>
      <c r="D1196" s="80"/>
      <c r="E1196" s="81"/>
      <c r="F1196" s="106"/>
      <c r="G1196" s="107"/>
      <c r="H1196" s="108"/>
      <c r="I1196" s="108"/>
      <c r="J1196" s="109"/>
      <c r="K1196" s="107"/>
      <c r="L1196" s="107"/>
      <c r="M1196" s="110"/>
      <c r="N1196" s="110"/>
      <c r="O1196" s="108"/>
      <c r="P1196" s="108"/>
      <c r="Q1196" s="108"/>
      <c r="R1196" s="108"/>
      <c r="S1196" s="108"/>
      <c r="T1196" s="108"/>
      <c r="U1196" s="108"/>
      <c r="V1196" s="108"/>
      <c r="W1196" s="108"/>
      <c r="X1196" s="108"/>
      <c r="Y1196" s="70"/>
      <c r="Z1196" s="70"/>
      <c r="AA1196" s="70"/>
      <c r="AB1196" s="70"/>
      <c r="AC1196" s="70"/>
      <c r="AD1196" s="70"/>
      <c r="AE1196" s="70"/>
      <c r="AF1196" s="70"/>
      <c r="AG1196" s="70"/>
      <c r="AH1196" s="70"/>
      <c r="AI1196" s="70"/>
      <c r="AJ1196" s="70"/>
      <c r="AK1196" s="70"/>
      <c r="AL1196" s="70"/>
      <c r="AM1196" s="70"/>
      <c r="AN1196" s="70"/>
      <c r="AO1196" s="70"/>
      <c r="AP1196" s="70"/>
      <c r="AQ1196" s="77"/>
      <c r="AR1196" s="77"/>
      <c r="AS1196" s="77"/>
      <c r="AT1196" s="77"/>
      <c r="AU1196" s="77"/>
      <c r="AV1196" s="77"/>
      <c r="AW1196" s="77"/>
      <c r="AX1196" s="77"/>
      <c r="AY1196" s="77"/>
      <c r="AZ1196" s="77"/>
      <c r="BA1196" s="77"/>
      <c r="BB1196" s="77"/>
      <c r="BC1196" s="77"/>
      <c r="BD1196" s="77"/>
      <c r="BE1196" s="77"/>
      <c r="BF1196" s="77"/>
      <c r="BG1196" s="77"/>
      <c r="BH1196" s="77"/>
      <c r="BI1196" s="77"/>
      <c r="BJ1196" s="77"/>
      <c r="BK1196" s="77"/>
      <c r="BL1196" s="77"/>
      <c r="BM1196" s="77"/>
    </row>
    <row r="1197">
      <c r="A1197" s="100" t="s">
        <v>69</v>
      </c>
      <c r="B1197" s="100" t="b">
        <v>0</v>
      </c>
      <c r="C1197" s="100" t="b">
        <v>0</v>
      </c>
      <c r="D1197" s="42"/>
      <c r="E1197" s="43"/>
      <c r="F1197" s="101"/>
      <c r="G1197" s="102"/>
      <c r="H1197" s="103"/>
      <c r="I1197" s="103"/>
      <c r="J1197" s="104"/>
      <c r="K1197" s="102"/>
      <c r="L1197" s="102"/>
      <c r="M1197" s="105"/>
      <c r="N1197" s="105"/>
      <c r="O1197" s="103"/>
      <c r="P1197" s="103"/>
      <c r="Q1197" s="103"/>
      <c r="R1197" s="103"/>
      <c r="S1197" s="103"/>
      <c r="T1197" s="103"/>
      <c r="U1197" s="103"/>
      <c r="V1197" s="103"/>
      <c r="W1197" s="103"/>
      <c r="X1197" s="103"/>
      <c r="Y1197" s="70"/>
      <c r="Z1197" s="70"/>
      <c r="AA1197" s="70"/>
      <c r="AB1197" s="70"/>
      <c r="AC1197" s="70"/>
      <c r="AD1197" s="70"/>
      <c r="AE1197" s="70"/>
      <c r="AF1197" s="70"/>
      <c r="AG1197" s="70"/>
      <c r="AH1197" s="70"/>
      <c r="AI1197" s="70"/>
      <c r="AJ1197" s="70"/>
      <c r="AK1197" s="70"/>
      <c r="AL1197" s="70"/>
      <c r="AM1197" s="70"/>
      <c r="AN1197" s="70"/>
      <c r="AO1197" s="70"/>
      <c r="AP1197" s="70"/>
      <c r="AQ1197" s="77"/>
      <c r="AR1197" s="77"/>
      <c r="AS1197" s="77"/>
      <c r="AT1197" s="77"/>
      <c r="AU1197" s="77"/>
      <c r="AV1197" s="77"/>
      <c r="AW1197" s="77"/>
      <c r="AX1197" s="77"/>
      <c r="AY1197" s="77"/>
      <c r="AZ1197" s="77"/>
      <c r="BA1197" s="77"/>
      <c r="BB1197" s="77"/>
      <c r="BC1197" s="77"/>
      <c r="BD1197" s="77"/>
      <c r="BE1197" s="77"/>
      <c r="BF1197" s="77"/>
      <c r="BG1197" s="77"/>
      <c r="BH1197" s="77"/>
      <c r="BI1197" s="77"/>
      <c r="BJ1197" s="77"/>
      <c r="BK1197" s="77"/>
      <c r="BL1197" s="77"/>
      <c r="BM1197" s="77"/>
    </row>
    <row r="1198">
      <c r="A1198" s="99" t="s">
        <v>69</v>
      </c>
      <c r="B1198" s="99" t="b">
        <v>0</v>
      </c>
      <c r="C1198" s="99" t="b">
        <v>0</v>
      </c>
      <c r="D1198" s="80"/>
      <c r="E1198" s="81"/>
      <c r="F1198" s="106"/>
      <c r="G1198" s="107"/>
      <c r="H1198" s="108"/>
      <c r="I1198" s="108"/>
      <c r="J1198" s="109"/>
      <c r="K1198" s="107"/>
      <c r="L1198" s="107"/>
      <c r="M1198" s="110"/>
      <c r="N1198" s="110"/>
      <c r="O1198" s="108"/>
      <c r="P1198" s="108"/>
      <c r="Q1198" s="108"/>
      <c r="R1198" s="108"/>
      <c r="S1198" s="108"/>
      <c r="T1198" s="108"/>
      <c r="U1198" s="108"/>
      <c r="V1198" s="108"/>
      <c r="W1198" s="108"/>
      <c r="X1198" s="108"/>
      <c r="Y1198" s="70"/>
      <c r="Z1198" s="70"/>
      <c r="AA1198" s="70"/>
      <c r="AB1198" s="70"/>
      <c r="AC1198" s="70"/>
      <c r="AD1198" s="70"/>
      <c r="AE1198" s="70"/>
      <c r="AF1198" s="70"/>
      <c r="AG1198" s="70"/>
      <c r="AH1198" s="70"/>
      <c r="AI1198" s="70"/>
      <c r="AJ1198" s="70"/>
      <c r="AK1198" s="70"/>
      <c r="AL1198" s="70"/>
      <c r="AM1198" s="70"/>
      <c r="AN1198" s="70"/>
      <c r="AO1198" s="70"/>
      <c r="AP1198" s="70"/>
      <c r="AQ1198" s="77"/>
      <c r="AR1198" s="77"/>
      <c r="AS1198" s="77"/>
      <c r="AT1198" s="77"/>
      <c r="AU1198" s="77"/>
      <c r="AV1198" s="77"/>
      <c r="AW1198" s="77"/>
      <c r="AX1198" s="77"/>
      <c r="AY1198" s="77"/>
      <c r="AZ1198" s="77"/>
      <c r="BA1198" s="77"/>
      <c r="BB1198" s="77"/>
      <c r="BC1198" s="77"/>
      <c r="BD1198" s="77"/>
      <c r="BE1198" s="77"/>
      <c r="BF1198" s="77"/>
      <c r="BG1198" s="77"/>
      <c r="BH1198" s="77"/>
      <c r="BI1198" s="77"/>
      <c r="BJ1198" s="77"/>
      <c r="BK1198" s="77"/>
      <c r="BL1198" s="77"/>
      <c r="BM1198" s="77"/>
    </row>
    <row r="1199">
      <c r="A1199" s="100" t="s">
        <v>69</v>
      </c>
      <c r="B1199" s="100" t="b">
        <v>0</v>
      </c>
      <c r="C1199" s="100" t="b">
        <v>0</v>
      </c>
      <c r="D1199" s="42"/>
      <c r="E1199" s="43"/>
      <c r="F1199" s="101"/>
      <c r="G1199" s="102"/>
      <c r="H1199" s="103"/>
      <c r="I1199" s="103"/>
      <c r="J1199" s="104"/>
      <c r="K1199" s="102"/>
      <c r="L1199" s="102"/>
      <c r="M1199" s="105"/>
      <c r="N1199" s="105"/>
      <c r="O1199" s="103"/>
      <c r="P1199" s="103"/>
      <c r="Q1199" s="103"/>
      <c r="R1199" s="103"/>
      <c r="S1199" s="103"/>
      <c r="T1199" s="103"/>
      <c r="U1199" s="103"/>
      <c r="V1199" s="103"/>
      <c r="W1199" s="103"/>
      <c r="X1199" s="103"/>
      <c r="Y1199" s="70"/>
      <c r="Z1199" s="70"/>
      <c r="AA1199" s="70"/>
      <c r="AB1199" s="70"/>
      <c r="AC1199" s="70"/>
      <c r="AD1199" s="70"/>
      <c r="AE1199" s="70"/>
      <c r="AF1199" s="70"/>
      <c r="AG1199" s="70"/>
      <c r="AH1199" s="70"/>
      <c r="AI1199" s="70"/>
      <c r="AJ1199" s="70"/>
      <c r="AK1199" s="70"/>
      <c r="AL1199" s="70"/>
      <c r="AM1199" s="70"/>
      <c r="AN1199" s="70"/>
      <c r="AO1199" s="70"/>
      <c r="AP1199" s="70"/>
      <c r="AQ1199" s="77"/>
      <c r="AR1199" s="77"/>
      <c r="AS1199" s="77"/>
      <c r="AT1199" s="77"/>
      <c r="AU1199" s="77"/>
      <c r="AV1199" s="77"/>
      <c r="AW1199" s="77"/>
      <c r="AX1199" s="77"/>
      <c r="AY1199" s="77"/>
      <c r="AZ1199" s="77"/>
      <c r="BA1199" s="77"/>
      <c r="BB1199" s="77"/>
      <c r="BC1199" s="77"/>
      <c r="BD1199" s="77"/>
      <c r="BE1199" s="77"/>
      <c r="BF1199" s="77"/>
      <c r="BG1199" s="77"/>
      <c r="BH1199" s="77"/>
      <c r="BI1199" s="77"/>
      <c r="BJ1199" s="77"/>
      <c r="BK1199" s="77"/>
      <c r="BL1199" s="77"/>
      <c r="BM1199" s="77"/>
    </row>
    <row r="1200">
      <c r="A1200" s="99" t="s">
        <v>69</v>
      </c>
      <c r="B1200" s="99" t="b">
        <v>0</v>
      </c>
      <c r="C1200" s="99" t="b">
        <v>0</v>
      </c>
      <c r="D1200" s="80"/>
      <c r="E1200" s="81"/>
      <c r="F1200" s="106"/>
      <c r="G1200" s="107"/>
      <c r="H1200" s="108"/>
      <c r="I1200" s="108"/>
      <c r="J1200" s="109"/>
      <c r="K1200" s="107"/>
      <c r="L1200" s="107"/>
      <c r="M1200" s="110"/>
      <c r="N1200" s="110"/>
      <c r="O1200" s="108"/>
      <c r="P1200" s="108"/>
      <c r="Q1200" s="108"/>
      <c r="R1200" s="108"/>
      <c r="S1200" s="108"/>
      <c r="T1200" s="108"/>
      <c r="U1200" s="108"/>
      <c r="V1200" s="108"/>
      <c r="W1200" s="108"/>
      <c r="X1200" s="108"/>
      <c r="Y1200" s="70"/>
      <c r="Z1200" s="70"/>
      <c r="AA1200" s="70"/>
      <c r="AB1200" s="70"/>
      <c r="AC1200" s="70"/>
      <c r="AD1200" s="70"/>
      <c r="AE1200" s="70"/>
      <c r="AF1200" s="70"/>
      <c r="AG1200" s="70"/>
      <c r="AH1200" s="70"/>
      <c r="AI1200" s="70"/>
      <c r="AJ1200" s="70"/>
      <c r="AK1200" s="70"/>
      <c r="AL1200" s="70"/>
      <c r="AM1200" s="70"/>
      <c r="AN1200" s="70"/>
      <c r="AO1200" s="70"/>
      <c r="AP1200" s="70"/>
      <c r="AQ1200" s="77"/>
      <c r="AR1200" s="77"/>
      <c r="AS1200" s="77"/>
      <c r="AT1200" s="77"/>
      <c r="AU1200" s="77"/>
      <c r="AV1200" s="77"/>
      <c r="AW1200" s="77"/>
      <c r="AX1200" s="77"/>
      <c r="AY1200" s="77"/>
      <c r="AZ1200" s="77"/>
      <c r="BA1200" s="77"/>
      <c r="BB1200" s="77"/>
      <c r="BC1200" s="77"/>
      <c r="BD1200" s="77"/>
      <c r="BE1200" s="77"/>
      <c r="BF1200" s="77"/>
      <c r="BG1200" s="77"/>
      <c r="BH1200" s="77"/>
      <c r="BI1200" s="77"/>
      <c r="BJ1200" s="77"/>
      <c r="BK1200" s="77"/>
      <c r="BL1200" s="77"/>
      <c r="BM1200" s="77"/>
    </row>
    <row r="1201">
      <c r="A1201" s="100" t="s">
        <v>69</v>
      </c>
      <c r="B1201" s="100" t="b">
        <v>0</v>
      </c>
      <c r="C1201" s="100" t="b">
        <v>0</v>
      </c>
      <c r="D1201" s="42"/>
      <c r="E1201" s="43"/>
      <c r="F1201" s="101"/>
      <c r="G1201" s="102"/>
      <c r="H1201" s="103"/>
      <c r="I1201" s="103"/>
      <c r="J1201" s="104"/>
      <c r="K1201" s="102"/>
      <c r="L1201" s="102"/>
      <c r="M1201" s="105"/>
      <c r="N1201" s="105"/>
      <c r="O1201" s="103"/>
      <c r="P1201" s="103"/>
      <c r="Q1201" s="103"/>
      <c r="R1201" s="103"/>
      <c r="S1201" s="103"/>
      <c r="T1201" s="103"/>
      <c r="U1201" s="103"/>
      <c r="V1201" s="103"/>
      <c r="W1201" s="103"/>
      <c r="X1201" s="103"/>
      <c r="Y1201" s="70"/>
      <c r="Z1201" s="70"/>
      <c r="AA1201" s="70"/>
      <c r="AB1201" s="70"/>
      <c r="AC1201" s="70"/>
      <c r="AD1201" s="70"/>
      <c r="AE1201" s="70"/>
      <c r="AF1201" s="70"/>
      <c r="AG1201" s="70"/>
      <c r="AH1201" s="70"/>
      <c r="AI1201" s="70"/>
      <c r="AJ1201" s="70"/>
      <c r="AK1201" s="70"/>
      <c r="AL1201" s="70"/>
      <c r="AM1201" s="70"/>
      <c r="AN1201" s="70"/>
      <c r="AO1201" s="70"/>
      <c r="AP1201" s="70"/>
      <c r="AQ1201" s="77"/>
      <c r="AR1201" s="77"/>
      <c r="AS1201" s="77"/>
      <c r="AT1201" s="77"/>
      <c r="AU1201" s="77"/>
      <c r="AV1201" s="77"/>
      <c r="AW1201" s="77"/>
      <c r="AX1201" s="77"/>
      <c r="AY1201" s="77"/>
      <c r="AZ1201" s="77"/>
      <c r="BA1201" s="77"/>
      <c r="BB1201" s="77"/>
      <c r="BC1201" s="77"/>
      <c r="BD1201" s="77"/>
      <c r="BE1201" s="77"/>
      <c r="BF1201" s="77"/>
      <c r="BG1201" s="77"/>
      <c r="BH1201" s="77"/>
      <c r="BI1201" s="77"/>
      <c r="BJ1201" s="77"/>
      <c r="BK1201" s="77"/>
      <c r="BL1201" s="77"/>
      <c r="BM1201" s="77"/>
    </row>
    <row r="1202">
      <c r="A1202" s="99" t="s">
        <v>69</v>
      </c>
      <c r="B1202" s="99" t="b">
        <v>0</v>
      </c>
      <c r="C1202" s="99" t="b">
        <v>0</v>
      </c>
      <c r="D1202" s="80"/>
      <c r="E1202" s="81"/>
      <c r="F1202" s="106"/>
      <c r="G1202" s="107"/>
      <c r="H1202" s="108"/>
      <c r="I1202" s="108"/>
      <c r="J1202" s="109"/>
      <c r="K1202" s="107"/>
      <c r="L1202" s="107"/>
      <c r="M1202" s="110"/>
      <c r="N1202" s="110"/>
      <c r="O1202" s="108"/>
      <c r="P1202" s="108"/>
      <c r="Q1202" s="108"/>
      <c r="R1202" s="108"/>
      <c r="S1202" s="108"/>
      <c r="T1202" s="108"/>
      <c r="U1202" s="108"/>
      <c r="V1202" s="108"/>
      <c r="W1202" s="108"/>
      <c r="X1202" s="108"/>
      <c r="Y1202" s="70"/>
      <c r="Z1202" s="70"/>
      <c r="AA1202" s="70"/>
      <c r="AB1202" s="70"/>
      <c r="AC1202" s="70"/>
      <c r="AD1202" s="70"/>
      <c r="AE1202" s="70"/>
      <c r="AF1202" s="70"/>
      <c r="AG1202" s="70"/>
      <c r="AH1202" s="70"/>
      <c r="AI1202" s="70"/>
      <c r="AJ1202" s="70"/>
      <c r="AK1202" s="70"/>
      <c r="AL1202" s="70"/>
      <c r="AM1202" s="70"/>
      <c r="AN1202" s="70"/>
      <c r="AO1202" s="70"/>
      <c r="AP1202" s="70"/>
      <c r="AQ1202" s="77"/>
      <c r="AR1202" s="77"/>
      <c r="AS1202" s="77"/>
      <c r="AT1202" s="77"/>
      <c r="AU1202" s="77"/>
      <c r="AV1202" s="77"/>
      <c r="AW1202" s="77"/>
      <c r="AX1202" s="77"/>
      <c r="AY1202" s="77"/>
      <c r="AZ1202" s="77"/>
      <c r="BA1202" s="77"/>
      <c r="BB1202" s="77"/>
      <c r="BC1202" s="77"/>
      <c r="BD1202" s="77"/>
      <c r="BE1202" s="77"/>
      <c r="BF1202" s="77"/>
      <c r="BG1202" s="77"/>
      <c r="BH1202" s="77"/>
      <c r="BI1202" s="77"/>
      <c r="BJ1202" s="77"/>
      <c r="BK1202" s="77"/>
      <c r="BL1202" s="77"/>
      <c r="BM1202" s="77"/>
    </row>
    <row r="1203">
      <c r="A1203" s="100" t="s">
        <v>69</v>
      </c>
      <c r="B1203" s="100" t="b">
        <v>0</v>
      </c>
      <c r="C1203" s="100" t="b">
        <v>0</v>
      </c>
      <c r="D1203" s="42"/>
      <c r="E1203" s="43"/>
      <c r="F1203" s="101"/>
      <c r="G1203" s="102"/>
      <c r="H1203" s="103"/>
      <c r="I1203" s="103"/>
      <c r="J1203" s="104"/>
      <c r="K1203" s="102"/>
      <c r="L1203" s="102"/>
      <c r="M1203" s="105"/>
      <c r="N1203" s="105"/>
      <c r="O1203" s="103"/>
      <c r="P1203" s="103"/>
      <c r="Q1203" s="103"/>
      <c r="R1203" s="103"/>
      <c r="S1203" s="103"/>
      <c r="T1203" s="103"/>
      <c r="U1203" s="103"/>
      <c r="V1203" s="103"/>
      <c r="W1203" s="103"/>
      <c r="X1203" s="103"/>
      <c r="Y1203" s="70"/>
      <c r="Z1203" s="70"/>
      <c r="AA1203" s="70"/>
      <c r="AB1203" s="70"/>
      <c r="AC1203" s="70"/>
      <c r="AD1203" s="70"/>
      <c r="AE1203" s="70"/>
      <c r="AF1203" s="70"/>
      <c r="AG1203" s="70"/>
      <c r="AH1203" s="70"/>
      <c r="AI1203" s="70"/>
      <c r="AJ1203" s="70"/>
      <c r="AK1203" s="70"/>
      <c r="AL1203" s="70"/>
      <c r="AM1203" s="70"/>
      <c r="AN1203" s="70"/>
      <c r="AO1203" s="70"/>
      <c r="AP1203" s="70"/>
      <c r="AQ1203" s="77"/>
      <c r="AR1203" s="77"/>
      <c r="AS1203" s="77"/>
      <c r="AT1203" s="77"/>
      <c r="AU1203" s="77"/>
      <c r="AV1203" s="77"/>
      <c r="AW1203" s="77"/>
      <c r="AX1203" s="77"/>
      <c r="AY1203" s="77"/>
      <c r="AZ1203" s="77"/>
      <c r="BA1203" s="77"/>
      <c r="BB1203" s="77"/>
      <c r="BC1203" s="77"/>
      <c r="BD1203" s="77"/>
      <c r="BE1203" s="77"/>
      <c r="BF1203" s="77"/>
      <c r="BG1203" s="77"/>
      <c r="BH1203" s="77"/>
      <c r="BI1203" s="77"/>
      <c r="BJ1203" s="77"/>
      <c r="BK1203" s="77"/>
      <c r="BL1203" s="77"/>
      <c r="BM1203" s="77"/>
    </row>
    <row r="1204">
      <c r="A1204" s="99" t="s">
        <v>69</v>
      </c>
      <c r="B1204" s="99" t="b">
        <v>0</v>
      </c>
      <c r="C1204" s="99" t="b">
        <v>0</v>
      </c>
      <c r="D1204" s="80"/>
      <c r="E1204" s="81"/>
      <c r="F1204" s="106"/>
      <c r="G1204" s="107"/>
      <c r="H1204" s="108"/>
      <c r="I1204" s="108"/>
      <c r="J1204" s="109"/>
      <c r="K1204" s="107"/>
      <c r="L1204" s="107"/>
      <c r="M1204" s="110"/>
      <c r="N1204" s="110"/>
      <c r="O1204" s="108"/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70"/>
      <c r="Z1204" s="70"/>
      <c r="AA1204" s="70"/>
      <c r="AB1204" s="70"/>
      <c r="AC1204" s="70"/>
      <c r="AD1204" s="70"/>
      <c r="AE1204" s="70"/>
      <c r="AF1204" s="70"/>
      <c r="AG1204" s="70"/>
      <c r="AH1204" s="70"/>
      <c r="AI1204" s="70"/>
      <c r="AJ1204" s="70"/>
      <c r="AK1204" s="70"/>
      <c r="AL1204" s="70"/>
      <c r="AM1204" s="70"/>
      <c r="AN1204" s="70"/>
      <c r="AO1204" s="70"/>
      <c r="AP1204" s="70"/>
      <c r="AQ1204" s="77"/>
      <c r="AR1204" s="77"/>
      <c r="AS1204" s="77"/>
      <c r="AT1204" s="77"/>
      <c r="AU1204" s="77"/>
      <c r="AV1204" s="77"/>
      <c r="AW1204" s="77"/>
      <c r="AX1204" s="77"/>
      <c r="AY1204" s="77"/>
      <c r="AZ1204" s="77"/>
      <c r="BA1204" s="77"/>
      <c r="BB1204" s="77"/>
      <c r="BC1204" s="77"/>
      <c r="BD1204" s="77"/>
      <c r="BE1204" s="77"/>
      <c r="BF1204" s="77"/>
      <c r="BG1204" s="77"/>
      <c r="BH1204" s="77"/>
      <c r="BI1204" s="77"/>
      <c r="BJ1204" s="77"/>
      <c r="BK1204" s="77"/>
      <c r="BL1204" s="77"/>
      <c r="BM1204" s="77"/>
    </row>
    <row r="1205">
      <c r="A1205" s="100" t="s">
        <v>69</v>
      </c>
      <c r="B1205" s="100" t="b">
        <v>0</v>
      </c>
      <c r="C1205" s="100" t="b">
        <v>0</v>
      </c>
      <c r="D1205" s="42"/>
      <c r="E1205" s="43"/>
      <c r="F1205" s="101"/>
      <c r="G1205" s="102"/>
      <c r="H1205" s="103"/>
      <c r="I1205" s="103"/>
      <c r="J1205" s="104"/>
      <c r="K1205" s="102"/>
      <c r="L1205" s="102"/>
      <c r="M1205" s="105"/>
      <c r="N1205" s="105"/>
      <c r="O1205" s="103"/>
      <c r="P1205" s="103"/>
      <c r="Q1205" s="103"/>
      <c r="R1205" s="103"/>
      <c r="S1205" s="103"/>
      <c r="T1205" s="103"/>
      <c r="U1205" s="103"/>
      <c r="V1205" s="103"/>
      <c r="W1205" s="103"/>
      <c r="X1205" s="103"/>
      <c r="Y1205" s="70"/>
      <c r="Z1205" s="70"/>
      <c r="AA1205" s="70"/>
      <c r="AB1205" s="70"/>
      <c r="AC1205" s="70"/>
      <c r="AD1205" s="70"/>
      <c r="AE1205" s="70"/>
      <c r="AF1205" s="70"/>
      <c r="AG1205" s="70"/>
      <c r="AH1205" s="70"/>
      <c r="AI1205" s="70"/>
      <c r="AJ1205" s="70"/>
      <c r="AK1205" s="70"/>
      <c r="AL1205" s="70"/>
      <c r="AM1205" s="70"/>
      <c r="AN1205" s="70"/>
      <c r="AO1205" s="70"/>
      <c r="AP1205" s="70"/>
      <c r="AQ1205" s="77"/>
      <c r="AR1205" s="77"/>
      <c r="AS1205" s="77"/>
      <c r="AT1205" s="77"/>
      <c r="AU1205" s="77"/>
      <c r="AV1205" s="77"/>
      <c r="AW1205" s="77"/>
      <c r="AX1205" s="77"/>
      <c r="AY1205" s="77"/>
      <c r="AZ1205" s="77"/>
      <c r="BA1205" s="77"/>
      <c r="BB1205" s="77"/>
      <c r="BC1205" s="77"/>
      <c r="BD1205" s="77"/>
      <c r="BE1205" s="77"/>
      <c r="BF1205" s="77"/>
      <c r="BG1205" s="77"/>
      <c r="BH1205" s="77"/>
      <c r="BI1205" s="77"/>
      <c r="BJ1205" s="77"/>
      <c r="BK1205" s="77"/>
      <c r="BL1205" s="77"/>
      <c r="BM1205" s="77"/>
    </row>
    <row r="1206">
      <c r="A1206" s="99" t="s">
        <v>69</v>
      </c>
      <c r="B1206" s="99" t="b">
        <v>0</v>
      </c>
      <c r="C1206" s="99" t="b">
        <v>0</v>
      </c>
      <c r="D1206" s="80"/>
      <c r="E1206" s="81"/>
      <c r="F1206" s="106"/>
      <c r="G1206" s="107"/>
      <c r="H1206" s="108"/>
      <c r="I1206" s="108"/>
      <c r="J1206" s="109"/>
      <c r="K1206" s="107"/>
      <c r="L1206" s="107"/>
      <c r="M1206" s="110"/>
      <c r="N1206" s="110"/>
      <c r="O1206" s="108"/>
      <c r="P1206" s="108"/>
      <c r="Q1206" s="108"/>
      <c r="R1206" s="108"/>
      <c r="S1206" s="108"/>
      <c r="T1206" s="108"/>
      <c r="U1206" s="108"/>
      <c r="V1206" s="108"/>
      <c r="W1206" s="108"/>
      <c r="X1206" s="108"/>
      <c r="Y1206" s="70"/>
      <c r="Z1206" s="70"/>
      <c r="AA1206" s="70"/>
      <c r="AB1206" s="70"/>
      <c r="AC1206" s="70"/>
      <c r="AD1206" s="70"/>
      <c r="AE1206" s="70"/>
      <c r="AF1206" s="70"/>
      <c r="AG1206" s="70"/>
      <c r="AH1206" s="70"/>
      <c r="AI1206" s="70"/>
      <c r="AJ1206" s="70"/>
      <c r="AK1206" s="70"/>
      <c r="AL1206" s="70"/>
      <c r="AM1206" s="70"/>
      <c r="AN1206" s="70"/>
      <c r="AO1206" s="70"/>
      <c r="AP1206" s="70"/>
      <c r="AQ1206" s="77"/>
      <c r="AR1206" s="77"/>
      <c r="AS1206" s="77"/>
      <c r="AT1206" s="77"/>
      <c r="AU1206" s="77"/>
      <c r="AV1206" s="77"/>
      <c r="AW1206" s="77"/>
      <c r="AX1206" s="77"/>
      <c r="AY1206" s="77"/>
      <c r="AZ1206" s="77"/>
      <c r="BA1206" s="77"/>
      <c r="BB1206" s="77"/>
      <c r="BC1206" s="77"/>
      <c r="BD1206" s="77"/>
      <c r="BE1206" s="77"/>
      <c r="BF1206" s="77"/>
      <c r="BG1206" s="77"/>
      <c r="BH1206" s="77"/>
      <c r="BI1206" s="77"/>
      <c r="BJ1206" s="77"/>
      <c r="BK1206" s="77"/>
      <c r="BL1206" s="77"/>
      <c r="BM1206" s="77"/>
    </row>
    <row r="1207">
      <c r="A1207" s="100" t="s">
        <v>69</v>
      </c>
      <c r="B1207" s="100" t="b">
        <v>0</v>
      </c>
      <c r="C1207" s="100" t="b">
        <v>0</v>
      </c>
      <c r="D1207" s="42"/>
      <c r="E1207" s="43"/>
      <c r="F1207" s="101"/>
      <c r="G1207" s="102"/>
      <c r="H1207" s="103"/>
      <c r="I1207" s="103"/>
      <c r="J1207" s="104"/>
      <c r="K1207" s="102"/>
      <c r="L1207" s="102"/>
      <c r="M1207" s="105"/>
      <c r="N1207" s="105"/>
      <c r="O1207" s="103"/>
      <c r="P1207" s="103"/>
      <c r="Q1207" s="103"/>
      <c r="R1207" s="103"/>
      <c r="S1207" s="103"/>
      <c r="T1207" s="103"/>
      <c r="U1207" s="103"/>
      <c r="V1207" s="103"/>
      <c r="W1207" s="103"/>
      <c r="X1207" s="103"/>
      <c r="Y1207" s="70"/>
      <c r="Z1207" s="70"/>
      <c r="AA1207" s="70"/>
      <c r="AB1207" s="70"/>
      <c r="AC1207" s="70"/>
      <c r="AD1207" s="70"/>
      <c r="AE1207" s="70"/>
      <c r="AF1207" s="70"/>
      <c r="AG1207" s="70"/>
      <c r="AH1207" s="70"/>
      <c r="AI1207" s="70"/>
      <c r="AJ1207" s="70"/>
      <c r="AK1207" s="70"/>
      <c r="AL1207" s="70"/>
      <c r="AM1207" s="70"/>
      <c r="AN1207" s="70"/>
      <c r="AO1207" s="70"/>
      <c r="AP1207" s="70"/>
      <c r="AQ1207" s="77"/>
      <c r="AR1207" s="77"/>
      <c r="AS1207" s="77"/>
      <c r="AT1207" s="77"/>
      <c r="AU1207" s="77"/>
      <c r="AV1207" s="77"/>
      <c r="AW1207" s="77"/>
      <c r="AX1207" s="77"/>
      <c r="AY1207" s="77"/>
      <c r="AZ1207" s="77"/>
      <c r="BA1207" s="77"/>
      <c r="BB1207" s="77"/>
      <c r="BC1207" s="77"/>
      <c r="BD1207" s="77"/>
      <c r="BE1207" s="77"/>
      <c r="BF1207" s="77"/>
      <c r="BG1207" s="77"/>
      <c r="BH1207" s="77"/>
      <c r="BI1207" s="77"/>
      <c r="BJ1207" s="77"/>
      <c r="BK1207" s="77"/>
      <c r="BL1207" s="77"/>
      <c r="BM1207" s="77"/>
    </row>
    <row r="1208">
      <c r="A1208" s="99" t="s">
        <v>69</v>
      </c>
      <c r="B1208" s="99" t="b">
        <v>0</v>
      </c>
      <c r="C1208" s="99" t="b">
        <v>0</v>
      </c>
      <c r="D1208" s="80"/>
      <c r="E1208" s="81"/>
      <c r="F1208" s="106"/>
      <c r="G1208" s="107"/>
      <c r="H1208" s="108"/>
      <c r="I1208" s="108"/>
      <c r="J1208" s="109"/>
      <c r="K1208" s="107"/>
      <c r="L1208" s="107"/>
      <c r="M1208" s="110"/>
      <c r="N1208" s="110"/>
      <c r="O1208" s="108"/>
      <c r="P1208" s="108"/>
      <c r="Q1208" s="108"/>
      <c r="R1208" s="108"/>
      <c r="S1208" s="108"/>
      <c r="T1208" s="108"/>
      <c r="U1208" s="108"/>
      <c r="V1208" s="108"/>
      <c r="W1208" s="108"/>
      <c r="X1208" s="108"/>
      <c r="Y1208" s="70"/>
      <c r="Z1208" s="70"/>
      <c r="AA1208" s="70"/>
      <c r="AB1208" s="70"/>
      <c r="AC1208" s="70"/>
      <c r="AD1208" s="70"/>
      <c r="AE1208" s="70"/>
      <c r="AF1208" s="70"/>
      <c r="AG1208" s="70"/>
      <c r="AH1208" s="70"/>
      <c r="AI1208" s="70"/>
      <c r="AJ1208" s="70"/>
      <c r="AK1208" s="70"/>
      <c r="AL1208" s="70"/>
      <c r="AM1208" s="70"/>
      <c r="AN1208" s="70"/>
      <c r="AO1208" s="70"/>
      <c r="AP1208" s="70"/>
      <c r="AQ1208" s="77"/>
      <c r="AR1208" s="77"/>
      <c r="AS1208" s="77"/>
      <c r="AT1208" s="77"/>
      <c r="AU1208" s="77"/>
      <c r="AV1208" s="77"/>
      <c r="AW1208" s="77"/>
      <c r="AX1208" s="77"/>
      <c r="AY1208" s="77"/>
      <c r="AZ1208" s="77"/>
      <c r="BA1208" s="77"/>
      <c r="BB1208" s="77"/>
      <c r="BC1208" s="77"/>
      <c r="BD1208" s="77"/>
      <c r="BE1208" s="77"/>
      <c r="BF1208" s="77"/>
      <c r="BG1208" s="77"/>
      <c r="BH1208" s="77"/>
      <c r="BI1208" s="77"/>
      <c r="BJ1208" s="77"/>
      <c r="BK1208" s="77"/>
      <c r="BL1208" s="77"/>
      <c r="BM1208" s="77"/>
    </row>
    <row r="1209">
      <c r="A1209" s="100" t="s">
        <v>69</v>
      </c>
      <c r="B1209" s="100" t="b">
        <v>0</v>
      </c>
      <c r="C1209" s="100" t="b">
        <v>0</v>
      </c>
      <c r="D1209" s="42"/>
      <c r="E1209" s="43"/>
      <c r="F1209" s="101"/>
      <c r="G1209" s="102"/>
      <c r="H1209" s="103"/>
      <c r="I1209" s="103"/>
      <c r="J1209" s="104"/>
      <c r="K1209" s="102"/>
      <c r="L1209" s="102"/>
      <c r="M1209" s="105"/>
      <c r="N1209" s="105"/>
      <c r="O1209" s="103"/>
      <c r="P1209" s="103"/>
      <c r="Q1209" s="103"/>
      <c r="R1209" s="103"/>
      <c r="S1209" s="103"/>
      <c r="T1209" s="103"/>
      <c r="U1209" s="103"/>
      <c r="V1209" s="103"/>
      <c r="W1209" s="103"/>
      <c r="X1209" s="103"/>
      <c r="Y1209" s="70"/>
      <c r="Z1209" s="70"/>
      <c r="AA1209" s="70"/>
      <c r="AB1209" s="70"/>
      <c r="AC1209" s="70"/>
      <c r="AD1209" s="70"/>
      <c r="AE1209" s="70"/>
      <c r="AF1209" s="70"/>
      <c r="AG1209" s="70"/>
      <c r="AH1209" s="70"/>
      <c r="AI1209" s="70"/>
      <c r="AJ1209" s="70"/>
      <c r="AK1209" s="70"/>
      <c r="AL1209" s="70"/>
      <c r="AM1209" s="70"/>
      <c r="AN1209" s="70"/>
      <c r="AO1209" s="70"/>
      <c r="AP1209" s="70"/>
      <c r="AQ1209" s="77"/>
      <c r="AR1209" s="77"/>
      <c r="AS1209" s="77"/>
      <c r="AT1209" s="77"/>
      <c r="AU1209" s="77"/>
      <c r="AV1209" s="77"/>
      <c r="AW1209" s="77"/>
      <c r="AX1209" s="77"/>
      <c r="AY1209" s="77"/>
      <c r="AZ1209" s="77"/>
      <c r="BA1209" s="77"/>
      <c r="BB1209" s="77"/>
      <c r="BC1209" s="77"/>
      <c r="BD1209" s="77"/>
      <c r="BE1209" s="77"/>
      <c r="BF1209" s="77"/>
      <c r="BG1209" s="77"/>
      <c r="BH1209" s="77"/>
      <c r="BI1209" s="77"/>
      <c r="BJ1209" s="77"/>
      <c r="BK1209" s="77"/>
      <c r="BL1209" s="77"/>
      <c r="BM1209" s="77"/>
    </row>
    <row r="1210">
      <c r="A1210" s="99" t="s">
        <v>69</v>
      </c>
      <c r="B1210" s="99" t="b">
        <v>0</v>
      </c>
      <c r="C1210" s="99" t="b">
        <v>0</v>
      </c>
      <c r="D1210" s="80"/>
      <c r="E1210" s="81"/>
      <c r="F1210" s="106"/>
      <c r="G1210" s="107"/>
      <c r="H1210" s="108"/>
      <c r="I1210" s="108"/>
      <c r="J1210" s="109"/>
      <c r="K1210" s="107"/>
      <c r="L1210" s="107"/>
      <c r="M1210" s="110"/>
      <c r="N1210" s="110"/>
      <c r="O1210" s="108"/>
      <c r="P1210" s="108"/>
      <c r="Q1210" s="108"/>
      <c r="R1210" s="108"/>
      <c r="S1210" s="108"/>
      <c r="T1210" s="108"/>
      <c r="U1210" s="108"/>
      <c r="V1210" s="108"/>
      <c r="W1210" s="108"/>
      <c r="X1210" s="108"/>
      <c r="Y1210" s="70"/>
      <c r="Z1210" s="70"/>
      <c r="AA1210" s="70"/>
      <c r="AB1210" s="70"/>
      <c r="AC1210" s="70"/>
      <c r="AD1210" s="70"/>
      <c r="AE1210" s="70"/>
      <c r="AF1210" s="70"/>
      <c r="AG1210" s="70"/>
      <c r="AH1210" s="70"/>
      <c r="AI1210" s="70"/>
      <c r="AJ1210" s="70"/>
      <c r="AK1210" s="70"/>
      <c r="AL1210" s="70"/>
      <c r="AM1210" s="70"/>
      <c r="AN1210" s="70"/>
      <c r="AO1210" s="70"/>
      <c r="AP1210" s="70"/>
      <c r="AQ1210" s="77"/>
      <c r="AR1210" s="77"/>
      <c r="AS1210" s="77"/>
      <c r="AT1210" s="77"/>
      <c r="AU1210" s="77"/>
      <c r="AV1210" s="77"/>
      <c r="AW1210" s="77"/>
      <c r="AX1210" s="77"/>
      <c r="AY1210" s="77"/>
      <c r="AZ1210" s="77"/>
      <c r="BA1210" s="77"/>
      <c r="BB1210" s="77"/>
      <c r="BC1210" s="77"/>
      <c r="BD1210" s="77"/>
      <c r="BE1210" s="77"/>
      <c r="BF1210" s="77"/>
      <c r="BG1210" s="77"/>
      <c r="BH1210" s="77"/>
      <c r="BI1210" s="77"/>
      <c r="BJ1210" s="77"/>
      <c r="BK1210" s="77"/>
      <c r="BL1210" s="77"/>
      <c r="BM1210" s="77"/>
    </row>
    <row r="1211">
      <c r="A1211" s="100" t="s">
        <v>69</v>
      </c>
      <c r="B1211" s="100" t="b">
        <v>0</v>
      </c>
      <c r="C1211" s="100" t="b">
        <v>0</v>
      </c>
      <c r="D1211" s="42"/>
      <c r="E1211" s="43"/>
      <c r="F1211" s="101"/>
      <c r="G1211" s="102"/>
      <c r="H1211" s="103"/>
      <c r="I1211" s="103"/>
      <c r="J1211" s="104"/>
      <c r="K1211" s="102"/>
      <c r="L1211" s="102"/>
      <c r="M1211" s="105"/>
      <c r="N1211" s="105"/>
      <c r="O1211" s="103"/>
      <c r="P1211" s="103"/>
      <c r="Q1211" s="103"/>
      <c r="R1211" s="103"/>
      <c r="S1211" s="103"/>
      <c r="T1211" s="103"/>
      <c r="U1211" s="103"/>
      <c r="V1211" s="103"/>
      <c r="W1211" s="103"/>
      <c r="X1211" s="103"/>
      <c r="Y1211" s="70"/>
      <c r="Z1211" s="70"/>
      <c r="AA1211" s="70"/>
      <c r="AB1211" s="70"/>
      <c r="AC1211" s="70"/>
      <c r="AD1211" s="70"/>
      <c r="AE1211" s="70"/>
      <c r="AF1211" s="70"/>
      <c r="AG1211" s="70"/>
      <c r="AH1211" s="70"/>
      <c r="AI1211" s="70"/>
      <c r="AJ1211" s="70"/>
      <c r="AK1211" s="70"/>
      <c r="AL1211" s="70"/>
      <c r="AM1211" s="70"/>
      <c r="AN1211" s="70"/>
      <c r="AO1211" s="70"/>
      <c r="AP1211" s="70"/>
      <c r="AQ1211" s="77"/>
      <c r="AR1211" s="77"/>
      <c r="AS1211" s="77"/>
      <c r="AT1211" s="77"/>
      <c r="AU1211" s="77"/>
      <c r="AV1211" s="77"/>
      <c r="AW1211" s="77"/>
      <c r="AX1211" s="77"/>
      <c r="AY1211" s="77"/>
      <c r="AZ1211" s="77"/>
      <c r="BA1211" s="77"/>
      <c r="BB1211" s="77"/>
      <c r="BC1211" s="77"/>
      <c r="BD1211" s="77"/>
      <c r="BE1211" s="77"/>
      <c r="BF1211" s="77"/>
      <c r="BG1211" s="77"/>
      <c r="BH1211" s="77"/>
      <c r="BI1211" s="77"/>
      <c r="BJ1211" s="77"/>
      <c r="BK1211" s="77"/>
      <c r="BL1211" s="77"/>
      <c r="BM1211" s="77"/>
    </row>
    <row r="1212">
      <c r="A1212" s="99" t="s">
        <v>69</v>
      </c>
      <c r="B1212" s="99" t="b">
        <v>0</v>
      </c>
      <c r="C1212" s="99" t="b">
        <v>0</v>
      </c>
      <c r="D1212" s="80"/>
      <c r="E1212" s="81"/>
      <c r="F1212" s="106"/>
      <c r="G1212" s="107"/>
      <c r="H1212" s="108"/>
      <c r="I1212" s="108"/>
      <c r="J1212" s="109"/>
      <c r="K1212" s="107"/>
      <c r="L1212" s="107"/>
      <c r="M1212" s="110"/>
      <c r="N1212" s="110"/>
      <c r="O1212" s="108"/>
      <c r="P1212" s="108"/>
      <c r="Q1212" s="108"/>
      <c r="R1212" s="108"/>
      <c r="S1212" s="108"/>
      <c r="T1212" s="108"/>
      <c r="U1212" s="108"/>
      <c r="V1212" s="108"/>
      <c r="W1212" s="108"/>
      <c r="X1212" s="108"/>
      <c r="Y1212" s="70"/>
      <c r="Z1212" s="70"/>
      <c r="AA1212" s="70"/>
      <c r="AB1212" s="70"/>
      <c r="AC1212" s="70"/>
      <c r="AD1212" s="70"/>
      <c r="AE1212" s="70"/>
      <c r="AF1212" s="70"/>
      <c r="AG1212" s="70"/>
      <c r="AH1212" s="70"/>
      <c r="AI1212" s="70"/>
      <c r="AJ1212" s="70"/>
      <c r="AK1212" s="70"/>
      <c r="AL1212" s="70"/>
      <c r="AM1212" s="70"/>
      <c r="AN1212" s="70"/>
      <c r="AO1212" s="70"/>
      <c r="AP1212" s="70"/>
      <c r="AQ1212" s="77"/>
      <c r="AR1212" s="77"/>
      <c r="AS1212" s="77"/>
      <c r="AT1212" s="77"/>
      <c r="AU1212" s="77"/>
      <c r="AV1212" s="77"/>
      <c r="AW1212" s="77"/>
      <c r="AX1212" s="77"/>
      <c r="AY1212" s="77"/>
      <c r="AZ1212" s="77"/>
      <c r="BA1212" s="77"/>
      <c r="BB1212" s="77"/>
      <c r="BC1212" s="77"/>
      <c r="BD1212" s="77"/>
      <c r="BE1212" s="77"/>
      <c r="BF1212" s="77"/>
      <c r="BG1212" s="77"/>
      <c r="BH1212" s="77"/>
      <c r="BI1212" s="77"/>
      <c r="BJ1212" s="77"/>
      <c r="BK1212" s="77"/>
      <c r="BL1212" s="77"/>
      <c r="BM1212" s="77"/>
    </row>
    <row r="1213">
      <c r="A1213" s="100" t="s">
        <v>69</v>
      </c>
      <c r="B1213" s="100" t="b">
        <v>0</v>
      </c>
      <c r="C1213" s="100" t="b">
        <v>0</v>
      </c>
      <c r="D1213" s="42"/>
      <c r="E1213" s="43"/>
      <c r="F1213" s="101"/>
      <c r="G1213" s="102"/>
      <c r="H1213" s="103"/>
      <c r="I1213" s="103"/>
      <c r="J1213" s="104"/>
      <c r="K1213" s="102"/>
      <c r="L1213" s="102"/>
      <c r="M1213" s="105"/>
      <c r="N1213" s="105"/>
      <c r="O1213" s="103"/>
      <c r="P1213" s="103"/>
      <c r="Q1213" s="103"/>
      <c r="R1213" s="103"/>
      <c r="S1213" s="103"/>
      <c r="T1213" s="103"/>
      <c r="U1213" s="103"/>
      <c r="V1213" s="103"/>
      <c r="W1213" s="103"/>
      <c r="X1213" s="103"/>
      <c r="Y1213" s="70"/>
      <c r="Z1213" s="70"/>
      <c r="AA1213" s="70"/>
      <c r="AB1213" s="70"/>
      <c r="AC1213" s="70"/>
      <c r="AD1213" s="70"/>
      <c r="AE1213" s="70"/>
      <c r="AF1213" s="70"/>
      <c r="AG1213" s="70"/>
      <c r="AH1213" s="70"/>
      <c r="AI1213" s="70"/>
      <c r="AJ1213" s="70"/>
      <c r="AK1213" s="70"/>
      <c r="AL1213" s="70"/>
      <c r="AM1213" s="70"/>
      <c r="AN1213" s="70"/>
      <c r="AO1213" s="70"/>
      <c r="AP1213" s="70"/>
      <c r="AQ1213" s="77"/>
      <c r="AR1213" s="77"/>
      <c r="AS1213" s="77"/>
      <c r="AT1213" s="77"/>
      <c r="AU1213" s="77"/>
      <c r="AV1213" s="77"/>
      <c r="AW1213" s="77"/>
      <c r="AX1213" s="77"/>
      <c r="AY1213" s="77"/>
      <c r="AZ1213" s="77"/>
      <c r="BA1213" s="77"/>
      <c r="BB1213" s="77"/>
      <c r="BC1213" s="77"/>
      <c r="BD1213" s="77"/>
      <c r="BE1213" s="77"/>
      <c r="BF1213" s="77"/>
      <c r="BG1213" s="77"/>
      <c r="BH1213" s="77"/>
      <c r="BI1213" s="77"/>
      <c r="BJ1213" s="77"/>
      <c r="BK1213" s="77"/>
      <c r="BL1213" s="77"/>
      <c r="BM1213" s="77"/>
    </row>
    <row r="1214">
      <c r="A1214" s="99" t="s">
        <v>69</v>
      </c>
      <c r="B1214" s="99" t="b">
        <v>0</v>
      </c>
      <c r="C1214" s="99" t="b">
        <v>0</v>
      </c>
      <c r="D1214" s="80"/>
      <c r="E1214" s="81"/>
      <c r="F1214" s="106"/>
      <c r="G1214" s="107"/>
      <c r="H1214" s="108"/>
      <c r="I1214" s="108"/>
      <c r="J1214" s="109"/>
      <c r="K1214" s="107"/>
      <c r="L1214" s="107"/>
      <c r="M1214" s="110"/>
      <c r="N1214" s="110"/>
      <c r="O1214" s="108"/>
      <c r="P1214" s="108"/>
      <c r="Q1214" s="108"/>
      <c r="R1214" s="108"/>
      <c r="S1214" s="108"/>
      <c r="T1214" s="108"/>
      <c r="U1214" s="108"/>
      <c r="V1214" s="108"/>
      <c r="W1214" s="108"/>
      <c r="X1214" s="108"/>
      <c r="Y1214" s="70"/>
      <c r="Z1214" s="70"/>
      <c r="AA1214" s="70"/>
      <c r="AB1214" s="70"/>
      <c r="AC1214" s="70"/>
      <c r="AD1214" s="70"/>
      <c r="AE1214" s="70"/>
      <c r="AF1214" s="70"/>
      <c r="AG1214" s="70"/>
      <c r="AH1214" s="70"/>
      <c r="AI1214" s="70"/>
      <c r="AJ1214" s="70"/>
      <c r="AK1214" s="70"/>
      <c r="AL1214" s="70"/>
      <c r="AM1214" s="70"/>
      <c r="AN1214" s="70"/>
      <c r="AO1214" s="70"/>
      <c r="AP1214" s="70"/>
      <c r="AQ1214" s="77"/>
      <c r="AR1214" s="77"/>
      <c r="AS1214" s="77"/>
      <c r="AT1214" s="77"/>
      <c r="AU1214" s="77"/>
      <c r="AV1214" s="77"/>
      <c r="AW1214" s="77"/>
      <c r="AX1214" s="77"/>
      <c r="AY1214" s="77"/>
      <c r="AZ1214" s="77"/>
      <c r="BA1214" s="77"/>
      <c r="BB1214" s="77"/>
      <c r="BC1214" s="77"/>
      <c r="BD1214" s="77"/>
      <c r="BE1214" s="77"/>
      <c r="BF1214" s="77"/>
      <c r="BG1214" s="77"/>
      <c r="BH1214" s="77"/>
      <c r="BI1214" s="77"/>
      <c r="BJ1214" s="77"/>
      <c r="BK1214" s="77"/>
      <c r="BL1214" s="77"/>
      <c r="BM1214" s="77"/>
    </row>
    <row r="1215">
      <c r="A1215" s="100" t="s">
        <v>69</v>
      </c>
      <c r="B1215" s="100" t="b">
        <v>0</v>
      </c>
      <c r="C1215" s="100" t="b">
        <v>0</v>
      </c>
      <c r="D1215" s="42"/>
      <c r="E1215" s="43"/>
      <c r="F1215" s="101"/>
      <c r="G1215" s="102"/>
      <c r="H1215" s="103"/>
      <c r="I1215" s="103"/>
      <c r="J1215" s="104"/>
      <c r="K1215" s="102"/>
      <c r="L1215" s="102"/>
      <c r="M1215" s="105"/>
      <c r="N1215" s="105"/>
      <c r="O1215" s="103"/>
      <c r="P1215" s="103"/>
      <c r="Q1215" s="103"/>
      <c r="R1215" s="103"/>
      <c r="S1215" s="103"/>
      <c r="T1215" s="103"/>
      <c r="U1215" s="103"/>
      <c r="V1215" s="103"/>
      <c r="W1215" s="103"/>
      <c r="X1215" s="103"/>
      <c r="Y1215" s="70"/>
      <c r="Z1215" s="70"/>
      <c r="AA1215" s="70"/>
      <c r="AB1215" s="70"/>
      <c r="AC1215" s="70"/>
      <c r="AD1215" s="70"/>
      <c r="AE1215" s="70"/>
      <c r="AF1215" s="70"/>
      <c r="AG1215" s="70"/>
      <c r="AH1215" s="70"/>
      <c r="AI1215" s="70"/>
      <c r="AJ1215" s="70"/>
      <c r="AK1215" s="70"/>
      <c r="AL1215" s="70"/>
      <c r="AM1215" s="70"/>
      <c r="AN1215" s="70"/>
      <c r="AO1215" s="70"/>
      <c r="AP1215" s="70"/>
      <c r="AQ1215" s="77"/>
      <c r="AR1215" s="77"/>
      <c r="AS1215" s="77"/>
      <c r="AT1215" s="77"/>
      <c r="AU1215" s="77"/>
      <c r="AV1215" s="77"/>
      <c r="AW1215" s="77"/>
      <c r="AX1215" s="77"/>
      <c r="AY1215" s="77"/>
      <c r="AZ1215" s="77"/>
      <c r="BA1215" s="77"/>
      <c r="BB1215" s="77"/>
      <c r="BC1215" s="77"/>
      <c r="BD1215" s="77"/>
      <c r="BE1215" s="77"/>
      <c r="BF1215" s="77"/>
      <c r="BG1215" s="77"/>
      <c r="BH1215" s="77"/>
      <c r="BI1215" s="77"/>
      <c r="BJ1215" s="77"/>
      <c r="BK1215" s="77"/>
      <c r="BL1215" s="77"/>
      <c r="BM1215" s="77"/>
    </row>
    <row r="1216">
      <c r="A1216" s="99" t="s">
        <v>69</v>
      </c>
      <c r="B1216" s="99" t="b">
        <v>0</v>
      </c>
      <c r="C1216" s="99" t="b">
        <v>0</v>
      </c>
      <c r="D1216" s="80"/>
      <c r="E1216" s="81"/>
      <c r="F1216" s="106"/>
      <c r="G1216" s="107"/>
      <c r="H1216" s="108"/>
      <c r="I1216" s="108"/>
      <c r="J1216" s="109"/>
      <c r="K1216" s="107"/>
      <c r="L1216" s="107"/>
      <c r="M1216" s="110"/>
      <c r="N1216" s="110"/>
      <c r="O1216" s="108"/>
      <c r="P1216" s="108"/>
      <c r="Q1216" s="108"/>
      <c r="R1216" s="108"/>
      <c r="S1216" s="108"/>
      <c r="T1216" s="108"/>
      <c r="U1216" s="108"/>
      <c r="V1216" s="108"/>
      <c r="W1216" s="108"/>
      <c r="X1216" s="108"/>
      <c r="Y1216" s="70"/>
      <c r="Z1216" s="70"/>
      <c r="AA1216" s="70"/>
      <c r="AB1216" s="70"/>
      <c r="AC1216" s="70"/>
      <c r="AD1216" s="70"/>
      <c r="AE1216" s="70"/>
      <c r="AF1216" s="70"/>
      <c r="AG1216" s="70"/>
      <c r="AH1216" s="70"/>
      <c r="AI1216" s="70"/>
      <c r="AJ1216" s="70"/>
      <c r="AK1216" s="70"/>
      <c r="AL1216" s="70"/>
      <c r="AM1216" s="70"/>
      <c r="AN1216" s="70"/>
      <c r="AO1216" s="70"/>
      <c r="AP1216" s="70"/>
      <c r="AQ1216" s="77"/>
      <c r="AR1216" s="77"/>
      <c r="AS1216" s="77"/>
      <c r="AT1216" s="77"/>
      <c r="AU1216" s="77"/>
      <c r="AV1216" s="77"/>
      <c r="AW1216" s="77"/>
      <c r="AX1216" s="77"/>
      <c r="AY1216" s="77"/>
      <c r="AZ1216" s="77"/>
      <c r="BA1216" s="77"/>
      <c r="BB1216" s="77"/>
      <c r="BC1216" s="77"/>
      <c r="BD1216" s="77"/>
      <c r="BE1216" s="77"/>
      <c r="BF1216" s="77"/>
      <c r="BG1216" s="77"/>
      <c r="BH1216" s="77"/>
      <c r="BI1216" s="77"/>
      <c r="BJ1216" s="77"/>
      <c r="BK1216" s="77"/>
      <c r="BL1216" s="77"/>
      <c r="BM1216" s="77"/>
    </row>
    <row r="1217">
      <c r="A1217" s="100" t="s">
        <v>69</v>
      </c>
      <c r="B1217" s="100" t="b">
        <v>0</v>
      </c>
      <c r="C1217" s="100" t="b">
        <v>0</v>
      </c>
      <c r="D1217" s="42"/>
      <c r="E1217" s="43"/>
      <c r="F1217" s="101"/>
      <c r="G1217" s="102"/>
      <c r="H1217" s="103"/>
      <c r="I1217" s="103"/>
      <c r="J1217" s="104"/>
      <c r="K1217" s="102"/>
      <c r="L1217" s="102"/>
      <c r="M1217" s="105"/>
      <c r="N1217" s="105"/>
      <c r="O1217" s="103"/>
      <c r="P1217" s="103"/>
      <c r="Q1217" s="103"/>
      <c r="R1217" s="103"/>
      <c r="S1217" s="103"/>
      <c r="T1217" s="103"/>
      <c r="U1217" s="103"/>
      <c r="V1217" s="103"/>
      <c r="W1217" s="103"/>
      <c r="X1217" s="103"/>
      <c r="Y1217" s="70"/>
      <c r="Z1217" s="70"/>
      <c r="AA1217" s="70"/>
      <c r="AB1217" s="70"/>
      <c r="AC1217" s="70"/>
      <c r="AD1217" s="70"/>
      <c r="AE1217" s="70"/>
      <c r="AF1217" s="70"/>
      <c r="AG1217" s="70"/>
      <c r="AH1217" s="70"/>
      <c r="AI1217" s="70"/>
      <c r="AJ1217" s="70"/>
      <c r="AK1217" s="70"/>
      <c r="AL1217" s="70"/>
      <c r="AM1217" s="70"/>
      <c r="AN1217" s="70"/>
      <c r="AO1217" s="70"/>
      <c r="AP1217" s="70"/>
      <c r="AQ1217" s="77"/>
      <c r="AR1217" s="77"/>
      <c r="AS1217" s="77"/>
      <c r="AT1217" s="77"/>
      <c r="AU1217" s="77"/>
      <c r="AV1217" s="77"/>
      <c r="AW1217" s="77"/>
      <c r="AX1217" s="77"/>
      <c r="AY1217" s="77"/>
      <c r="AZ1217" s="77"/>
      <c r="BA1217" s="77"/>
      <c r="BB1217" s="77"/>
      <c r="BC1217" s="77"/>
      <c r="BD1217" s="77"/>
      <c r="BE1217" s="77"/>
      <c r="BF1217" s="77"/>
      <c r="BG1217" s="77"/>
      <c r="BH1217" s="77"/>
      <c r="BI1217" s="77"/>
      <c r="BJ1217" s="77"/>
      <c r="BK1217" s="77"/>
      <c r="BL1217" s="77"/>
      <c r="BM1217" s="77"/>
    </row>
    <row r="1218">
      <c r="A1218" s="99" t="s">
        <v>69</v>
      </c>
      <c r="B1218" s="99" t="b">
        <v>0</v>
      </c>
      <c r="C1218" s="99" t="b">
        <v>0</v>
      </c>
      <c r="D1218" s="80"/>
      <c r="E1218" s="81"/>
      <c r="F1218" s="106"/>
      <c r="G1218" s="107"/>
      <c r="H1218" s="108"/>
      <c r="I1218" s="108"/>
      <c r="J1218" s="109"/>
      <c r="K1218" s="107"/>
      <c r="L1218" s="107"/>
      <c r="M1218" s="110"/>
      <c r="N1218" s="110"/>
      <c r="O1218" s="108"/>
      <c r="P1218" s="108"/>
      <c r="Q1218" s="108"/>
      <c r="R1218" s="108"/>
      <c r="S1218" s="108"/>
      <c r="T1218" s="108"/>
      <c r="U1218" s="108"/>
      <c r="V1218" s="108"/>
      <c r="W1218" s="108"/>
      <c r="X1218" s="108"/>
      <c r="Y1218" s="70"/>
      <c r="Z1218" s="70"/>
      <c r="AA1218" s="70"/>
      <c r="AB1218" s="70"/>
      <c r="AC1218" s="70"/>
      <c r="AD1218" s="70"/>
      <c r="AE1218" s="70"/>
      <c r="AF1218" s="70"/>
      <c r="AG1218" s="70"/>
      <c r="AH1218" s="70"/>
      <c r="AI1218" s="70"/>
      <c r="AJ1218" s="70"/>
      <c r="AK1218" s="70"/>
      <c r="AL1218" s="70"/>
      <c r="AM1218" s="70"/>
      <c r="AN1218" s="70"/>
      <c r="AO1218" s="70"/>
      <c r="AP1218" s="70"/>
      <c r="AQ1218" s="77"/>
      <c r="AR1218" s="77"/>
      <c r="AS1218" s="77"/>
      <c r="AT1218" s="77"/>
      <c r="AU1218" s="77"/>
      <c r="AV1218" s="77"/>
      <c r="AW1218" s="77"/>
      <c r="AX1218" s="77"/>
      <c r="AY1218" s="77"/>
      <c r="AZ1218" s="77"/>
      <c r="BA1218" s="77"/>
      <c r="BB1218" s="77"/>
      <c r="BC1218" s="77"/>
      <c r="BD1218" s="77"/>
      <c r="BE1218" s="77"/>
      <c r="BF1218" s="77"/>
      <c r="BG1218" s="77"/>
      <c r="BH1218" s="77"/>
      <c r="BI1218" s="77"/>
      <c r="BJ1218" s="77"/>
      <c r="BK1218" s="77"/>
      <c r="BL1218" s="77"/>
      <c r="BM1218" s="77"/>
    </row>
    <row r="1219">
      <c r="A1219" s="100" t="s">
        <v>69</v>
      </c>
      <c r="B1219" s="100" t="b">
        <v>0</v>
      </c>
      <c r="C1219" s="100" t="b">
        <v>0</v>
      </c>
      <c r="D1219" s="42"/>
      <c r="E1219" s="43"/>
      <c r="F1219" s="101"/>
      <c r="G1219" s="102"/>
      <c r="H1219" s="103"/>
      <c r="I1219" s="103"/>
      <c r="J1219" s="104"/>
      <c r="K1219" s="102"/>
      <c r="L1219" s="102"/>
      <c r="M1219" s="105"/>
      <c r="N1219" s="105"/>
      <c r="O1219" s="103"/>
      <c r="P1219" s="103"/>
      <c r="Q1219" s="103"/>
      <c r="R1219" s="103"/>
      <c r="S1219" s="103"/>
      <c r="T1219" s="103"/>
      <c r="U1219" s="103"/>
      <c r="V1219" s="103"/>
      <c r="W1219" s="103"/>
      <c r="X1219" s="103"/>
      <c r="Y1219" s="70"/>
      <c r="Z1219" s="70"/>
      <c r="AA1219" s="70"/>
      <c r="AB1219" s="70"/>
      <c r="AC1219" s="70"/>
      <c r="AD1219" s="70"/>
      <c r="AE1219" s="70"/>
      <c r="AF1219" s="70"/>
      <c r="AG1219" s="70"/>
      <c r="AH1219" s="70"/>
      <c r="AI1219" s="70"/>
      <c r="AJ1219" s="70"/>
      <c r="AK1219" s="70"/>
      <c r="AL1219" s="70"/>
      <c r="AM1219" s="70"/>
      <c r="AN1219" s="70"/>
      <c r="AO1219" s="70"/>
      <c r="AP1219" s="70"/>
      <c r="AQ1219" s="77"/>
      <c r="AR1219" s="77"/>
      <c r="AS1219" s="77"/>
      <c r="AT1219" s="77"/>
      <c r="AU1219" s="77"/>
      <c r="AV1219" s="77"/>
      <c r="AW1219" s="77"/>
      <c r="AX1219" s="77"/>
      <c r="AY1219" s="77"/>
      <c r="AZ1219" s="77"/>
      <c r="BA1219" s="77"/>
      <c r="BB1219" s="77"/>
      <c r="BC1219" s="77"/>
      <c r="BD1219" s="77"/>
      <c r="BE1219" s="77"/>
      <c r="BF1219" s="77"/>
      <c r="BG1219" s="77"/>
      <c r="BH1219" s="77"/>
      <c r="BI1219" s="77"/>
      <c r="BJ1219" s="77"/>
      <c r="BK1219" s="77"/>
      <c r="BL1219" s="77"/>
      <c r="BM1219" s="77"/>
    </row>
    <row r="1220">
      <c r="A1220" s="99" t="s">
        <v>69</v>
      </c>
      <c r="B1220" s="99" t="b">
        <v>0</v>
      </c>
      <c r="C1220" s="99" t="b">
        <v>0</v>
      </c>
      <c r="D1220" s="80"/>
      <c r="E1220" s="81"/>
      <c r="F1220" s="106"/>
      <c r="G1220" s="107"/>
      <c r="H1220" s="108"/>
      <c r="I1220" s="108"/>
      <c r="J1220" s="109"/>
      <c r="K1220" s="107"/>
      <c r="L1220" s="107"/>
      <c r="M1220" s="110"/>
      <c r="N1220" s="110"/>
      <c r="O1220" s="108"/>
      <c r="P1220" s="108"/>
      <c r="Q1220" s="108"/>
      <c r="R1220" s="108"/>
      <c r="S1220" s="108"/>
      <c r="T1220" s="108"/>
      <c r="U1220" s="108"/>
      <c r="V1220" s="108"/>
      <c r="W1220" s="108"/>
      <c r="X1220" s="108"/>
      <c r="Y1220" s="70"/>
      <c r="Z1220" s="70"/>
      <c r="AA1220" s="70"/>
      <c r="AB1220" s="70"/>
      <c r="AC1220" s="70"/>
      <c r="AD1220" s="70"/>
      <c r="AE1220" s="70"/>
      <c r="AF1220" s="70"/>
      <c r="AG1220" s="70"/>
      <c r="AH1220" s="70"/>
      <c r="AI1220" s="70"/>
      <c r="AJ1220" s="70"/>
      <c r="AK1220" s="70"/>
      <c r="AL1220" s="70"/>
      <c r="AM1220" s="70"/>
      <c r="AN1220" s="70"/>
      <c r="AO1220" s="70"/>
      <c r="AP1220" s="70"/>
      <c r="AQ1220" s="77"/>
      <c r="AR1220" s="77"/>
      <c r="AS1220" s="77"/>
      <c r="AT1220" s="77"/>
      <c r="AU1220" s="77"/>
      <c r="AV1220" s="77"/>
      <c r="AW1220" s="77"/>
      <c r="AX1220" s="77"/>
      <c r="AY1220" s="77"/>
      <c r="AZ1220" s="77"/>
      <c r="BA1220" s="77"/>
      <c r="BB1220" s="77"/>
      <c r="BC1220" s="77"/>
      <c r="BD1220" s="77"/>
      <c r="BE1220" s="77"/>
      <c r="BF1220" s="77"/>
      <c r="BG1220" s="77"/>
      <c r="BH1220" s="77"/>
      <c r="BI1220" s="77"/>
      <c r="BJ1220" s="77"/>
      <c r="BK1220" s="77"/>
      <c r="BL1220" s="77"/>
      <c r="BM1220" s="77"/>
    </row>
    <row r="1221">
      <c r="A1221" s="100" t="s">
        <v>69</v>
      </c>
      <c r="B1221" s="100" t="b">
        <v>0</v>
      </c>
      <c r="C1221" s="100" t="b">
        <v>0</v>
      </c>
      <c r="D1221" s="42"/>
      <c r="E1221" s="43"/>
      <c r="F1221" s="101"/>
      <c r="G1221" s="102"/>
      <c r="H1221" s="103"/>
      <c r="I1221" s="103"/>
      <c r="J1221" s="104"/>
      <c r="K1221" s="102"/>
      <c r="L1221" s="102"/>
      <c r="M1221" s="105"/>
      <c r="N1221" s="105"/>
      <c r="O1221" s="103"/>
      <c r="P1221" s="103"/>
      <c r="Q1221" s="103"/>
      <c r="R1221" s="103"/>
      <c r="S1221" s="103"/>
      <c r="T1221" s="103"/>
      <c r="U1221" s="103"/>
      <c r="V1221" s="103"/>
      <c r="W1221" s="103"/>
      <c r="X1221" s="103"/>
      <c r="Y1221" s="70"/>
      <c r="Z1221" s="70"/>
      <c r="AA1221" s="70"/>
      <c r="AB1221" s="70"/>
      <c r="AC1221" s="70"/>
      <c r="AD1221" s="70"/>
      <c r="AE1221" s="70"/>
      <c r="AF1221" s="70"/>
      <c r="AG1221" s="70"/>
      <c r="AH1221" s="70"/>
      <c r="AI1221" s="70"/>
      <c r="AJ1221" s="70"/>
      <c r="AK1221" s="70"/>
      <c r="AL1221" s="70"/>
      <c r="AM1221" s="70"/>
      <c r="AN1221" s="70"/>
      <c r="AO1221" s="70"/>
      <c r="AP1221" s="70"/>
      <c r="AQ1221" s="77"/>
      <c r="AR1221" s="77"/>
      <c r="AS1221" s="77"/>
      <c r="AT1221" s="77"/>
      <c r="AU1221" s="77"/>
      <c r="AV1221" s="77"/>
      <c r="AW1221" s="77"/>
      <c r="AX1221" s="77"/>
      <c r="AY1221" s="77"/>
      <c r="AZ1221" s="77"/>
      <c r="BA1221" s="77"/>
      <c r="BB1221" s="77"/>
      <c r="BC1221" s="77"/>
      <c r="BD1221" s="77"/>
      <c r="BE1221" s="77"/>
      <c r="BF1221" s="77"/>
      <c r="BG1221" s="77"/>
      <c r="BH1221" s="77"/>
      <c r="BI1221" s="77"/>
      <c r="BJ1221" s="77"/>
      <c r="BK1221" s="77"/>
      <c r="BL1221" s="77"/>
      <c r="BM1221" s="77"/>
    </row>
    <row r="1222">
      <c r="A1222" s="99" t="s">
        <v>69</v>
      </c>
      <c r="B1222" s="99" t="b">
        <v>0</v>
      </c>
      <c r="C1222" s="99" t="b">
        <v>0</v>
      </c>
      <c r="D1222" s="80"/>
      <c r="E1222" s="81"/>
      <c r="F1222" s="106"/>
      <c r="G1222" s="107"/>
      <c r="H1222" s="108"/>
      <c r="I1222" s="108"/>
      <c r="J1222" s="109"/>
      <c r="K1222" s="107"/>
      <c r="L1222" s="107"/>
      <c r="M1222" s="110"/>
      <c r="N1222" s="110"/>
      <c r="O1222" s="108"/>
      <c r="P1222" s="108"/>
      <c r="Q1222" s="108"/>
      <c r="R1222" s="108"/>
      <c r="S1222" s="108"/>
      <c r="T1222" s="108"/>
      <c r="U1222" s="108"/>
      <c r="V1222" s="108"/>
      <c r="W1222" s="108"/>
      <c r="X1222" s="108"/>
      <c r="Y1222" s="70"/>
      <c r="Z1222" s="70"/>
      <c r="AA1222" s="70"/>
      <c r="AB1222" s="70"/>
      <c r="AC1222" s="70"/>
      <c r="AD1222" s="70"/>
      <c r="AE1222" s="70"/>
      <c r="AF1222" s="70"/>
      <c r="AG1222" s="70"/>
      <c r="AH1222" s="70"/>
      <c r="AI1222" s="70"/>
      <c r="AJ1222" s="70"/>
      <c r="AK1222" s="70"/>
      <c r="AL1222" s="70"/>
      <c r="AM1222" s="70"/>
      <c r="AN1222" s="70"/>
      <c r="AO1222" s="70"/>
      <c r="AP1222" s="70"/>
      <c r="AQ1222" s="77"/>
      <c r="AR1222" s="77"/>
      <c r="AS1222" s="77"/>
      <c r="AT1222" s="77"/>
      <c r="AU1222" s="77"/>
      <c r="AV1222" s="77"/>
      <c r="AW1222" s="77"/>
      <c r="AX1222" s="77"/>
      <c r="AY1222" s="77"/>
      <c r="AZ1222" s="77"/>
      <c r="BA1222" s="77"/>
      <c r="BB1222" s="77"/>
      <c r="BC1222" s="77"/>
      <c r="BD1222" s="77"/>
      <c r="BE1222" s="77"/>
      <c r="BF1222" s="77"/>
      <c r="BG1222" s="77"/>
      <c r="BH1222" s="77"/>
      <c r="BI1222" s="77"/>
      <c r="BJ1222" s="77"/>
      <c r="BK1222" s="77"/>
      <c r="BL1222" s="77"/>
      <c r="BM1222" s="77"/>
    </row>
    <row r="1223">
      <c r="A1223" s="100" t="s">
        <v>69</v>
      </c>
      <c r="B1223" s="100" t="b">
        <v>0</v>
      </c>
      <c r="C1223" s="100" t="b">
        <v>0</v>
      </c>
      <c r="D1223" s="42"/>
      <c r="E1223" s="43"/>
      <c r="F1223" s="101"/>
      <c r="G1223" s="102"/>
      <c r="H1223" s="103"/>
      <c r="I1223" s="103"/>
      <c r="J1223" s="104"/>
      <c r="K1223" s="102"/>
      <c r="L1223" s="102"/>
      <c r="M1223" s="105"/>
      <c r="N1223" s="105"/>
      <c r="O1223" s="103"/>
      <c r="P1223" s="103"/>
      <c r="Q1223" s="103"/>
      <c r="R1223" s="103"/>
      <c r="S1223" s="103"/>
      <c r="T1223" s="103"/>
      <c r="U1223" s="103"/>
      <c r="V1223" s="103"/>
      <c r="W1223" s="103"/>
      <c r="X1223" s="103"/>
      <c r="Y1223" s="70"/>
      <c r="Z1223" s="70"/>
      <c r="AA1223" s="70"/>
      <c r="AB1223" s="70"/>
      <c r="AC1223" s="70"/>
      <c r="AD1223" s="70"/>
      <c r="AE1223" s="70"/>
      <c r="AF1223" s="70"/>
      <c r="AG1223" s="70"/>
      <c r="AH1223" s="70"/>
      <c r="AI1223" s="70"/>
      <c r="AJ1223" s="70"/>
      <c r="AK1223" s="70"/>
      <c r="AL1223" s="70"/>
      <c r="AM1223" s="70"/>
      <c r="AN1223" s="70"/>
      <c r="AO1223" s="70"/>
      <c r="AP1223" s="70"/>
      <c r="AQ1223" s="77"/>
      <c r="AR1223" s="77"/>
      <c r="AS1223" s="77"/>
      <c r="AT1223" s="77"/>
      <c r="AU1223" s="77"/>
      <c r="AV1223" s="77"/>
      <c r="AW1223" s="77"/>
      <c r="AX1223" s="77"/>
      <c r="AY1223" s="77"/>
      <c r="AZ1223" s="77"/>
      <c r="BA1223" s="77"/>
      <c r="BB1223" s="77"/>
      <c r="BC1223" s="77"/>
      <c r="BD1223" s="77"/>
      <c r="BE1223" s="77"/>
      <c r="BF1223" s="77"/>
      <c r="BG1223" s="77"/>
      <c r="BH1223" s="77"/>
      <c r="BI1223" s="77"/>
      <c r="BJ1223" s="77"/>
      <c r="BK1223" s="77"/>
      <c r="BL1223" s="77"/>
      <c r="BM1223" s="77"/>
    </row>
    <row r="1224">
      <c r="A1224" s="99" t="s">
        <v>69</v>
      </c>
      <c r="B1224" s="99" t="b">
        <v>0</v>
      </c>
      <c r="C1224" s="99" t="b">
        <v>0</v>
      </c>
      <c r="D1224" s="80"/>
      <c r="E1224" s="81"/>
      <c r="F1224" s="106"/>
      <c r="G1224" s="107"/>
      <c r="H1224" s="108"/>
      <c r="I1224" s="108"/>
      <c r="J1224" s="109"/>
      <c r="K1224" s="107"/>
      <c r="L1224" s="107"/>
      <c r="M1224" s="110"/>
      <c r="N1224" s="110"/>
      <c r="O1224" s="108"/>
      <c r="P1224" s="108"/>
      <c r="Q1224" s="108"/>
      <c r="R1224" s="108"/>
      <c r="S1224" s="108"/>
      <c r="T1224" s="108"/>
      <c r="U1224" s="108"/>
      <c r="V1224" s="108"/>
      <c r="W1224" s="108"/>
      <c r="X1224" s="108"/>
      <c r="Y1224" s="70"/>
      <c r="Z1224" s="70"/>
      <c r="AA1224" s="70"/>
      <c r="AB1224" s="70"/>
      <c r="AC1224" s="70"/>
      <c r="AD1224" s="70"/>
      <c r="AE1224" s="70"/>
      <c r="AF1224" s="70"/>
      <c r="AG1224" s="70"/>
      <c r="AH1224" s="70"/>
      <c r="AI1224" s="70"/>
      <c r="AJ1224" s="70"/>
      <c r="AK1224" s="70"/>
      <c r="AL1224" s="70"/>
      <c r="AM1224" s="70"/>
      <c r="AN1224" s="70"/>
      <c r="AO1224" s="70"/>
      <c r="AP1224" s="70"/>
      <c r="AQ1224" s="77"/>
      <c r="AR1224" s="77"/>
      <c r="AS1224" s="77"/>
      <c r="AT1224" s="77"/>
      <c r="AU1224" s="77"/>
      <c r="AV1224" s="77"/>
      <c r="AW1224" s="77"/>
      <c r="AX1224" s="77"/>
      <c r="AY1224" s="77"/>
      <c r="AZ1224" s="77"/>
      <c r="BA1224" s="77"/>
      <c r="BB1224" s="77"/>
      <c r="BC1224" s="77"/>
      <c r="BD1224" s="77"/>
      <c r="BE1224" s="77"/>
      <c r="BF1224" s="77"/>
      <c r="BG1224" s="77"/>
      <c r="BH1224" s="77"/>
      <c r="BI1224" s="77"/>
      <c r="BJ1224" s="77"/>
      <c r="BK1224" s="77"/>
      <c r="BL1224" s="77"/>
      <c r="BM1224" s="77"/>
    </row>
    <row r="1225">
      <c r="A1225" s="100" t="s">
        <v>69</v>
      </c>
      <c r="B1225" s="100" t="b">
        <v>0</v>
      </c>
      <c r="C1225" s="100" t="b">
        <v>0</v>
      </c>
      <c r="D1225" s="42"/>
      <c r="E1225" s="43"/>
      <c r="F1225" s="101"/>
      <c r="G1225" s="102"/>
      <c r="H1225" s="103"/>
      <c r="I1225" s="103"/>
      <c r="J1225" s="104"/>
      <c r="K1225" s="102"/>
      <c r="L1225" s="102"/>
      <c r="M1225" s="105"/>
      <c r="N1225" s="105"/>
      <c r="O1225" s="103"/>
      <c r="P1225" s="103"/>
      <c r="Q1225" s="103"/>
      <c r="R1225" s="103"/>
      <c r="S1225" s="103"/>
      <c r="T1225" s="103"/>
      <c r="U1225" s="103"/>
      <c r="V1225" s="103"/>
      <c r="W1225" s="103"/>
      <c r="X1225" s="103"/>
      <c r="Y1225" s="70"/>
      <c r="Z1225" s="70"/>
      <c r="AA1225" s="70"/>
      <c r="AB1225" s="70"/>
      <c r="AC1225" s="70"/>
      <c r="AD1225" s="70"/>
      <c r="AE1225" s="70"/>
      <c r="AF1225" s="70"/>
      <c r="AG1225" s="70"/>
      <c r="AH1225" s="70"/>
      <c r="AI1225" s="70"/>
      <c r="AJ1225" s="70"/>
      <c r="AK1225" s="70"/>
      <c r="AL1225" s="70"/>
      <c r="AM1225" s="70"/>
      <c r="AN1225" s="70"/>
      <c r="AO1225" s="70"/>
      <c r="AP1225" s="70"/>
      <c r="AQ1225" s="77"/>
      <c r="AR1225" s="77"/>
      <c r="AS1225" s="77"/>
      <c r="AT1225" s="77"/>
      <c r="AU1225" s="77"/>
      <c r="AV1225" s="77"/>
      <c r="AW1225" s="77"/>
      <c r="AX1225" s="77"/>
      <c r="AY1225" s="77"/>
      <c r="AZ1225" s="77"/>
      <c r="BA1225" s="77"/>
      <c r="BB1225" s="77"/>
      <c r="BC1225" s="77"/>
      <c r="BD1225" s="77"/>
      <c r="BE1225" s="77"/>
      <c r="BF1225" s="77"/>
      <c r="BG1225" s="77"/>
      <c r="BH1225" s="77"/>
      <c r="BI1225" s="77"/>
      <c r="BJ1225" s="77"/>
      <c r="BK1225" s="77"/>
      <c r="BL1225" s="77"/>
      <c r="BM1225" s="77"/>
    </row>
    <row r="1226">
      <c r="A1226" s="99" t="s">
        <v>69</v>
      </c>
      <c r="B1226" s="99" t="b">
        <v>0</v>
      </c>
      <c r="C1226" s="99" t="b">
        <v>0</v>
      </c>
      <c r="D1226" s="80"/>
      <c r="E1226" s="81"/>
      <c r="F1226" s="106"/>
      <c r="G1226" s="107"/>
      <c r="H1226" s="108"/>
      <c r="I1226" s="108"/>
      <c r="J1226" s="109"/>
      <c r="K1226" s="107"/>
      <c r="L1226" s="107"/>
      <c r="M1226" s="110"/>
      <c r="N1226" s="110"/>
      <c r="O1226" s="108"/>
      <c r="P1226" s="108"/>
      <c r="Q1226" s="108"/>
      <c r="R1226" s="108"/>
      <c r="S1226" s="108"/>
      <c r="T1226" s="108"/>
      <c r="U1226" s="108"/>
      <c r="V1226" s="108"/>
      <c r="W1226" s="108"/>
      <c r="X1226" s="108"/>
      <c r="Y1226" s="70"/>
      <c r="Z1226" s="70"/>
      <c r="AA1226" s="70"/>
      <c r="AB1226" s="70"/>
      <c r="AC1226" s="70"/>
      <c r="AD1226" s="70"/>
      <c r="AE1226" s="70"/>
      <c r="AF1226" s="70"/>
      <c r="AG1226" s="70"/>
      <c r="AH1226" s="70"/>
      <c r="AI1226" s="70"/>
      <c r="AJ1226" s="70"/>
      <c r="AK1226" s="70"/>
      <c r="AL1226" s="70"/>
      <c r="AM1226" s="70"/>
      <c r="AN1226" s="70"/>
      <c r="AO1226" s="70"/>
      <c r="AP1226" s="70"/>
      <c r="AQ1226" s="77"/>
      <c r="AR1226" s="77"/>
      <c r="AS1226" s="77"/>
      <c r="AT1226" s="77"/>
      <c r="AU1226" s="77"/>
      <c r="AV1226" s="77"/>
      <c r="AW1226" s="77"/>
      <c r="AX1226" s="77"/>
      <c r="AY1226" s="77"/>
      <c r="AZ1226" s="77"/>
      <c r="BA1226" s="77"/>
      <c r="BB1226" s="77"/>
      <c r="BC1226" s="77"/>
      <c r="BD1226" s="77"/>
      <c r="BE1226" s="77"/>
      <c r="BF1226" s="77"/>
      <c r="BG1226" s="77"/>
      <c r="BH1226" s="77"/>
      <c r="BI1226" s="77"/>
      <c r="BJ1226" s="77"/>
      <c r="BK1226" s="77"/>
      <c r="BL1226" s="77"/>
      <c r="BM1226" s="77"/>
    </row>
    <row r="1227">
      <c r="A1227" s="100" t="s">
        <v>69</v>
      </c>
      <c r="B1227" s="100" t="b">
        <v>0</v>
      </c>
      <c r="C1227" s="100" t="b">
        <v>0</v>
      </c>
      <c r="D1227" s="42"/>
      <c r="E1227" s="43"/>
      <c r="F1227" s="101"/>
      <c r="G1227" s="102"/>
      <c r="H1227" s="103"/>
      <c r="I1227" s="103"/>
      <c r="J1227" s="104"/>
      <c r="K1227" s="102"/>
      <c r="L1227" s="102"/>
      <c r="M1227" s="105"/>
      <c r="N1227" s="105"/>
      <c r="O1227" s="103"/>
      <c r="P1227" s="103"/>
      <c r="Q1227" s="103"/>
      <c r="R1227" s="103"/>
      <c r="S1227" s="103"/>
      <c r="T1227" s="103"/>
      <c r="U1227" s="103"/>
      <c r="V1227" s="103"/>
      <c r="W1227" s="103"/>
      <c r="X1227" s="103"/>
      <c r="Y1227" s="70"/>
      <c r="Z1227" s="70"/>
      <c r="AA1227" s="70"/>
      <c r="AB1227" s="70"/>
      <c r="AC1227" s="70"/>
      <c r="AD1227" s="70"/>
      <c r="AE1227" s="70"/>
      <c r="AF1227" s="70"/>
      <c r="AG1227" s="70"/>
      <c r="AH1227" s="70"/>
      <c r="AI1227" s="70"/>
      <c r="AJ1227" s="70"/>
      <c r="AK1227" s="70"/>
      <c r="AL1227" s="70"/>
      <c r="AM1227" s="70"/>
      <c r="AN1227" s="70"/>
      <c r="AO1227" s="70"/>
      <c r="AP1227" s="70"/>
      <c r="AQ1227" s="77"/>
      <c r="AR1227" s="77"/>
      <c r="AS1227" s="77"/>
      <c r="AT1227" s="77"/>
      <c r="AU1227" s="77"/>
      <c r="AV1227" s="77"/>
      <c r="AW1227" s="77"/>
      <c r="AX1227" s="77"/>
      <c r="AY1227" s="77"/>
      <c r="AZ1227" s="77"/>
      <c r="BA1227" s="77"/>
      <c r="BB1227" s="77"/>
      <c r="BC1227" s="77"/>
      <c r="BD1227" s="77"/>
      <c r="BE1227" s="77"/>
      <c r="BF1227" s="77"/>
      <c r="BG1227" s="77"/>
      <c r="BH1227" s="77"/>
      <c r="BI1227" s="77"/>
      <c r="BJ1227" s="77"/>
      <c r="BK1227" s="77"/>
      <c r="BL1227" s="77"/>
      <c r="BM1227" s="77"/>
    </row>
    <row r="1228">
      <c r="A1228" s="99" t="s">
        <v>69</v>
      </c>
      <c r="B1228" s="99" t="b">
        <v>0</v>
      </c>
      <c r="C1228" s="99" t="b">
        <v>0</v>
      </c>
      <c r="D1228" s="80"/>
      <c r="E1228" s="81"/>
      <c r="F1228" s="106"/>
      <c r="G1228" s="107"/>
      <c r="H1228" s="108"/>
      <c r="I1228" s="108"/>
      <c r="J1228" s="109"/>
      <c r="K1228" s="107"/>
      <c r="L1228" s="107"/>
      <c r="M1228" s="110"/>
      <c r="N1228" s="110"/>
      <c r="O1228" s="108"/>
      <c r="P1228" s="108"/>
      <c r="Q1228" s="108"/>
      <c r="R1228" s="108"/>
      <c r="S1228" s="108"/>
      <c r="T1228" s="108"/>
      <c r="U1228" s="108"/>
      <c r="V1228" s="108"/>
      <c r="W1228" s="108"/>
      <c r="X1228" s="108"/>
      <c r="Y1228" s="70"/>
      <c r="Z1228" s="70"/>
      <c r="AA1228" s="70"/>
      <c r="AB1228" s="70"/>
      <c r="AC1228" s="70"/>
      <c r="AD1228" s="70"/>
      <c r="AE1228" s="70"/>
      <c r="AF1228" s="70"/>
      <c r="AG1228" s="70"/>
      <c r="AH1228" s="70"/>
      <c r="AI1228" s="70"/>
      <c r="AJ1228" s="70"/>
      <c r="AK1228" s="70"/>
      <c r="AL1228" s="70"/>
      <c r="AM1228" s="70"/>
      <c r="AN1228" s="70"/>
      <c r="AO1228" s="70"/>
      <c r="AP1228" s="70"/>
      <c r="AQ1228" s="77"/>
      <c r="AR1228" s="77"/>
      <c r="AS1228" s="77"/>
      <c r="AT1228" s="77"/>
      <c r="AU1228" s="77"/>
      <c r="AV1228" s="77"/>
      <c r="AW1228" s="77"/>
      <c r="AX1228" s="77"/>
      <c r="AY1228" s="77"/>
      <c r="AZ1228" s="77"/>
      <c r="BA1228" s="77"/>
      <c r="BB1228" s="77"/>
      <c r="BC1228" s="77"/>
      <c r="BD1228" s="77"/>
      <c r="BE1228" s="77"/>
      <c r="BF1228" s="77"/>
      <c r="BG1228" s="77"/>
      <c r="BH1228" s="77"/>
      <c r="BI1228" s="77"/>
      <c r="BJ1228" s="77"/>
      <c r="BK1228" s="77"/>
      <c r="BL1228" s="77"/>
      <c r="BM1228" s="77"/>
    </row>
    <row r="1229">
      <c r="A1229" s="100" t="s">
        <v>69</v>
      </c>
      <c r="B1229" s="100" t="b">
        <v>0</v>
      </c>
      <c r="C1229" s="100" t="b">
        <v>0</v>
      </c>
      <c r="D1229" s="42"/>
      <c r="E1229" s="43"/>
      <c r="F1229" s="101"/>
      <c r="G1229" s="102"/>
      <c r="H1229" s="103"/>
      <c r="I1229" s="103"/>
      <c r="J1229" s="104"/>
      <c r="K1229" s="102"/>
      <c r="L1229" s="102"/>
      <c r="M1229" s="105"/>
      <c r="N1229" s="105"/>
      <c r="O1229" s="103"/>
      <c r="P1229" s="103"/>
      <c r="Q1229" s="103"/>
      <c r="R1229" s="103"/>
      <c r="S1229" s="103"/>
      <c r="T1229" s="103"/>
      <c r="U1229" s="103"/>
      <c r="V1229" s="103"/>
      <c r="W1229" s="103"/>
      <c r="X1229" s="103"/>
      <c r="Y1229" s="70"/>
      <c r="Z1229" s="70"/>
      <c r="AA1229" s="70"/>
      <c r="AB1229" s="70"/>
      <c r="AC1229" s="70"/>
      <c r="AD1229" s="70"/>
      <c r="AE1229" s="70"/>
      <c r="AF1229" s="70"/>
      <c r="AG1229" s="70"/>
      <c r="AH1229" s="70"/>
      <c r="AI1229" s="70"/>
      <c r="AJ1229" s="70"/>
      <c r="AK1229" s="70"/>
      <c r="AL1229" s="70"/>
      <c r="AM1229" s="70"/>
      <c r="AN1229" s="70"/>
      <c r="AO1229" s="70"/>
      <c r="AP1229" s="70"/>
      <c r="AQ1229" s="77"/>
      <c r="AR1229" s="77"/>
      <c r="AS1229" s="77"/>
      <c r="AT1229" s="77"/>
      <c r="AU1229" s="77"/>
      <c r="AV1229" s="77"/>
      <c r="AW1229" s="77"/>
      <c r="AX1229" s="77"/>
      <c r="AY1229" s="77"/>
      <c r="AZ1229" s="77"/>
      <c r="BA1229" s="77"/>
      <c r="BB1229" s="77"/>
      <c r="BC1229" s="77"/>
      <c r="BD1229" s="77"/>
      <c r="BE1229" s="77"/>
      <c r="BF1229" s="77"/>
      <c r="BG1229" s="77"/>
      <c r="BH1229" s="77"/>
      <c r="BI1229" s="77"/>
      <c r="BJ1229" s="77"/>
      <c r="BK1229" s="77"/>
      <c r="BL1229" s="77"/>
      <c r="BM1229" s="77"/>
    </row>
    <row r="1230">
      <c r="A1230" s="99" t="s">
        <v>69</v>
      </c>
      <c r="B1230" s="99" t="b">
        <v>0</v>
      </c>
      <c r="C1230" s="99" t="b">
        <v>0</v>
      </c>
      <c r="D1230" s="80"/>
      <c r="E1230" s="81"/>
      <c r="F1230" s="106"/>
      <c r="G1230" s="107"/>
      <c r="H1230" s="108"/>
      <c r="I1230" s="108"/>
      <c r="J1230" s="109"/>
      <c r="K1230" s="107"/>
      <c r="L1230" s="107"/>
      <c r="M1230" s="110"/>
      <c r="N1230" s="110"/>
      <c r="O1230" s="108"/>
      <c r="P1230" s="108"/>
      <c r="Q1230" s="108"/>
      <c r="R1230" s="108"/>
      <c r="S1230" s="108"/>
      <c r="T1230" s="108"/>
      <c r="U1230" s="108"/>
      <c r="V1230" s="108"/>
      <c r="W1230" s="108"/>
      <c r="X1230" s="108"/>
      <c r="Y1230" s="70"/>
      <c r="Z1230" s="70"/>
      <c r="AA1230" s="70"/>
      <c r="AB1230" s="70"/>
      <c r="AC1230" s="70"/>
      <c r="AD1230" s="70"/>
      <c r="AE1230" s="70"/>
      <c r="AF1230" s="70"/>
      <c r="AG1230" s="70"/>
      <c r="AH1230" s="70"/>
      <c r="AI1230" s="70"/>
      <c r="AJ1230" s="70"/>
      <c r="AK1230" s="70"/>
      <c r="AL1230" s="70"/>
      <c r="AM1230" s="70"/>
      <c r="AN1230" s="70"/>
      <c r="AO1230" s="70"/>
      <c r="AP1230" s="70"/>
      <c r="AQ1230" s="77"/>
      <c r="AR1230" s="77"/>
      <c r="AS1230" s="77"/>
      <c r="AT1230" s="77"/>
      <c r="AU1230" s="77"/>
      <c r="AV1230" s="77"/>
      <c r="AW1230" s="77"/>
      <c r="AX1230" s="77"/>
      <c r="AY1230" s="77"/>
      <c r="AZ1230" s="77"/>
      <c r="BA1230" s="77"/>
      <c r="BB1230" s="77"/>
      <c r="BC1230" s="77"/>
      <c r="BD1230" s="77"/>
      <c r="BE1230" s="77"/>
      <c r="BF1230" s="77"/>
      <c r="BG1230" s="77"/>
      <c r="BH1230" s="77"/>
      <c r="BI1230" s="77"/>
      <c r="BJ1230" s="77"/>
      <c r="BK1230" s="77"/>
      <c r="BL1230" s="77"/>
      <c r="BM1230" s="77"/>
    </row>
    <row r="1231">
      <c r="A1231" s="100" t="s">
        <v>69</v>
      </c>
      <c r="B1231" s="100" t="b">
        <v>0</v>
      </c>
      <c r="C1231" s="100" t="b">
        <v>0</v>
      </c>
      <c r="D1231" s="42"/>
      <c r="E1231" s="43"/>
      <c r="F1231" s="101"/>
      <c r="G1231" s="102"/>
      <c r="H1231" s="103"/>
      <c r="I1231" s="103"/>
      <c r="J1231" s="104"/>
      <c r="K1231" s="102"/>
      <c r="L1231" s="102"/>
      <c r="M1231" s="105"/>
      <c r="N1231" s="105"/>
      <c r="O1231" s="103"/>
      <c r="P1231" s="103"/>
      <c r="Q1231" s="103"/>
      <c r="R1231" s="103"/>
      <c r="S1231" s="103"/>
      <c r="T1231" s="103"/>
      <c r="U1231" s="103"/>
      <c r="V1231" s="103"/>
      <c r="W1231" s="103"/>
      <c r="X1231" s="103"/>
      <c r="Y1231" s="70"/>
      <c r="Z1231" s="70"/>
      <c r="AA1231" s="70"/>
      <c r="AB1231" s="70"/>
      <c r="AC1231" s="70"/>
      <c r="AD1231" s="70"/>
      <c r="AE1231" s="70"/>
      <c r="AF1231" s="70"/>
      <c r="AG1231" s="70"/>
      <c r="AH1231" s="70"/>
      <c r="AI1231" s="70"/>
      <c r="AJ1231" s="70"/>
      <c r="AK1231" s="70"/>
      <c r="AL1231" s="70"/>
      <c r="AM1231" s="70"/>
      <c r="AN1231" s="70"/>
      <c r="AO1231" s="70"/>
      <c r="AP1231" s="70"/>
      <c r="AQ1231" s="77"/>
      <c r="AR1231" s="77"/>
      <c r="AS1231" s="77"/>
      <c r="AT1231" s="77"/>
      <c r="AU1231" s="77"/>
      <c r="AV1231" s="77"/>
      <c r="AW1231" s="77"/>
      <c r="AX1231" s="77"/>
      <c r="AY1231" s="77"/>
      <c r="AZ1231" s="77"/>
      <c r="BA1231" s="77"/>
      <c r="BB1231" s="77"/>
      <c r="BC1231" s="77"/>
      <c r="BD1231" s="77"/>
      <c r="BE1231" s="77"/>
      <c r="BF1231" s="77"/>
      <c r="BG1231" s="77"/>
      <c r="BH1231" s="77"/>
      <c r="BI1231" s="77"/>
      <c r="BJ1231" s="77"/>
      <c r="BK1231" s="77"/>
      <c r="BL1231" s="77"/>
      <c r="BM1231" s="77"/>
    </row>
    <row r="1232">
      <c r="A1232" s="99" t="s">
        <v>69</v>
      </c>
      <c r="B1232" s="99" t="b">
        <v>0</v>
      </c>
      <c r="C1232" s="99" t="b">
        <v>0</v>
      </c>
      <c r="D1232" s="80"/>
      <c r="E1232" s="81"/>
      <c r="F1232" s="106"/>
      <c r="G1232" s="107"/>
      <c r="H1232" s="108"/>
      <c r="I1232" s="108"/>
      <c r="J1232" s="109"/>
      <c r="K1232" s="107"/>
      <c r="L1232" s="107"/>
      <c r="M1232" s="110"/>
      <c r="N1232" s="110"/>
      <c r="O1232" s="108"/>
      <c r="P1232" s="108"/>
      <c r="Q1232" s="108"/>
      <c r="R1232" s="108"/>
      <c r="S1232" s="108"/>
      <c r="T1232" s="108"/>
      <c r="U1232" s="108"/>
      <c r="V1232" s="108"/>
      <c r="W1232" s="108"/>
      <c r="X1232" s="108"/>
      <c r="Y1232" s="70"/>
      <c r="Z1232" s="70"/>
      <c r="AA1232" s="70"/>
      <c r="AB1232" s="70"/>
      <c r="AC1232" s="70"/>
      <c r="AD1232" s="70"/>
      <c r="AE1232" s="70"/>
      <c r="AF1232" s="70"/>
      <c r="AG1232" s="70"/>
      <c r="AH1232" s="70"/>
      <c r="AI1232" s="70"/>
      <c r="AJ1232" s="70"/>
      <c r="AK1232" s="70"/>
      <c r="AL1232" s="70"/>
      <c r="AM1232" s="70"/>
      <c r="AN1232" s="70"/>
      <c r="AO1232" s="70"/>
      <c r="AP1232" s="70"/>
      <c r="AQ1232" s="77"/>
      <c r="AR1232" s="77"/>
      <c r="AS1232" s="77"/>
      <c r="AT1232" s="77"/>
      <c r="AU1232" s="77"/>
      <c r="AV1232" s="77"/>
      <c r="AW1232" s="77"/>
      <c r="AX1232" s="77"/>
      <c r="AY1232" s="77"/>
      <c r="AZ1232" s="77"/>
      <c r="BA1232" s="77"/>
      <c r="BB1232" s="77"/>
      <c r="BC1232" s="77"/>
      <c r="BD1232" s="77"/>
      <c r="BE1232" s="77"/>
      <c r="BF1232" s="77"/>
      <c r="BG1232" s="77"/>
      <c r="BH1232" s="77"/>
      <c r="BI1232" s="77"/>
      <c r="BJ1232" s="77"/>
      <c r="BK1232" s="77"/>
      <c r="BL1232" s="77"/>
      <c r="BM1232" s="77"/>
    </row>
    <row r="1233">
      <c r="A1233" s="100" t="s">
        <v>69</v>
      </c>
      <c r="B1233" s="100" t="b">
        <v>0</v>
      </c>
      <c r="C1233" s="100" t="b">
        <v>0</v>
      </c>
      <c r="D1233" s="42"/>
      <c r="E1233" s="43"/>
      <c r="F1233" s="101"/>
      <c r="G1233" s="102"/>
      <c r="H1233" s="103"/>
      <c r="I1233" s="103"/>
      <c r="J1233" s="104"/>
      <c r="K1233" s="102"/>
      <c r="L1233" s="102"/>
      <c r="M1233" s="105"/>
      <c r="N1233" s="105"/>
      <c r="O1233" s="103"/>
      <c r="P1233" s="103"/>
      <c r="Q1233" s="103"/>
      <c r="R1233" s="103"/>
      <c r="S1233" s="103"/>
      <c r="T1233" s="103"/>
      <c r="U1233" s="103"/>
      <c r="V1233" s="103"/>
      <c r="W1233" s="103"/>
      <c r="X1233" s="103"/>
      <c r="Y1233" s="70"/>
      <c r="Z1233" s="70"/>
      <c r="AA1233" s="70"/>
      <c r="AB1233" s="70"/>
      <c r="AC1233" s="70"/>
      <c r="AD1233" s="70"/>
      <c r="AE1233" s="70"/>
      <c r="AF1233" s="70"/>
      <c r="AG1233" s="70"/>
      <c r="AH1233" s="70"/>
      <c r="AI1233" s="70"/>
      <c r="AJ1233" s="70"/>
      <c r="AK1233" s="70"/>
      <c r="AL1233" s="70"/>
      <c r="AM1233" s="70"/>
      <c r="AN1233" s="70"/>
      <c r="AO1233" s="70"/>
      <c r="AP1233" s="70"/>
      <c r="AQ1233" s="77"/>
      <c r="AR1233" s="77"/>
      <c r="AS1233" s="77"/>
      <c r="AT1233" s="77"/>
      <c r="AU1233" s="77"/>
      <c r="AV1233" s="77"/>
      <c r="AW1233" s="77"/>
      <c r="AX1233" s="77"/>
      <c r="AY1233" s="77"/>
      <c r="AZ1233" s="77"/>
      <c r="BA1233" s="77"/>
      <c r="BB1233" s="77"/>
      <c r="BC1233" s="77"/>
      <c r="BD1233" s="77"/>
      <c r="BE1233" s="77"/>
      <c r="BF1233" s="77"/>
      <c r="BG1233" s="77"/>
      <c r="BH1233" s="77"/>
      <c r="BI1233" s="77"/>
      <c r="BJ1233" s="77"/>
      <c r="BK1233" s="77"/>
      <c r="BL1233" s="77"/>
      <c r="BM1233" s="77"/>
    </row>
    <row r="1234">
      <c r="A1234" s="99" t="s">
        <v>69</v>
      </c>
      <c r="B1234" s="99" t="b">
        <v>0</v>
      </c>
      <c r="C1234" s="99" t="b">
        <v>0</v>
      </c>
      <c r="D1234" s="80"/>
      <c r="E1234" s="81"/>
      <c r="F1234" s="106"/>
      <c r="G1234" s="107"/>
      <c r="H1234" s="108"/>
      <c r="I1234" s="108"/>
      <c r="J1234" s="109"/>
      <c r="K1234" s="107"/>
      <c r="L1234" s="107"/>
      <c r="M1234" s="110"/>
      <c r="N1234" s="110"/>
      <c r="O1234" s="108"/>
      <c r="P1234" s="108"/>
      <c r="Q1234" s="108"/>
      <c r="R1234" s="108"/>
      <c r="S1234" s="108"/>
      <c r="T1234" s="108"/>
      <c r="U1234" s="108"/>
      <c r="V1234" s="108"/>
      <c r="W1234" s="108"/>
      <c r="X1234" s="108"/>
      <c r="Y1234" s="70"/>
      <c r="Z1234" s="70"/>
      <c r="AA1234" s="70"/>
      <c r="AB1234" s="70"/>
      <c r="AC1234" s="70"/>
      <c r="AD1234" s="70"/>
      <c r="AE1234" s="70"/>
      <c r="AF1234" s="70"/>
      <c r="AG1234" s="70"/>
      <c r="AH1234" s="70"/>
      <c r="AI1234" s="70"/>
      <c r="AJ1234" s="70"/>
      <c r="AK1234" s="70"/>
      <c r="AL1234" s="70"/>
      <c r="AM1234" s="70"/>
      <c r="AN1234" s="70"/>
      <c r="AO1234" s="70"/>
      <c r="AP1234" s="70"/>
      <c r="AQ1234" s="77"/>
      <c r="AR1234" s="77"/>
      <c r="AS1234" s="77"/>
      <c r="AT1234" s="77"/>
      <c r="AU1234" s="77"/>
      <c r="AV1234" s="77"/>
      <c r="AW1234" s="77"/>
      <c r="AX1234" s="77"/>
      <c r="AY1234" s="77"/>
      <c r="AZ1234" s="77"/>
      <c r="BA1234" s="77"/>
      <c r="BB1234" s="77"/>
      <c r="BC1234" s="77"/>
      <c r="BD1234" s="77"/>
      <c r="BE1234" s="77"/>
      <c r="BF1234" s="77"/>
      <c r="BG1234" s="77"/>
      <c r="BH1234" s="77"/>
      <c r="BI1234" s="77"/>
      <c r="BJ1234" s="77"/>
      <c r="BK1234" s="77"/>
      <c r="BL1234" s="77"/>
      <c r="BM1234" s="77"/>
    </row>
    <row r="1235">
      <c r="A1235" s="100" t="s">
        <v>69</v>
      </c>
      <c r="B1235" s="100" t="b">
        <v>0</v>
      </c>
      <c r="C1235" s="100" t="b">
        <v>0</v>
      </c>
      <c r="D1235" s="42"/>
      <c r="E1235" s="43"/>
      <c r="F1235" s="101"/>
      <c r="G1235" s="102"/>
      <c r="H1235" s="103"/>
      <c r="I1235" s="103"/>
      <c r="J1235" s="104"/>
      <c r="K1235" s="102"/>
      <c r="L1235" s="102"/>
      <c r="M1235" s="105"/>
      <c r="N1235" s="105"/>
      <c r="O1235" s="103"/>
      <c r="P1235" s="103"/>
      <c r="Q1235" s="103"/>
      <c r="R1235" s="103"/>
      <c r="S1235" s="103"/>
      <c r="T1235" s="103"/>
      <c r="U1235" s="103"/>
      <c r="V1235" s="103"/>
      <c r="W1235" s="103"/>
      <c r="X1235" s="103"/>
      <c r="Y1235" s="70"/>
      <c r="Z1235" s="70"/>
      <c r="AA1235" s="70"/>
      <c r="AB1235" s="70"/>
      <c r="AC1235" s="70"/>
      <c r="AD1235" s="70"/>
      <c r="AE1235" s="70"/>
      <c r="AF1235" s="70"/>
      <c r="AG1235" s="70"/>
      <c r="AH1235" s="70"/>
      <c r="AI1235" s="70"/>
      <c r="AJ1235" s="70"/>
      <c r="AK1235" s="70"/>
      <c r="AL1235" s="70"/>
      <c r="AM1235" s="70"/>
      <c r="AN1235" s="70"/>
      <c r="AO1235" s="70"/>
      <c r="AP1235" s="70"/>
      <c r="AQ1235" s="77"/>
      <c r="AR1235" s="77"/>
      <c r="AS1235" s="77"/>
      <c r="AT1235" s="77"/>
      <c r="AU1235" s="77"/>
      <c r="AV1235" s="77"/>
      <c r="AW1235" s="77"/>
      <c r="AX1235" s="77"/>
      <c r="AY1235" s="77"/>
      <c r="AZ1235" s="77"/>
      <c r="BA1235" s="77"/>
      <c r="BB1235" s="77"/>
      <c r="BC1235" s="77"/>
      <c r="BD1235" s="77"/>
      <c r="BE1235" s="77"/>
      <c r="BF1235" s="77"/>
      <c r="BG1235" s="77"/>
      <c r="BH1235" s="77"/>
      <c r="BI1235" s="77"/>
      <c r="BJ1235" s="77"/>
      <c r="BK1235" s="77"/>
      <c r="BL1235" s="77"/>
      <c r="BM1235" s="77"/>
    </row>
    <row r="1236">
      <c r="A1236" s="99" t="s">
        <v>69</v>
      </c>
      <c r="B1236" s="99" t="b">
        <v>0</v>
      </c>
      <c r="C1236" s="99" t="b">
        <v>0</v>
      </c>
      <c r="D1236" s="80"/>
      <c r="E1236" s="81"/>
      <c r="F1236" s="106"/>
      <c r="G1236" s="107"/>
      <c r="H1236" s="108"/>
      <c r="I1236" s="108"/>
      <c r="J1236" s="109"/>
      <c r="K1236" s="107"/>
      <c r="L1236" s="107"/>
      <c r="M1236" s="110"/>
      <c r="N1236" s="110"/>
      <c r="O1236" s="108"/>
      <c r="P1236" s="108"/>
      <c r="Q1236" s="108"/>
      <c r="R1236" s="108"/>
      <c r="S1236" s="108"/>
      <c r="T1236" s="108"/>
      <c r="U1236" s="108"/>
      <c r="V1236" s="108"/>
      <c r="W1236" s="108"/>
      <c r="X1236" s="108"/>
      <c r="Y1236" s="70"/>
      <c r="Z1236" s="70"/>
      <c r="AA1236" s="70"/>
      <c r="AB1236" s="70"/>
      <c r="AC1236" s="70"/>
      <c r="AD1236" s="70"/>
      <c r="AE1236" s="70"/>
      <c r="AF1236" s="70"/>
      <c r="AG1236" s="70"/>
      <c r="AH1236" s="70"/>
      <c r="AI1236" s="70"/>
      <c r="AJ1236" s="70"/>
      <c r="AK1236" s="70"/>
      <c r="AL1236" s="70"/>
      <c r="AM1236" s="70"/>
      <c r="AN1236" s="70"/>
      <c r="AO1236" s="70"/>
      <c r="AP1236" s="70"/>
      <c r="AQ1236" s="77"/>
      <c r="AR1236" s="77"/>
      <c r="AS1236" s="77"/>
      <c r="AT1236" s="77"/>
      <c r="AU1236" s="77"/>
      <c r="AV1236" s="77"/>
      <c r="AW1236" s="77"/>
      <c r="AX1236" s="77"/>
      <c r="AY1236" s="77"/>
      <c r="AZ1236" s="77"/>
      <c r="BA1236" s="77"/>
      <c r="BB1236" s="77"/>
      <c r="BC1236" s="77"/>
      <c r="BD1236" s="77"/>
      <c r="BE1236" s="77"/>
      <c r="BF1236" s="77"/>
      <c r="BG1236" s="77"/>
      <c r="BH1236" s="77"/>
      <c r="BI1236" s="77"/>
      <c r="BJ1236" s="77"/>
      <c r="BK1236" s="77"/>
      <c r="BL1236" s="77"/>
      <c r="BM1236" s="77"/>
    </row>
    <row r="1237">
      <c r="A1237" s="100" t="s">
        <v>69</v>
      </c>
      <c r="B1237" s="100" t="b">
        <v>0</v>
      </c>
      <c r="C1237" s="100" t="b">
        <v>0</v>
      </c>
      <c r="D1237" s="42"/>
      <c r="E1237" s="43"/>
      <c r="F1237" s="101"/>
      <c r="G1237" s="102"/>
      <c r="H1237" s="103"/>
      <c r="I1237" s="103"/>
      <c r="J1237" s="104"/>
      <c r="K1237" s="102"/>
      <c r="L1237" s="102"/>
      <c r="M1237" s="105"/>
      <c r="N1237" s="105"/>
      <c r="O1237" s="103"/>
      <c r="P1237" s="103"/>
      <c r="Q1237" s="103"/>
      <c r="R1237" s="103"/>
      <c r="S1237" s="103"/>
      <c r="T1237" s="103"/>
      <c r="U1237" s="103"/>
      <c r="V1237" s="103"/>
      <c r="W1237" s="103"/>
      <c r="X1237" s="103"/>
      <c r="Y1237" s="70"/>
      <c r="Z1237" s="70"/>
      <c r="AA1237" s="70"/>
      <c r="AB1237" s="70"/>
      <c r="AC1237" s="70"/>
      <c r="AD1237" s="70"/>
      <c r="AE1237" s="70"/>
      <c r="AF1237" s="70"/>
      <c r="AG1237" s="70"/>
      <c r="AH1237" s="70"/>
      <c r="AI1237" s="70"/>
      <c r="AJ1237" s="70"/>
      <c r="AK1237" s="70"/>
      <c r="AL1237" s="70"/>
      <c r="AM1237" s="70"/>
      <c r="AN1237" s="70"/>
      <c r="AO1237" s="70"/>
      <c r="AP1237" s="70"/>
      <c r="AQ1237" s="77"/>
      <c r="AR1237" s="77"/>
      <c r="AS1237" s="77"/>
      <c r="AT1237" s="77"/>
      <c r="AU1237" s="77"/>
      <c r="AV1237" s="77"/>
      <c r="AW1237" s="77"/>
      <c r="AX1237" s="77"/>
      <c r="AY1237" s="77"/>
      <c r="AZ1237" s="77"/>
      <c r="BA1237" s="77"/>
      <c r="BB1237" s="77"/>
      <c r="BC1237" s="77"/>
      <c r="BD1237" s="77"/>
      <c r="BE1237" s="77"/>
      <c r="BF1237" s="77"/>
      <c r="BG1237" s="77"/>
      <c r="BH1237" s="77"/>
      <c r="BI1237" s="77"/>
      <c r="BJ1237" s="77"/>
      <c r="BK1237" s="77"/>
      <c r="BL1237" s="77"/>
      <c r="BM1237" s="77"/>
    </row>
    <row r="1238">
      <c r="A1238" s="99" t="s">
        <v>69</v>
      </c>
      <c r="B1238" s="99" t="b">
        <v>0</v>
      </c>
      <c r="C1238" s="99" t="b">
        <v>0</v>
      </c>
      <c r="D1238" s="80"/>
      <c r="E1238" s="81"/>
      <c r="F1238" s="106"/>
      <c r="G1238" s="107"/>
      <c r="H1238" s="108"/>
      <c r="I1238" s="108"/>
      <c r="J1238" s="109"/>
      <c r="K1238" s="107"/>
      <c r="L1238" s="107"/>
      <c r="M1238" s="110"/>
      <c r="N1238" s="110"/>
      <c r="O1238" s="108"/>
      <c r="P1238" s="108"/>
      <c r="Q1238" s="108"/>
      <c r="R1238" s="108"/>
      <c r="S1238" s="108"/>
      <c r="T1238" s="108"/>
      <c r="U1238" s="108"/>
      <c r="V1238" s="108"/>
      <c r="W1238" s="108"/>
      <c r="X1238" s="108"/>
      <c r="Y1238" s="70"/>
      <c r="Z1238" s="70"/>
      <c r="AA1238" s="70"/>
      <c r="AB1238" s="70"/>
      <c r="AC1238" s="70"/>
      <c r="AD1238" s="70"/>
      <c r="AE1238" s="70"/>
      <c r="AF1238" s="70"/>
      <c r="AG1238" s="70"/>
      <c r="AH1238" s="70"/>
      <c r="AI1238" s="70"/>
      <c r="AJ1238" s="70"/>
      <c r="AK1238" s="70"/>
      <c r="AL1238" s="70"/>
      <c r="AM1238" s="70"/>
      <c r="AN1238" s="70"/>
      <c r="AO1238" s="70"/>
      <c r="AP1238" s="70"/>
      <c r="AQ1238" s="77"/>
      <c r="AR1238" s="77"/>
      <c r="AS1238" s="77"/>
      <c r="AT1238" s="77"/>
      <c r="AU1238" s="77"/>
      <c r="AV1238" s="77"/>
      <c r="AW1238" s="77"/>
      <c r="AX1238" s="77"/>
      <c r="AY1238" s="77"/>
      <c r="AZ1238" s="77"/>
      <c r="BA1238" s="77"/>
      <c r="BB1238" s="77"/>
      <c r="BC1238" s="77"/>
      <c r="BD1238" s="77"/>
      <c r="BE1238" s="77"/>
      <c r="BF1238" s="77"/>
      <c r="BG1238" s="77"/>
      <c r="BH1238" s="77"/>
      <c r="BI1238" s="77"/>
      <c r="BJ1238" s="77"/>
      <c r="BK1238" s="77"/>
      <c r="BL1238" s="77"/>
      <c r="BM1238" s="77"/>
    </row>
    <row r="1239">
      <c r="A1239" s="100" t="s">
        <v>69</v>
      </c>
      <c r="B1239" s="100" t="b">
        <v>0</v>
      </c>
      <c r="C1239" s="100" t="b">
        <v>0</v>
      </c>
      <c r="D1239" s="42"/>
      <c r="E1239" s="43"/>
      <c r="F1239" s="101"/>
      <c r="G1239" s="102"/>
      <c r="H1239" s="103"/>
      <c r="I1239" s="103"/>
      <c r="J1239" s="104"/>
      <c r="K1239" s="102"/>
      <c r="L1239" s="102"/>
      <c r="M1239" s="105"/>
      <c r="N1239" s="105"/>
      <c r="O1239" s="103"/>
      <c r="P1239" s="103"/>
      <c r="Q1239" s="103"/>
      <c r="R1239" s="103"/>
      <c r="S1239" s="103"/>
      <c r="T1239" s="103"/>
      <c r="U1239" s="103"/>
      <c r="V1239" s="103"/>
      <c r="W1239" s="103"/>
      <c r="X1239" s="103"/>
      <c r="Y1239" s="70"/>
      <c r="Z1239" s="70"/>
      <c r="AA1239" s="70"/>
      <c r="AB1239" s="70"/>
      <c r="AC1239" s="70"/>
      <c r="AD1239" s="70"/>
      <c r="AE1239" s="70"/>
      <c r="AF1239" s="70"/>
      <c r="AG1239" s="70"/>
      <c r="AH1239" s="70"/>
      <c r="AI1239" s="70"/>
      <c r="AJ1239" s="70"/>
      <c r="AK1239" s="70"/>
      <c r="AL1239" s="70"/>
      <c r="AM1239" s="70"/>
      <c r="AN1239" s="70"/>
      <c r="AO1239" s="70"/>
      <c r="AP1239" s="70"/>
      <c r="AQ1239" s="77"/>
      <c r="AR1239" s="77"/>
      <c r="AS1239" s="77"/>
      <c r="AT1239" s="77"/>
      <c r="AU1239" s="77"/>
      <c r="AV1239" s="77"/>
      <c r="AW1239" s="77"/>
      <c r="AX1239" s="77"/>
      <c r="AY1239" s="77"/>
      <c r="AZ1239" s="77"/>
      <c r="BA1239" s="77"/>
      <c r="BB1239" s="77"/>
      <c r="BC1239" s="77"/>
      <c r="BD1239" s="77"/>
      <c r="BE1239" s="77"/>
      <c r="BF1239" s="77"/>
      <c r="BG1239" s="77"/>
      <c r="BH1239" s="77"/>
      <c r="BI1239" s="77"/>
      <c r="BJ1239" s="77"/>
      <c r="BK1239" s="77"/>
      <c r="BL1239" s="77"/>
      <c r="BM1239" s="77"/>
    </row>
    <row r="1240">
      <c r="A1240" s="99" t="s">
        <v>69</v>
      </c>
      <c r="B1240" s="99" t="b">
        <v>0</v>
      </c>
      <c r="C1240" s="99" t="b">
        <v>0</v>
      </c>
      <c r="D1240" s="80"/>
      <c r="E1240" s="81"/>
      <c r="F1240" s="106"/>
      <c r="G1240" s="107"/>
      <c r="H1240" s="108"/>
      <c r="I1240" s="108"/>
      <c r="J1240" s="109"/>
      <c r="K1240" s="107"/>
      <c r="L1240" s="107"/>
      <c r="M1240" s="110"/>
      <c r="N1240" s="110"/>
      <c r="O1240" s="108"/>
      <c r="P1240" s="108"/>
      <c r="Q1240" s="108"/>
      <c r="R1240" s="108"/>
      <c r="S1240" s="108"/>
      <c r="T1240" s="108"/>
      <c r="U1240" s="108"/>
      <c r="V1240" s="108"/>
      <c r="W1240" s="108"/>
      <c r="X1240" s="108"/>
      <c r="Y1240" s="70"/>
      <c r="Z1240" s="70"/>
      <c r="AA1240" s="70"/>
      <c r="AB1240" s="70"/>
      <c r="AC1240" s="70"/>
      <c r="AD1240" s="70"/>
      <c r="AE1240" s="70"/>
      <c r="AF1240" s="70"/>
      <c r="AG1240" s="70"/>
      <c r="AH1240" s="70"/>
      <c r="AI1240" s="70"/>
      <c r="AJ1240" s="70"/>
      <c r="AK1240" s="70"/>
      <c r="AL1240" s="70"/>
      <c r="AM1240" s="70"/>
      <c r="AN1240" s="70"/>
      <c r="AO1240" s="70"/>
      <c r="AP1240" s="70"/>
      <c r="AQ1240" s="77"/>
      <c r="AR1240" s="77"/>
      <c r="AS1240" s="77"/>
      <c r="AT1240" s="77"/>
      <c r="AU1240" s="77"/>
      <c r="AV1240" s="77"/>
      <c r="AW1240" s="77"/>
      <c r="AX1240" s="77"/>
      <c r="AY1240" s="77"/>
      <c r="AZ1240" s="77"/>
      <c r="BA1240" s="77"/>
      <c r="BB1240" s="77"/>
      <c r="BC1240" s="77"/>
      <c r="BD1240" s="77"/>
      <c r="BE1240" s="77"/>
      <c r="BF1240" s="77"/>
      <c r="BG1240" s="77"/>
      <c r="BH1240" s="77"/>
      <c r="BI1240" s="77"/>
      <c r="BJ1240" s="77"/>
      <c r="BK1240" s="77"/>
      <c r="BL1240" s="77"/>
      <c r="BM1240" s="77"/>
    </row>
    <row r="1241">
      <c r="A1241" s="100" t="s">
        <v>69</v>
      </c>
      <c r="B1241" s="100" t="b">
        <v>0</v>
      </c>
      <c r="C1241" s="100" t="b">
        <v>0</v>
      </c>
      <c r="D1241" s="42"/>
      <c r="E1241" s="43"/>
      <c r="F1241" s="101"/>
      <c r="G1241" s="102"/>
      <c r="H1241" s="103"/>
      <c r="I1241" s="103"/>
      <c r="J1241" s="104"/>
      <c r="K1241" s="102"/>
      <c r="L1241" s="102"/>
      <c r="M1241" s="105"/>
      <c r="N1241" s="105"/>
      <c r="O1241" s="103"/>
      <c r="P1241" s="103"/>
      <c r="Q1241" s="103"/>
      <c r="R1241" s="103"/>
      <c r="S1241" s="103"/>
      <c r="T1241" s="103"/>
      <c r="U1241" s="103"/>
      <c r="V1241" s="103"/>
      <c r="W1241" s="103"/>
      <c r="X1241" s="103"/>
      <c r="Y1241" s="70"/>
      <c r="Z1241" s="70"/>
      <c r="AA1241" s="70"/>
      <c r="AB1241" s="70"/>
      <c r="AC1241" s="70"/>
      <c r="AD1241" s="70"/>
      <c r="AE1241" s="70"/>
      <c r="AF1241" s="70"/>
      <c r="AG1241" s="70"/>
      <c r="AH1241" s="70"/>
      <c r="AI1241" s="70"/>
      <c r="AJ1241" s="70"/>
      <c r="AK1241" s="70"/>
      <c r="AL1241" s="70"/>
      <c r="AM1241" s="70"/>
      <c r="AN1241" s="70"/>
      <c r="AO1241" s="70"/>
      <c r="AP1241" s="70"/>
      <c r="AQ1241" s="77"/>
      <c r="AR1241" s="77"/>
      <c r="AS1241" s="77"/>
      <c r="AT1241" s="77"/>
      <c r="AU1241" s="77"/>
      <c r="AV1241" s="77"/>
      <c r="AW1241" s="77"/>
      <c r="AX1241" s="77"/>
      <c r="AY1241" s="77"/>
      <c r="AZ1241" s="77"/>
      <c r="BA1241" s="77"/>
      <c r="BB1241" s="77"/>
      <c r="BC1241" s="77"/>
      <c r="BD1241" s="77"/>
      <c r="BE1241" s="77"/>
      <c r="BF1241" s="77"/>
      <c r="BG1241" s="77"/>
      <c r="BH1241" s="77"/>
      <c r="BI1241" s="77"/>
      <c r="BJ1241" s="77"/>
      <c r="BK1241" s="77"/>
      <c r="BL1241" s="77"/>
      <c r="BM1241" s="77"/>
    </row>
    <row r="1242">
      <c r="A1242" s="99" t="s">
        <v>69</v>
      </c>
      <c r="B1242" s="99" t="b">
        <v>0</v>
      </c>
      <c r="C1242" s="99" t="b">
        <v>0</v>
      </c>
      <c r="D1242" s="80"/>
      <c r="E1242" s="81"/>
      <c r="F1242" s="106"/>
      <c r="G1242" s="107"/>
      <c r="H1242" s="108"/>
      <c r="I1242" s="108"/>
      <c r="J1242" s="109"/>
      <c r="K1242" s="107"/>
      <c r="L1242" s="107"/>
      <c r="M1242" s="110"/>
      <c r="N1242" s="110"/>
      <c r="O1242" s="108"/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70"/>
      <c r="Z1242" s="70"/>
      <c r="AA1242" s="70"/>
      <c r="AB1242" s="70"/>
      <c r="AC1242" s="70"/>
      <c r="AD1242" s="70"/>
      <c r="AE1242" s="70"/>
      <c r="AF1242" s="70"/>
      <c r="AG1242" s="70"/>
      <c r="AH1242" s="70"/>
      <c r="AI1242" s="70"/>
      <c r="AJ1242" s="70"/>
      <c r="AK1242" s="70"/>
      <c r="AL1242" s="70"/>
      <c r="AM1242" s="70"/>
      <c r="AN1242" s="70"/>
      <c r="AO1242" s="70"/>
      <c r="AP1242" s="70"/>
      <c r="AQ1242" s="77"/>
      <c r="AR1242" s="77"/>
      <c r="AS1242" s="77"/>
      <c r="AT1242" s="77"/>
      <c r="AU1242" s="77"/>
      <c r="AV1242" s="77"/>
      <c r="AW1242" s="77"/>
      <c r="AX1242" s="77"/>
      <c r="AY1242" s="77"/>
      <c r="AZ1242" s="77"/>
      <c r="BA1242" s="77"/>
      <c r="BB1242" s="77"/>
      <c r="BC1242" s="77"/>
      <c r="BD1242" s="77"/>
      <c r="BE1242" s="77"/>
      <c r="BF1242" s="77"/>
      <c r="BG1242" s="77"/>
      <c r="BH1242" s="77"/>
      <c r="BI1242" s="77"/>
      <c r="BJ1242" s="77"/>
      <c r="BK1242" s="77"/>
      <c r="BL1242" s="77"/>
      <c r="BM1242" s="77"/>
    </row>
    <row r="1243">
      <c r="A1243" s="100" t="s">
        <v>69</v>
      </c>
      <c r="B1243" s="100" t="b">
        <v>0</v>
      </c>
      <c r="C1243" s="100" t="b">
        <v>0</v>
      </c>
      <c r="D1243" s="42"/>
      <c r="E1243" s="43"/>
      <c r="F1243" s="101"/>
      <c r="G1243" s="102"/>
      <c r="H1243" s="103"/>
      <c r="I1243" s="103"/>
      <c r="J1243" s="104"/>
      <c r="K1243" s="102"/>
      <c r="L1243" s="102"/>
      <c r="M1243" s="105"/>
      <c r="N1243" s="105"/>
      <c r="O1243" s="103"/>
      <c r="P1243" s="103"/>
      <c r="Q1243" s="103"/>
      <c r="R1243" s="103"/>
      <c r="S1243" s="103"/>
      <c r="T1243" s="103"/>
      <c r="U1243" s="103"/>
      <c r="V1243" s="103"/>
      <c r="W1243" s="103"/>
      <c r="X1243" s="103"/>
      <c r="Y1243" s="70"/>
      <c r="Z1243" s="70"/>
      <c r="AA1243" s="70"/>
      <c r="AB1243" s="70"/>
      <c r="AC1243" s="70"/>
      <c r="AD1243" s="70"/>
      <c r="AE1243" s="70"/>
      <c r="AF1243" s="70"/>
      <c r="AG1243" s="70"/>
      <c r="AH1243" s="70"/>
      <c r="AI1243" s="70"/>
      <c r="AJ1243" s="70"/>
      <c r="AK1243" s="70"/>
      <c r="AL1243" s="70"/>
      <c r="AM1243" s="70"/>
      <c r="AN1243" s="70"/>
      <c r="AO1243" s="70"/>
      <c r="AP1243" s="70"/>
      <c r="AQ1243" s="77"/>
      <c r="AR1243" s="77"/>
      <c r="AS1243" s="77"/>
      <c r="AT1243" s="77"/>
      <c r="AU1243" s="77"/>
      <c r="AV1243" s="77"/>
      <c r="AW1243" s="77"/>
      <c r="AX1243" s="77"/>
      <c r="AY1243" s="77"/>
      <c r="AZ1243" s="77"/>
      <c r="BA1243" s="77"/>
      <c r="BB1243" s="77"/>
      <c r="BC1243" s="77"/>
      <c r="BD1243" s="77"/>
      <c r="BE1243" s="77"/>
      <c r="BF1243" s="77"/>
      <c r="BG1243" s="77"/>
      <c r="BH1243" s="77"/>
      <c r="BI1243" s="77"/>
      <c r="BJ1243" s="77"/>
      <c r="BK1243" s="77"/>
      <c r="BL1243" s="77"/>
      <c r="BM1243" s="77"/>
    </row>
    <row r="1244">
      <c r="A1244" s="99" t="s">
        <v>69</v>
      </c>
      <c r="B1244" s="99" t="b">
        <v>0</v>
      </c>
      <c r="C1244" s="99" t="b">
        <v>0</v>
      </c>
      <c r="D1244" s="80"/>
      <c r="E1244" s="81"/>
      <c r="F1244" s="106"/>
      <c r="G1244" s="107"/>
      <c r="H1244" s="108"/>
      <c r="I1244" s="108"/>
      <c r="J1244" s="109"/>
      <c r="K1244" s="107"/>
      <c r="L1244" s="107"/>
      <c r="M1244" s="110"/>
      <c r="N1244" s="110"/>
      <c r="O1244" s="108"/>
      <c r="P1244" s="108"/>
      <c r="Q1244" s="108"/>
      <c r="R1244" s="108"/>
      <c r="S1244" s="108"/>
      <c r="T1244" s="108"/>
      <c r="U1244" s="108"/>
      <c r="V1244" s="108"/>
      <c r="W1244" s="108"/>
      <c r="X1244" s="108"/>
      <c r="Y1244" s="70"/>
      <c r="Z1244" s="70"/>
      <c r="AA1244" s="70"/>
      <c r="AB1244" s="70"/>
      <c r="AC1244" s="70"/>
      <c r="AD1244" s="70"/>
      <c r="AE1244" s="70"/>
      <c r="AF1244" s="70"/>
      <c r="AG1244" s="70"/>
      <c r="AH1244" s="70"/>
      <c r="AI1244" s="70"/>
      <c r="AJ1244" s="70"/>
      <c r="AK1244" s="70"/>
      <c r="AL1244" s="70"/>
      <c r="AM1244" s="70"/>
      <c r="AN1244" s="70"/>
      <c r="AO1244" s="70"/>
      <c r="AP1244" s="70"/>
      <c r="AQ1244" s="77"/>
      <c r="AR1244" s="77"/>
      <c r="AS1244" s="77"/>
      <c r="AT1244" s="77"/>
      <c r="AU1244" s="77"/>
      <c r="AV1244" s="77"/>
      <c r="AW1244" s="77"/>
      <c r="AX1244" s="77"/>
      <c r="AY1244" s="77"/>
      <c r="AZ1244" s="77"/>
      <c r="BA1244" s="77"/>
      <c r="BB1244" s="77"/>
      <c r="BC1244" s="77"/>
      <c r="BD1244" s="77"/>
      <c r="BE1244" s="77"/>
      <c r="BF1244" s="77"/>
      <c r="BG1244" s="77"/>
      <c r="BH1244" s="77"/>
      <c r="BI1244" s="77"/>
      <c r="BJ1244" s="77"/>
      <c r="BK1244" s="77"/>
      <c r="BL1244" s="77"/>
      <c r="BM1244" s="77"/>
    </row>
    <row r="1245">
      <c r="A1245" s="100" t="s">
        <v>69</v>
      </c>
      <c r="B1245" s="100" t="b">
        <v>0</v>
      </c>
      <c r="C1245" s="100" t="b">
        <v>0</v>
      </c>
      <c r="D1245" s="42"/>
      <c r="E1245" s="43"/>
      <c r="F1245" s="101"/>
      <c r="G1245" s="102"/>
      <c r="H1245" s="103"/>
      <c r="I1245" s="103"/>
      <c r="J1245" s="104"/>
      <c r="K1245" s="102"/>
      <c r="L1245" s="102"/>
      <c r="M1245" s="105"/>
      <c r="N1245" s="105"/>
      <c r="O1245" s="103"/>
      <c r="P1245" s="103"/>
      <c r="Q1245" s="103"/>
      <c r="R1245" s="103"/>
      <c r="S1245" s="103"/>
      <c r="T1245" s="103"/>
      <c r="U1245" s="103"/>
      <c r="V1245" s="103"/>
      <c r="W1245" s="103"/>
      <c r="X1245" s="103"/>
      <c r="Y1245" s="70"/>
      <c r="Z1245" s="70"/>
      <c r="AA1245" s="70"/>
      <c r="AB1245" s="70"/>
      <c r="AC1245" s="70"/>
      <c r="AD1245" s="70"/>
      <c r="AE1245" s="70"/>
      <c r="AF1245" s="70"/>
      <c r="AG1245" s="70"/>
      <c r="AH1245" s="70"/>
      <c r="AI1245" s="70"/>
      <c r="AJ1245" s="70"/>
      <c r="AK1245" s="70"/>
      <c r="AL1245" s="70"/>
      <c r="AM1245" s="70"/>
      <c r="AN1245" s="70"/>
      <c r="AO1245" s="70"/>
      <c r="AP1245" s="70"/>
      <c r="AQ1245" s="77"/>
      <c r="AR1245" s="77"/>
      <c r="AS1245" s="77"/>
      <c r="AT1245" s="77"/>
      <c r="AU1245" s="77"/>
      <c r="AV1245" s="77"/>
      <c r="AW1245" s="77"/>
      <c r="AX1245" s="77"/>
      <c r="AY1245" s="77"/>
      <c r="AZ1245" s="77"/>
      <c r="BA1245" s="77"/>
      <c r="BB1245" s="77"/>
      <c r="BC1245" s="77"/>
      <c r="BD1245" s="77"/>
      <c r="BE1245" s="77"/>
      <c r="BF1245" s="77"/>
      <c r="BG1245" s="77"/>
      <c r="BH1245" s="77"/>
      <c r="BI1245" s="77"/>
      <c r="BJ1245" s="77"/>
      <c r="BK1245" s="77"/>
      <c r="BL1245" s="77"/>
      <c r="BM1245" s="77"/>
    </row>
    <row r="1246">
      <c r="A1246" s="99" t="s">
        <v>69</v>
      </c>
      <c r="B1246" s="99" t="b">
        <v>0</v>
      </c>
      <c r="C1246" s="99" t="b">
        <v>0</v>
      </c>
      <c r="D1246" s="80"/>
      <c r="E1246" s="81"/>
      <c r="F1246" s="106"/>
      <c r="G1246" s="107"/>
      <c r="H1246" s="108"/>
      <c r="I1246" s="108"/>
      <c r="J1246" s="109"/>
      <c r="K1246" s="107"/>
      <c r="L1246" s="107"/>
      <c r="M1246" s="110"/>
      <c r="N1246" s="110"/>
      <c r="O1246" s="108"/>
      <c r="P1246" s="108"/>
      <c r="Q1246" s="108"/>
      <c r="R1246" s="108"/>
      <c r="S1246" s="108"/>
      <c r="T1246" s="108"/>
      <c r="U1246" s="108"/>
      <c r="V1246" s="108"/>
      <c r="W1246" s="108"/>
      <c r="X1246" s="108"/>
      <c r="Y1246" s="70"/>
      <c r="Z1246" s="70"/>
      <c r="AA1246" s="70"/>
      <c r="AB1246" s="70"/>
      <c r="AC1246" s="70"/>
      <c r="AD1246" s="70"/>
      <c r="AE1246" s="70"/>
      <c r="AF1246" s="70"/>
      <c r="AG1246" s="70"/>
      <c r="AH1246" s="70"/>
      <c r="AI1246" s="70"/>
      <c r="AJ1246" s="70"/>
      <c r="AK1246" s="70"/>
      <c r="AL1246" s="70"/>
      <c r="AM1246" s="70"/>
      <c r="AN1246" s="70"/>
      <c r="AO1246" s="70"/>
      <c r="AP1246" s="70"/>
      <c r="AQ1246" s="77"/>
      <c r="AR1246" s="77"/>
      <c r="AS1246" s="77"/>
      <c r="AT1246" s="77"/>
      <c r="AU1246" s="77"/>
      <c r="AV1246" s="77"/>
      <c r="AW1246" s="77"/>
      <c r="AX1246" s="77"/>
      <c r="AY1246" s="77"/>
      <c r="AZ1246" s="77"/>
      <c r="BA1246" s="77"/>
      <c r="BB1246" s="77"/>
      <c r="BC1246" s="77"/>
      <c r="BD1246" s="77"/>
      <c r="BE1246" s="77"/>
      <c r="BF1246" s="77"/>
      <c r="BG1246" s="77"/>
      <c r="BH1246" s="77"/>
      <c r="BI1246" s="77"/>
      <c r="BJ1246" s="77"/>
      <c r="BK1246" s="77"/>
      <c r="BL1246" s="77"/>
      <c r="BM1246" s="77"/>
    </row>
    <row r="1247">
      <c r="A1247" s="100" t="s">
        <v>69</v>
      </c>
      <c r="B1247" s="100" t="b">
        <v>0</v>
      </c>
      <c r="C1247" s="100" t="b">
        <v>0</v>
      </c>
      <c r="D1247" s="42"/>
      <c r="E1247" s="43"/>
      <c r="F1247" s="101"/>
      <c r="G1247" s="102"/>
      <c r="H1247" s="103"/>
      <c r="I1247" s="103"/>
      <c r="J1247" s="104"/>
      <c r="K1247" s="102"/>
      <c r="L1247" s="102"/>
      <c r="M1247" s="105"/>
      <c r="N1247" s="105"/>
      <c r="O1247" s="103"/>
      <c r="P1247" s="103"/>
      <c r="Q1247" s="103"/>
      <c r="R1247" s="103"/>
      <c r="S1247" s="103"/>
      <c r="T1247" s="103"/>
      <c r="U1247" s="103"/>
      <c r="V1247" s="103"/>
      <c r="W1247" s="103"/>
      <c r="X1247" s="103"/>
      <c r="Y1247" s="70"/>
      <c r="Z1247" s="70"/>
      <c r="AA1247" s="70"/>
      <c r="AB1247" s="70"/>
      <c r="AC1247" s="70"/>
      <c r="AD1247" s="70"/>
      <c r="AE1247" s="70"/>
      <c r="AF1247" s="70"/>
      <c r="AG1247" s="70"/>
      <c r="AH1247" s="70"/>
      <c r="AI1247" s="70"/>
      <c r="AJ1247" s="70"/>
      <c r="AK1247" s="70"/>
      <c r="AL1247" s="70"/>
      <c r="AM1247" s="70"/>
      <c r="AN1247" s="70"/>
      <c r="AO1247" s="70"/>
      <c r="AP1247" s="70"/>
      <c r="AQ1247" s="77"/>
      <c r="AR1247" s="77"/>
      <c r="AS1247" s="77"/>
      <c r="AT1247" s="77"/>
      <c r="AU1247" s="77"/>
      <c r="AV1247" s="77"/>
      <c r="AW1247" s="77"/>
      <c r="AX1247" s="77"/>
      <c r="AY1247" s="77"/>
      <c r="AZ1247" s="77"/>
      <c r="BA1247" s="77"/>
      <c r="BB1247" s="77"/>
      <c r="BC1247" s="77"/>
      <c r="BD1247" s="77"/>
      <c r="BE1247" s="77"/>
      <c r="BF1247" s="77"/>
      <c r="BG1247" s="77"/>
      <c r="BH1247" s="77"/>
      <c r="BI1247" s="77"/>
      <c r="BJ1247" s="77"/>
      <c r="BK1247" s="77"/>
      <c r="BL1247" s="77"/>
      <c r="BM1247" s="77"/>
    </row>
    <row r="1248">
      <c r="A1248" s="99" t="s">
        <v>69</v>
      </c>
      <c r="B1248" s="99" t="b">
        <v>0</v>
      </c>
      <c r="C1248" s="99" t="b">
        <v>0</v>
      </c>
      <c r="D1248" s="80"/>
      <c r="E1248" s="81"/>
      <c r="F1248" s="106"/>
      <c r="G1248" s="107"/>
      <c r="H1248" s="108"/>
      <c r="I1248" s="108"/>
      <c r="J1248" s="109"/>
      <c r="K1248" s="107"/>
      <c r="L1248" s="107"/>
      <c r="M1248" s="110"/>
      <c r="N1248" s="110"/>
      <c r="O1248" s="108"/>
      <c r="P1248" s="108"/>
      <c r="Q1248" s="108"/>
      <c r="R1248" s="108"/>
      <c r="S1248" s="108"/>
      <c r="T1248" s="108"/>
      <c r="U1248" s="108"/>
      <c r="V1248" s="108"/>
      <c r="W1248" s="108"/>
      <c r="X1248" s="108"/>
      <c r="Y1248" s="70"/>
      <c r="Z1248" s="70"/>
      <c r="AA1248" s="70"/>
      <c r="AB1248" s="70"/>
      <c r="AC1248" s="70"/>
      <c r="AD1248" s="70"/>
      <c r="AE1248" s="70"/>
      <c r="AF1248" s="70"/>
      <c r="AG1248" s="70"/>
      <c r="AH1248" s="70"/>
      <c r="AI1248" s="70"/>
      <c r="AJ1248" s="70"/>
      <c r="AK1248" s="70"/>
      <c r="AL1248" s="70"/>
      <c r="AM1248" s="70"/>
      <c r="AN1248" s="70"/>
      <c r="AO1248" s="70"/>
      <c r="AP1248" s="70"/>
      <c r="AQ1248" s="77"/>
      <c r="AR1248" s="77"/>
      <c r="AS1248" s="77"/>
      <c r="AT1248" s="77"/>
      <c r="AU1248" s="77"/>
      <c r="AV1248" s="77"/>
      <c r="AW1248" s="77"/>
      <c r="AX1248" s="77"/>
      <c r="AY1248" s="77"/>
      <c r="AZ1248" s="77"/>
      <c r="BA1248" s="77"/>
      <c r="BB1248" s="77"/>
      <c r="BC1248" s="77"/>
      <c r="BD1248" s="77"/>
      <c r="BE1248" s="77"/>
      <c r="BF1248" s="77"/>
      <c r="BG1248" s="77"/>
      <c r="BH1248" s="77"/>
      <c r="BI1248" s="77"/>
      <c r="BJ1248" s="77"/>
      <c r="BK1248" s="77"/>
      <c r="BL1248" s="77"/>
      <c r="BM1248" s="77"/>
    </row>
    <row r="1249">
      <c r="A1249" s="100" t="s">
        <v>69</v>
      </c>
      <c r="B1249" s="100" t="b">
        <v>0</v>
      </c>
      <c r="C1249" s="100" t="b">
        <v>0</v>
      </c>
      <c r="D1249" s="42"/>
      <c r="E1249" s="43"/>
      <c r="F1249" s="101"/>
      <c r="G1249" s="102"/>
      <c r="H1249" s="103"/>
      <c r="I1249" s="103"/>
      <c r="J1249" s="104"/>
      <c r="K1249" s="102"/>
      <c r="L1249" s="102"/>
      <c r="M1249" s="105"/>
      <c r="N1249" s="105"/>
      <c r="O1249" s="103"/>
      <c r="P1249" s="103"/>
      <c r="Q1249" s="103"/>
      <c r="R1249" s="103"/>
      <c r="S1249" s="103"/>
      <c r="T1249" s="103"/>
      <c r="U1249" s="103"/>
      <c r="V1249" s="103"/>
      <c r="W1249" s="103"/>
      <c r="X1249" s="103"/>
      <c r="Y1249" s="70"/>
      <c r="Z1249" s="70"/>
      <c r="AA1249" s="70"/>
      <c r="AB1249" s="70"/>
      <c r="AC1249" s="70"/>
      <c r="AD1249" s="70"/>
      <c r="AE1249" s="70"/>
      <c r="AF1249" s="70"/>
      <c r="AG1249" s="70"/>
      <c r="AH1249" s="70"/>
      <c r="AI1249" s="70"/>
      <c r="AJ1249" s="70"/>
      <c r="AK1249" s="70"/>
      <c r="AL1249" s="70"/>
      <c r="AM1249" s="70"/>
      <c r="AN1249" s="70"/>
      <c r="AO1249" s="70"/>
      <c r="AP1249" s="70"/>
      <c r="AQ1249" s="77"/>
      <c r="AR1249" s="77"/>
      <c r="AS1249" s="77"/>
      <c r="AT1249" s="77"/>
      <c r="AU1249" s="77"/>
      <c r="AV1249" s="77"/>
      <c r="AW1249" s="77"/>
      <c r="AX1249" s="77"/>
      <c r="AY1249" s="77"/>
      <c r="AZ1249" s="77"/>
      <c r="BA1249" s="77"/>
      <c r="BB1249" s="77"/>
      <c r="BC1249" s="77"/>
      <c r="BD1249" s="77"/>
      <c r="BE1249" s="77"/>
      <c r="BF1249" s="77"/>
      <c r="BG1249" s="77"/>
      <c r="BH1249" s="77"/>
      <c r="BI1249" s="77"/>
      <c r="BJ1249" s="77"/>
      <c r="BK1249" s="77"/>
      <c r="BL1249" s="77"/>
      <c r="BM1249" s="77"/>
    </row>
    <row r="1250">
      <c r="A1250" s="99" t="s">
        <v>69</v>
      </c>
      <c r="B1250" s="99" t="b">
        <v>0</v>
      </c>
      <c r="C1250" s="99" t="b">
        <v>0</v>
      </c>
      <c r="D1250" s="80"/>
      <c r="E1250" s="81"/>
      <c r="F1250" s="106"/>
      <c r="G1250" s="107"/>
      <c r="H1250" s="108"/>
      <c r="I1250" s="108"/>
      <c r="J1250" s="109"/>
      <c r="K1250" s="107"/>
      <c r="L1250" s="107"/>
      <c r="M1250" s="110"/>
      <c r="N1250" s="110"/>
      <c r="O1250" s="108"/>
      <c r="P1250" s="108"/>
      <c r="Q1250" s="108"/>
      <c r="R1250" s="108"/>
      <c r="S1250" s="108"/>
      <c r="T1250" s="108"/>
      <c r="U1250" s="108"/>
      <c r="V1250" s="108"/>
      <c r="W1250" s="108"/>
      <c r="X1250" s="108"/>
      <c r="Y1250" s="70"/>
      <c r="Z1250" s="70"/>
      <c r="AA1250" s="70"/>
      <c r="AB1250" s="70"/>
      <c r="AC1250" s="70"/>
      <c r="AD1250" s="70"/>
      <c r="AE1250" s="70"/>
      <c r="AF1250" s="70"/>
      <c r="AG1250" s="70"/>
      <c r="AH1250" s="70"/>
      <c r="AI1250" s="70"/>
      <c r="AJ1250" s="70"/>
      <c r="AK1250" s="70"/>
      <c r="AL1250" s="70"/>
      <c r="AM1250" s="70"/>
      <c r="AN1250" s="70"/>
      <c r="AO1250" s="70"/>
      <c r="AP1250" s="70"/>
      <c r="AQ1250" s="77"/>
      <c r="AR1250" s="77"/>
      <c r="AS1250" s="77"/>
      <c r="AT1250" s="77"/>
      <c r="AU1250" s="77"/>
      <c r="AV1250" s="77"/>
      <c r="AW1250" s="77"/>
      <c r="AX1250" s="77"/>
      <c r="AY1250" s="77"/>
      <c r="AZ1250" s="77"/>
      <c r="BA1250" s="77"/>
      <c r="BB1250" s="77"/>
      <c r="BC1250" s="77"/>
      <c r="BD1250" s="77"/>
      <c r="BE1250" s="77"/>
      <c r="BF1250" s="77"/>
      <c r="BG1250" s="77"/>
      <c r="BH1250" s="77"/>
      <c r="BI1250" s="77"/>
      <c r="BJ1250" s="77"/>
      <c r="BK1250" s="77"/>
      <c r="BL1250" s="77"/>
      <c r="BM1250" s="77"/>
    </row>
    <row r="1251">
      <c r="A1251" s="100" t="s">
        <v>69</v>
      </c>
      <c r="B1251" s="100" t="b">
        <v>0</v>
      </c>
      <c r="C1251" s="100" t="b">
        <v>0</v>
      </c>
      <c r="D1251" s="42"/>
      <c r="E1251" s="43"/>
      <c r="F1251" s="101"/>
      <c r="G1251" s="102"/>
      <c r="H1251" s="103"/>
      <c r="I1251" s="103"/>
      <c r="J1251" s="104"/>
      <c r="K1251" s="102"/>
      <c r="L1251" s="102"/>
      <c r="M1251" s="105"/>
      <c r="N1251" s="105"/>
      <c r="O1251" s="103"/>
      <c r="P1251" s="103"/>
      <c r="Q1251" s="103"/>
      <c r="R1251" s="103"/>
      <c r="S1251" s="103"/>
      <c r="T1251" s="103"/>
      <c r="U1251" s="103"/>
      <c r="V1251" s="103"/>
      <c r="W1251" s="103"/>
      <c r="X1251" s="103"/>
      <c r="Y1251" s="70"/>
      <c r="Z1251" s="70"/>
      <c r="AA1251" s="70"/>
      <c r="AB1251" s="70"/>
      <c r="AC1251" s="70"/>
      <c r="AD1251" s="70"/>
      <c r="AE1251" s="70"/>
      <c r="AF1251" s="70"/>
      <c r="AG1251" s="70"/>
      <c r="AH1251" s="70"/>
      <c r="AI1251" s="70"/>
      <c r="AJ1251" s="70"/>
      <c r="AK1251" s="70"/>
      <c r="AL1251" s="70"/>
      <c r="AM1251" s="70"/>
      <c r="AN1251" s="70"/>
      <c r="AO1251" s="70"/>
      <c r="AP1251" s="70"/>
      <c r="AQ1251" s="77"/>
      <c r="AR1251" s="77"/>
      <c r="AS1251" s="77"/>
      <c r="AT1251" s="77"/>
      <c r="AU1251" s="77"/>
      <c r="AV1251" s="77"/>
      <c r="AW1251" s="77"/>
      <c r="AX1251" s="77"/>
      <c r="AY1251" s="77"/>
      <c r="AZ1251" s="77"/>
      <c r="BA1251" s="77"/>
      <c r="BB1251" s="77"/>
      <c r="BC1251" s="77"/>
      <c r="BD1251" s="77"/>
      <c r="BE1251" s="77"/>
      <c r="BF1251" s="77"/>
      <c r="BG1251" s="77"/>
      <c r="BH1251" s="77"/>
      <c r="BI1251" s="77"/>
      <c r="BJ1251" s="77"/>
      <c r="BK1251" s="77"/>
      <c r="BL1251" s="77"/>
      <c r="BM1251" s="77"/>
    </row>
    <row r="1252">
      <c r="A1252" s="99" t="s">
        <v>69</v>
      </c>
      <c r="B1252" s="99" t="b">
        <v>0</v>
      </c>
      <c r="C1252" s="99" t="b">
        <v>0</v>
      </c>
      <c r="D1252" s="80"/>
      <c r="E1252" s="81"/>
      <c r="F1252" s="106"/>
      <c r="G1252" s="107"/>
      <c r="H1252" s="108"/>
      <c r="I1252" s="108"/>
      <c r="J1252" s="109"/>
      <c r="K1252" s="107"/>
      <c r="L1252" s="107"/>
      <c r="M1252" s="110"/>
      <c r="N1252" s="110"/>
      <c r="O1252" s="108"/>
      <c r="P1252" s="108"/>
      <c r="Q1252" s="108"/>
      <c r="R1252" s="108"/>
      <c r="S1252" s="108"/>
      <c r="T1252" s="108"/>
      <c r="U1252" s="108"/>
      <c r="V1252" s="108"/>
      <c r="W1252" s="108"/>
      <c r="X1252" s="108"/>
      <c r="Y1252" s="70"/>
      <c r="Z1252" s="70"/>
      <c r="AA1252" s="70"/>
      <c r="AB1252" s="70"/>
      <c r="AC1252" s="70"/>
      <c r="AD1252" s="70"/>
      <c r="AE1252" s="70"/>
      <c r="AF1252" s="70"/>
      <c r="AG1252" s="70"/>
      <c r="AH1252" s="70"/>
      <c r="AI1252" s="70"/>
      <c r="AJ1252" s="70"/>
      <c r="AK1252" s="70"/>
      <c r="AL1252" s="70"/>
      <c r="AM1252" s="70"/>
      <c r="AN1252" s="70"/>
      <c r="AO1252" s="70"/>
      <c r="AP1252" s="70"/>
      <c r="AQ1252" s="77"/>
      <c r="AR1252" s="77"/>
      <c r="AS1252" s="77"/>
      <c r="AT1252" s="77"/>
      <c r="AU1252" s="77"/>
      <c r="AV1252" s="77"/>
      <c r="AW1252" s="77"/>
      <c r="AX1252" s="77"/>
      <c r="AY1252" s="77"/>
      <c r="AZ1252" s="77"/>
      <c r="BA1252" s="77"/>
      <c r="BB1252" s="77"/>
      <c r="BC1252" s="77"/>
      <c r="BD1252" s="77"/>
      <c r="BE1252" s="77"/>
      <c r="BF1252" s="77"/>
      <c r="BG1252" s="77"/>
      <c r="BH1252" s="77"/>
      <c r="BI1252" s="77"/>
      <c r="BJ1252" s="77"/>
      <c r="BK1252" s="77"/>
      <c r="BL1252" s="77"/>
      <c r="BM1252" s="77"/>
    </row>
    <row r="1253">
      <c r="A1253" s="100" t="s">
        <v>69</v>
      </c>
      <c r="B1253" s="100" t="b">
        <v>0</v>
      </c>
      <c r="C1253" s="100" t="b">
        <v>0</v>
      </c>
      <c r="D1253" s="42"/>
      <c r="E1253" s="43"/>
      <c r="F1253" s="101"/>
      <c r="G1253" s="102"/>
      <c r="H1253" s="103"/>
      <c r="I1253" s="103"/>
      <c r="J1253" s="104"/>
      <c r="K1253" s="102"/>
      <c r="L1253" s="102"/>
      <c r="M1253" s="105"/>
      <c r="N1253" s="105"/>
      <c r="O1253" s="103"/>
      <c r="P1253" s="103"/>
      <c r="Q1253" s="103"/>
      <c r="R1253" s="103"/>
      <c r="S1253" s="103"/>
      <c r="T1253" s="103"/>
      <c r="U1253" s="103"/>
      <c r="V1253" s="103"/>
      <c r="W1253" s="103"/>
      <c r="X1253" s="103"/>
      <c r="Y1253" s="70"/>
      <c r="Z1253" s="70"/>
      <c r="AA1253" s="70"/>
      <c r="AB1253" s="70"/>
      <c r="AC1253" s="70"/>
      <c r="AD1253" s="70"/>
      <c r="AE1253" s="70"/>
      <c r="AF1253" s="70"/>
      <c r="AG1253" s="70"/>
      <c r="AH1253" s="70"/>
      <c r="AI1253" s="70"/>
      <c r="AJ1253" s="70"/>
      <c r="AK1253" s="70"/>
      <c r="AL1253" s="70"/>
      <c r="AM1253" s="70"/>
      <c r="AN1253" s="70"/>
      <c r="AO1253" s="70"/>
      <c r="AP1253" s="70"/>
      <c r="AQ1253" s="77"/>
      <c r="AR1253" s="77"/>
      <c r="AS1253" s="77"/>
      <c r="AT1253" s="77"/>
      <c r="AU1253" s="77"/>
      <c r="AV1253" s="77"/>
      <c r="AW1253" s="77"/>
      <c r="AX1253" s="77"/>
      <c r="AY1253" s="77"/>
      <c r="AZ1253" s="77"/>
      <c r="BA1253" s="77"/>
      <c r="BB1253" s="77"/>
      <c r="BC1253" s="77"/>
      <c r="BD1253" s="77"/>
      <c r="BE1253" s="77"/>
      <c r="BF1253" s="77"/>
      <c r="BG1253" s="77"/>
      <c r="BH1253" s="77"/>
      <c r="BI1253" s="77"/>
      <c r="BJ1253" s="77"/>
      <c r="BK1253" s="77"/>
      <c r="BL1253" s="77"/>
      <c r="BM1253" s="77"/>
    </row>
    <row r="1254">
      <c r="A1254" s="99" t="s">
        <v>69</v>
      </c>
      <c r="B1254" s="99" t="b">
        <v>0</v>
      </c>
      <c r="C1254" s="99" t="b">
        <v>0</v>
      </c>
      <c r="D1254" s="80"/>
      <c r="E1254" s="81"/>
      <c r="F1254" s="106"/>
      <c r="G1254" s="107"/>
      <c r="H1254" s="108"/>
      <c r="I1254" s="108"/>
      <c r="J1254" s="109"/>
      <c r="K1254" s="107"/>
      <c r="L1254" s="107"/>
      <c r="M1254" s="110"/>
      <c r="N1254" s="110"/>
      <c r="O1254" s="108"/>
      <c r="P1254" s="108"/>
      <c r="Q1254" s="108"/>
      <c r="R1254" s="108"/>
      <c r="S1254" s="108"/>
      <c r="T1254" s="108"/>
      <c r="U1254" s="108"/>
      <c r="V1254" s="108"/>
      <c r="W1254" s="108"/>
      <c r="X1254" s="108"/>
      <c r="Y1254" s="70"/>
      <c r="Z1254" s="70"/>
      <c r="AA1254" s="70"/>
      <c r="AB1254" s="70"/>
      <c r="AC1254" s="70"/>
      <c r="AD1254" s="70"/>
      <c r="AE1254" s="70"/>
      <c r="AF1254" s="70"/>
      <c r="AG1254" s="70"/>
      <c r="AH1254" s="70"/>
      <c r="AI1254" s="70"/>
      <c r="AJ1254" s="70"/>
      <c r="AK1254" s="70"/>
      <c r="AL1254" s="70"/>
      <c r="AM1254" s="70"/>
      <c r="AN1254" s="70"/>
      <c r="AO1254" s="70"/>
      <c r="AP1254" s="70"/>
      <c r="AQ1254" s="77"/>
      <c r="AR1254" s="77"/>
      <c r="AS1254" s="77"/>
      <c r="AT1254" s="77"/>
      <c r="AU1254" s="77"/>
      <c r="AV1254" s="77"/>
      <c r="AW1254" s="77"/>
      <c r="AX1254" s="77"/>
      <c r="AY1254" s="77"/>
      <c r="AZ1254" s="77"/>
      <c r="BA1254" s="77"/>
      <c r="BB1254" s="77"/>
      <c r="BC1254" s="77"/>
      <c r="BD1254" s="77"/>
      <c r="BE1254" s="77"/>
      <c r="BF1254" s="77"/>
      <c r="BG1254" s="77"/>
      <c r="BH1254" s="77"/>
      <c r="BI1254" s="77"/>
      <c r="BJ1254" s="77"/>
      <c r="BK1254" s="77"/>
      <c r="BL1254" s="77"/>
      <c r="BM1254" s="77"/>
    </row>
    <row r="1255">
      <c r="A1255" s="100" t="s">
        <v>69</v>
      </c>
      <c r="B1255" s="100" t="b">
        <v>0</v>
      </c>
      <c r="C1255" s="100" t="b">
        <v>0</v>
      </c>
      <c r="D1255" s="42"/>
      <c r="E1255" s="43"/>
      <c r="F1255" s="101"/>
      <c r="G1255" s="102"/>
      <c r="H1255" s="103"/>
      <c r="I1255" s="103"/>
      <c r="J1255" s="104"/>
      <c r="K1255" s="102"/>
      <c r="L1255" s="102"/>
      <c r="M1255" s="105"/>
      <c r="N1255" s="105"/>
      <c r="O1255" s="103"/>
      <c r="P1255" s="103"/>
      <c r="Q1255" s="103"/>
      <c r="R1255" s="103"/>
      <c r="S1255" s="103"/>
      <c r="T1255" s="103"/>
      <c r="U1255" s="103"/>
      <c r="V1255" s="103"/>
      <c r="W1255" s="103"/>
      <c r="X1255" s="103"/>
      <c r="Y1255" s="70"/>
      <c r="Z1255" s="70"/>
      <c r="AA1255" s="70"/>
      <c r="AB1255" s="70"/>
      <c r="AC1255" s="70"/>
      <c r="AD1255" s="70"/>
      <c r="AE1255" s="70"/>
      <c r="AF1255" s="70"/>
      <c r="AG1255" s="70"/>
      <c r="AH1255" s="70"/>
      <c r="AI1255" s="70"/>
      <c r="AJ1255" s="70"/>
      <c r="AK1255" s="70"/>
      <c r="AL1255" s="70"/>
      <c r="AM1255" s="70"/>
      <c r="AN1255" s="70"/>
      <c r="AO1255" s="70"/>
      <c r="AP1255" s="70"/>
      <c r="AQ1255" s="77"/>
      <c r="AR1255" s="77"/>
      <c r="AS1255" s="77"/>
      <c r="AT1255" s="77"/>
      <c r="AU1255" s="77"/>
      <c r="AV1255" s="77"/>
      <c r="AW1255" s="77"/>
      <c r="AX1255" s="77"/>
      <c r="AY1255" s="77"/>
      <c r="AZ1255" s="77"/>
      <c r="BA1255" s="77"/>
      <c r="BB1255" s="77"/>
      <c r="BC1255" s="77"/>
      <c r="BD1255" s="77"/>
      <c r="BE1255" s="77"/>
      <c r="BF1255" s="77"/>
      <c r="BG1255" s="77"/>
      <c r="BH1255" s="77"/>
      <c r="BI1255" s="77"/>
      <c r="BJ1255" s="77"/>
      <c r="BK1255" s="77"/>
      <c r="BL1255" s="77"/>
      <c r="BM1255" s="77"/>
    </row>
    <row r="1256">
      <c r="A1256" s="99" t="s">
        <v>69</v>
      </c>
      <c r="B1256" s="99" t="b">
        <v>0</v>
      </c>
      <c r="C1256" s="99" t="b">
        <v>0</v>
      </c>
      <c r="D1256" s="80"/>
      <c r="E1256" s="81"/>
      <c r="F1256" s="106"/>
      <c r="G1256" s="107"/>
      <c r="H1256" s="108"/>
      <c r="I1256" s="108"/>
      <c r="J1256" s="109"/>
      <c r="K1256" s="107"/>
      <c r="L1256" s="107"/>
      <c r="M1256" s="110"/>
      <c r="N1256" s="110"/>
      <c r="O1256" s="108"/>
      <c r="P1256" s="108"/>
      <c r="Q1256" s="108"/>
      <c r="R1256" s="108"/>
      <c r="S1256" s="108"/>
      <c r="T1256" s="108"/>
      <c r="U1256" s="108"/>
      <c r="V1256" s="108"/>
      <c r="W1256" s="108"/>
      <c r="X1256" s="108"/>
      <c r="Y1256" s="70"/>
      <c r="Z1256" s="70"/>
      <c r="AA1256" s="70"/>
      <c r="AB1256" s="70"/>
      <c r="AC1256" s="70"/>
      <c r="AD1256" s="70"/>
      <c r="AE1256" s="70"/>
      <c r="AF1256" s="70"/>
      <c r="AG1256" s="70"/>
      <c r="AH1256" s="70"/>
      <c r="AI1256" s="70"/>
      <c r="AJ1256" s="70"/>
      <c r="AK1256" s="70"/>
      <c r="AL1256" s="70"/>
      <c r="AM1256" s="70"/>
      <c r="AN1256" s="70"/>
      <c r="AO1256" s="70"/>
      <c r="AP1256" s="70"/>
      <c r="AQ1256" s="77"/>
      <c r="AR1256" s="77"/>
      <c r="AS1256" s="77"/>
      <c r="AT1256" s="77"/>
      <c r="AU1256" s="77"/>
      <c r="AV1256" s="77"/>
      <c r="AW1256" s="77"/>
      <c r="AX1256" s="77"/>
      <c r="AY1256" s="77"/>
      <c r="AZ1256" s="77"/>
      <c r="BA1256" s="77"/>
      <c r="BB1256" s="77"/>
      <c r="BC1256" s="77"/>
      <c r="BD1256" s="77"/>
      <c r="BE1256" s="77"/>
      <c r="BF1256" s="77"/>
      <c r="BG1256" s="77"/>
      <c r="BH1256" s="77"/>
      <c r="BI1256" s="77"/>
      <c r="BJ1256" s="77"/>
      <c r="BK1256" s="77"/>
      <c r="BL1256" s="77"/>
      <c r="BM1256" s="77"/>
    </row>
    <row r="1257">
      <c r="A1257" s="100" t="s">
        <v>69</v>
      </c>
      <c r="B1257" s="100" t="b">
        <v>0</v>
      </c>
      <c r="C1257" s="100" t="b">
        <v>0</v>
      </c>
      <c r="D1257" s="42"/>
      <c r="E1257" s="43"/>
      <c r="F1257" s="101"/>
      <c r="G1257" s="102"/>
      <c r="H1257" s="103"/>
      <c r="I1257" s="103"/>
      <c r="J1257" s="104"/>
      <c r="K1257" s="102"/>
      <c r="L1257" s="102"/>
      <c r="M1257" s="105"/>
      <c r="N1257" s="105"/>
      <c r="O1257" s="103"/>
      <c r="P1257" s="103"/>
      <c r="Q1257" s="103"/>
      <c r="R1257" s="103"/>
      <c r="S1257" s="103"/>
      <c r="T1257" s="103"/>
      <c r="U1257" s="103"/>
      <c r="V1257" s="103"/>
      <c r="W1257" s="103"/>
      <c r="X1257" s="103"/>
      <c r="Y1257" s="70"/>
      <c r="Z1257" s="70"/>
      <c r="AA1257" s="70"/>
      <c r="AB1257" s="70"/>
      <c r="AC1257" s="70"/>
      <c r="AD1257" s="70"/>
      <c r="AE1257" s="70"/>
      <c r="AF1257" s="70"/>
      <c r="AG1257" s="70"/>
      <c r="AH1257" s="70"/>
      <c r="AI1257" s="70"/>
      <c r="AJ1257" s="70"/>
      <c r="AK1257" s="70"/>
      <c r="AL1257" s="70"/>
      <c r="AM1257" s="70"/>
      <c r="AN1257" s="70"/>
      <c r="AO1257" s="70"/>
      <c r="AP1257" s="70"/>
      <c r="AQ1257" s="77"/>
      <c r="AR1257" s="77"/>
      <c r="AS1257" s="77"/>
      <c r="AT1257" s="77"/>
      <c r="AU1257" s="77"/>
      <c r="AV1257" s="77"/>
      <c r="AW1257" s="77"/>
      <c r="AX1257" s="77"/>
      <c r="AY1257" s="77"/>
      <c r="AZ1257" s="77"/>
      <c r="BA1257" s="77"/>
      <c r="BB1257" s="77"/>
      <c r="BC1257" s="77"/>
      <c r="BD1257" s="77"/>
      <c r="BE1257" s="77"/>
      <c r="BF1257" s="77"/>
      <c r="BG1257" s="77"/>
      <c r="BH1257" s="77"/>
      <c r="BI1257" s="77"/>
      <c r="BJ1257" s="77"/>
      <c r="BK1257" s="77"/>
      <c r="BL1257" s="77"/>
      <c r="BM1257" s="77"/>
    </row>
    <row r="1258">
      <c r="A1258" s="99" t="s">
        <v>69</v>
      </c>
      <c r="B1258" s="99" t="b">
        <v>0</v>
      </c>
      <c r="C1258" s="99" t="b">
        <v>0</v>
      </c>
      <c r="D1258" s="80"/>
      <c r="E1258" s="81"/>
      <c r="F1258" s="106"/>
      <c r="G1258" s="107"/>
      <c r="H1258" s="108"/>
      <c r="I1258" s="108"/>
      <c r="J1258" s="109"/>
      <c r="K1258" s="107"/>
      <c r="L1258" s="107"/>
      <c r="M1258" s="110"/>
      <c r="N1258" s="110"/>
      <c r="O1258" s="108"/>
      <c r="P1258" s="108"/>
      <c r="Q1258" s="108"/>
      <c r="R1258" s="108"/>
      <c r="S1258" s="108"/>
      <c r="T1258" s="108"/>
      <c r="U1258" s="108"/>
      <c r="V1258" s="108"/>
      <c r="W1258" s="108"/>
      <c r="X1258" s="108"/>
      <c r="Y1258" s="70"/>
      <c r="Z1258" s="70"/>
      <c r="AA1258" s="70"/>
      <c r="AB1258" s="70"/>
      <c r="AC1258" s="70"/>
      <c r="AD1258" s="70"/>
      <c r="AE1258" s="70"/>
      <c r="AF1258" s="70"/>
      <c r="AG1258" s="70"/>
      <c r="AH1258" s="70"/>
      <c r="AI1258" s="70"/>
      <c r="AJ1258" s="70"/>
      <c r="AK1258" s="70"/>
      <c r="AL1258" s="70"/>
      <c r="AM1258" s="70"/>
      <c r="AN1258" s="70"/>
      <c r="AO1258" s="70"/>
      <c r="AP1258" s="70"/>
      <c r="AQ1258" s="77"/>
      <c r="AR1258" s="77"/>
      <c r="AS1258" s="77"/>
      <c r="AT1258" s="77"/>
      <c r="AU1258" s="77"/>
      <c r="AV1258" s="77"/>
      <c r="AW1258" s="77"/>
      <c r="AX1258" s="77"/>
      <c r="AY1258" s="77"/>
      <c r="AZ1258" s="77"/>
      <c r="BA1258" s="77"/>
      <c r="BB1258" s="77"/>
      <c r="BC1258" s="77"/>
      <c r="BD1258" s="77"/>
      <c r="BE1258" s="77"/>
      <c r="BF1258" s="77"/>
      <c r="BG1258" s="77"/>
      <c r="BH1258" s="77"/>
      <c r="BI1258" s="77"/>
      <c r="BJ1258" s="77"/>
      <c r="BK1258" s="77"/>
      <c r="BL1258" s="77"/>
      <c r="BM1258" s="77"/>
    </row>
    <row r="1259">
      <c r="A1259" s="100" t="s">
        <v>69</v>
      </c>
      <c r="B1259" s="100" t="b">
        <v>0</v>
      </c>
      <c r="C1259" s="100" t="b">
        <v>0</v>
      </c>
      <c r="D1259" s="42"/>
      <c r="E1259" s="43"/>
      <c r="F1259" s="101"/>
      <c r="G1259" s="102"/>
      <c r="H1259" s="103"/>
      <c r="I1259" s="103"/>
      <c r="J1259" s="104"/>
      <c r="K1259" s="102"/>
      <c r="L1259" s="102"/>
      <c r="M1259" s="105"/>
      <c r="N1259" s="105"/>
      <c r="O1259" s="103"/>
      <c r="P1259" s="103"/>
      <c r="Q1259" s="103"/>
      <c r="R1259" s="103"/>
      <c r="S1259" s="103"/>
      <c r="T1259" s="103"/>
      <c r="U1259" s="103"/>
      <c r="V1259" s="103"/>
      <c r="W1259" s="103"/>
      <c r="X1259" s="103"/>
      <c r="Y1259" s="70"/>
      <c r="Z1259" s="70"/>
      <c r="AA1259" s="70"/>
      <c r="AB1259" s="70"/>
      <c r="AC1259" s="70"/>
      <c r="AD1259" s="70"/>
      <c r="AE1259" s="70"/>
      <c r="AF1259" s="70"/>
      <c r="AG1259" s="70"/>
      <c r="AH1259" s="70"/>
      <c r="AI1259" s="70"/>
      <c r="AJ1259" s="70"/>
      <c r="AK1259" s="70"/>
      <c r="AL1259" s="70"/>
      <c r="AM1259" s="70"/>
      <c r="AN1259" s="70"/>
      <c r="AO1259" s="70"/>
      <c r="AP1259" s="70"/>
      <c r="AQ1259" s="77"/>
      <c r="AR1259" s="77"/>
      <c r="AS1259" s="77"/>
      <c r="AT1259" s="77"/>
      <c r="AU1259" s="77"/>
      <c r="AV1259" s="77"/>
      <c r="AW1259" s="77"/>
      <c r="AX1259" s="77"/>
      <c r="AY1259" s="77"/>
      <c r="AZ1259" s="77"/>
      <c r="BA1259" s="77"/>
      <c r="BB1259" s="77"/>
      <c r="BC1259" s="77"/>
      <c r="BD1259" s="77"/>
      <c r="BE1259" s="77"/>
      <c r="BF1259" s="77"/>
      <c r="BG1259" s="77"/>
      <c r="BH1259" s="77"/>
      <c r="BI1259" s="77"/>
      <c r="BJ1259" s="77"/>
      <c r="BK1259" s="77"/>
      <c r="BL1259" s="77"/>
      <c r="BM1259" s="77"/>
    </row>
    <row r="1260">
      <c r="A1260" s="99" t="s">
        <v>69</v>
      </c>
      <c r="B1260" s="99" t="b">
        <v>0</v>
      </c>
      <c r="C1260" s="99" t="b">
        <v>0</v>
      </c>
      <c r="D1260" s="80"/>
      <c r="E1260" s="81"/>
      <c r="F1260" s="106"/>
      <c r="G1260" s="107"/>
      <c r="H1260" s="108"/>
      <c r="I1260" s="108"/>
      <c r="J1260" s="109"/>
      <c r="K1260" s="107"/>
      <c r="L1260" s="107"/>
      <c r="M1260" s="110"/>
      <c r="N1260" s="110"/>
      <c r="O1260" s="108"/>
      <c r="P1260" s="108"/>
      <c r="Q1260" s="108"/>
      <c r="R1260" s="108"/>
      <c r="S1260" s="108"/>
      <c r="T1260" s="108"/>
      <c r="U1260" s="108"/>
      <c r="V1260" s="108"/>
      <c r="W1260" s="108"/>
      <c r="X1260" s="108"/>
      <c r="Y1260" s="70"/>
      <c r="Z1260" s="70"/>
      <c r="AA1260" s="70"/>
      <c r="AB1260" s="70"/>
      <c r="AC1260" s="70"/>
      <c r="AD1260" s="70"/>
      <c r="AE1260" s="70"/>
      <c r="AF1260" s="70"/>
      <c r="AG1260" s="70"/>
      <c r="AH1260" s="70"/>
      <c r="AI1260" s="70"/>
      <c r="AJ1260" s="70"/>
      <c r="AK1260" s="70"/>
      <c r="AL1260" s="70"/>
      <c r="AM1260" s="70"/>
      <c r="AN1260" s="70"/>
      <c r="AO1260" s="70"/>
      <c r="AP1260" s="70"/>
      <c r="AQ1260" s="77"/>
      <c r="AR1260" s="77"/>
      <c r="AS1260" s="77"/>
      <c r="AT1260" s="77"/>
      <c r="AU1260" s="77"/>
      <c r="AV1260" s="77"/>
      <c r="AW1260" s="77"/>
      <c r="AX1260" s="77"/>
      <c r="AY1260" s="77"/>
      <c r="AZ1260" s="77"/>
      <c r="BA1260" s="77"/>
      <c r="BB1260" s="77"/>
      <c r="BC1260" s="77"/>
      <c r="BD1260" s="77"/>
      <c r="BE1260" s="77"/>
      <c r="BF1260" s="77"/>
      <c r="BG1260" s="77"/>
      <c r="BH1260" s="77"/>
      <c r="BI1260" s="77"/>
      <c r="BJ1260" s="77"/>
      <c r="BK1260" s="77"/>
      <c r="BL1260" s="77"/>
      <c r="BM1260" s="77"/>
    </row>
    <row r="1261">
      <c r="A1261" s="100" t="s">
        <v>69</v>
      </c>
      <c r="B1261" s="100" t="b">
        <v>0</v>
      </c>
      <c r="C1261" s="100" t="b">
        <v>0</v>
      </c>
      <c r="D1261" s="42"/>
      <c r="E1261" s="43"/>
      <c r="F1261" s="101"/>
      <c r="G1261" s="102"/>
      <c r="H1261" s="103"/>
      <c r="I1261" s="103"/>
      <c r="J1261" s="104"/>
      <c r="K1261" s="102"/>
      <c r="L1261" s="102"/>
      <c r="M1261" s="105"/>
      <c r="N1261" s="105"/>
      <c r="O1261" s="103"/>
      <c r="P1261" s="103"/>
      <c r="Q1261" s="103"/>
      <c r="R1261" s="103"/>
      <c r="S1261" s="103"/>
      <c r="T1261" s="103"/>
      <c r="U1261" s="103"/>
      <c r="V1261" s="103"/>
      <c r="W1261" s="103"/>
      <c r="X1261" s="103"/>
      <c r="Y1261" s="70"/>
      <c r="Z1261" s="70"/>
      <c r="AA1261" s="70"/>
      <c r="AB1261" s="70"/>
      <c r="AC1261" s="70"/>
      <c r="AD1261" s="70"/>
      <c r="AE1261" s="70"/>
      <c r="AF1261" s="70"/>
      <c r="AG1261" s="70"/>
      <c r="AH1261" s="70"/>
      <c r="AI1261" s="70"/>
      <c r="AJ1261" s="70"/>
      <c r="AK1261" s="70"/>
      <c r="AL1261" s="70"/>
      <c r="AM1261" s="70"/>
      <c r="AN1261" s="70"/>
      <c r="AO1261" s="70"/>
      <c r="AP1261" s="70"/>
      <c r="AQ1261" s="77"/>
      <c r="AR1261" s="77"/>
      <c r="AS1261" s="77"/>
      <c r="AT1261" s="77"/>
      <c r="AU1261" s="77"/>
      <c r="AV1261" s="77"/>
      <c r="AW1261" s="77"/>
      <c r="AX1261" s="77"/>
      <c r="AY1261" s="77"/>
      <c r="AZ1261" s="77"/>
      <c r="BA1261" s="77"/>
      <c r="BB1261" s="77"/>
      <c r="BC1261" s="77"/>
      <c r="BD1261" s="77"/>
      <c r="BE1261" s="77"/>
      <c r="BF1261" s="77"/>
      <c r="BG1261" s="77"/>
      <c r="BH1261" s="77"/>
      <c r="BI1261" s="77"/>
      <c r="BJ1261" s="77"/>
      <c r="BK1261" s="77"/>
      <c r="BL1261" s="77"/>
      <c r="BM1261" s="77"/>
    </row>
    <row r="1262">
      <c r="A1262" s="99" t="s">
        <v>69</v>
      </c>
      <c r="B1262" s="99" t="b">
        <v>0</v>
      </c>
      <c r="C1262" s="99" t="b">
        <v>0</v>
      </c>
      <c r="D1262" s="80"/>
      <c r="E1262" s="81"/>
      <c r="F1262" s="106"/>
      <c r="G1262" s="107"/>
      <c r="H1262" s="108"/>
      <c r="I1262" s="108"/>
      <c r="J1262" s="109"/>
      <c r="K1262" s="107"/>
      <c r="L1262" s="107"/>
      <c r="M1262" s="110"/>
      <c r="N1262" s="110"/>
      <c r="O1262" s="108"/>
      <c r="P1262" s="108"/>
      <c r="Q1262" s="108"/>
      <c r="R1262" s="108"/>
      <c r="S1262" s="108"/>
      <c r="T1262" s="108"/>
      <c r="U1262" s="108"/>
      <c r="V1262" s="108"/>
      <c r="W1262" s="108"/>
      <c r="X1262" s="108"/>
      <c r="Y1262" s="70"/>
      <c r="Z1262" s="70"/>
      <c r="AA1262" s="70"/>
      <c r="AB1262" s="70"/>
      <c r="AC1262" s="70"/>
      <c r="AD1262" s="70"/>
      <c r="AE1262" s="70"/>
      <c r="AF1262" s="70"/>
      <c r="AG1262" s="70"/>
      <c r="AH1262" s="70"/>
      <c r="AI1262" s="70"/>
      <c r="AJ1262" s="70"/>
      <c r="AK1262" s="70"/>
      <c r="AL1262" s="70"/>
      <c r="AM1262" s="70"/>
      <c r="AN1262" s="70"/>
      <c r="AO1262" s="70"/>
      <c r="AP1262" s="70"/>
      <c r="AQ1262" s="77"/>
      <c r="AR1262" s="77"/>
      <c r="AS1262" s="77"/>
      <c r="AT1262" s="77"/>
      <c r="AU1262" s="77"/>
      <c r="AV1262" s="77"/>
      <c r="AW1262" s="77"/>
      <c r="AX1262" s="77"/>
      <c r="AY1262" s="77"/>
      <c r="AZ1262" s="77"/>
      <c r="BA1262" s="77"/>
      <c r="BB1262" s="77"/>
      <c r="BC1262" s="77"/>
      <c r="BD1262" s="77"/>
      <c r="BE1262" s="77"/>
      <c r="BF1262" s="77"/>
      <c r="BG1262" s="77"/>
      <c r="BH1262" s="77"/>
      <c r="BI1262" s="77"/>
      <c r="BJ1262" s="77"/>
      <c r="BK1262" s="77"/>
      <c r="BL1262" s="77"/>
      <c r="BM1262" s="77"/>
    </row>
    <row r="1263">
      <c r="A1263" s="100" t="s">
        <v>69</v>
      </c>
      <c r="B1263" s="100" t="b">
        <v>0</v>
      </c>
      <c r="C1263" s="100" t="b">
        <v>0</v>
      </c>
      <c r="D1263" s="42"/>
      <c r="E1263" s="43"/>
      <c r="F1263" s="101"/>
      <c r="G1263" s="102"/>
      <c r="H1263" s="103"/>
      <c r="I1263" s="103"/>
      <c r="J1263" s="104"/>
      <c r="K1263" s="102"/>
      <c r="L1263" s="102"/>
      <c r="M1263" s="105"/>
      <c r="N1263" s="105"/>
      <c r="O1263" s="103"/>
      <c r="P1263" s="103"/>
      <c r="Q1263" s="103"/>
      <c r="R1263" s="103"/>
      <c r="S1263" s="103"/>
      <c r="T1263" s="103"/>
      <c r="U1263" s="103"/>
      <c r="V1263" s="103"/>
      <c r="W1263" s="103"/>
      <c r="X1263" s="103"/>
      <c r="Y1263" s="70"/>
      <c r="Z1263" s="70"/>
      <c r="AA1263" s="70"/>
      <c r="AB1263" s="70"/>
      <c r="AC1263" s="70"/>
      <c r="AD1263" s="70"/>
      <c r="AE1263" s="70"/>
      <c r="AF1263" s="70"/>
      <c r="AG1263" s="70"/>
      <c r="AH1263" s="70"/>
      <c r="AI1263" s="70"/>
      <c r="AJ1263" s="70"/>
      <c r="AK1263" s="70"/>
      <c r="AL1263" s="70"/>
      <c r="AM1263" s="70"/>
      <c r="AN1263" s="70"/>
      <c r="AO1263" s="70"/>
      <c r="AP1263" s="70"/>
      <c r="AQ1263" s="77"/>
      <c r="AR1263" s="77"/>
      <c r="AS1263" s="77"/>
      <c r="AT1263" s="77"/>
      <c r="AU1263" s="77"/>
      <c r="AV1263" s="77"/>
      <c r="AW1263" s="77"/>
      <c r="AX1263" s="77"/>
      <c r="AY1263" s="77"/>
      <c r="AZ1263" s="77"/>
      <c r="BA1263" s="77"/>
      <c r="BB1263" s="77"/>
      <c r="BC1263" s="77"/>
      <c r="BD1263" s="77"/>
      <c r="BE1263" s="77"/>
      <c r="BF1263" s="77"/>
      <c r="BG1263" s="77"/>
      <c r="BH1263" s="77"/>
      <c r="BI1263" s="77"/>
      <c r="BJ1263" s="77"/>
      <c r="BK1263" s="77"/>
      <c r="BL1263" s="77"/>
      <c r="BM1263" s="77"/>
    </row>
    <row r="1264">
      <c r="A1264" s="99" t="s">
        <v>69</v>
      </c>
      <c r="B1264" s="99" t="b">
        <v>0</v>
      </c>
      <c r="C1264" s="99" t="b">
        <v>0</v>
      </c>
      <c r="D1264" s="80"/>
      <c r="E1264" s="81"/>
      <c r="F1264" s="106"/>
      <c r="G1264" s="107"/>
      <c r="H1264" s="108"/>
      <c r="I1264" s="108"/>
      <c r="J1264" s="109"/>
      <c r="K1264" s="107"/>
      <c r="L1264" s="107"/>
      <c r="M1264" s="110"/>
      <c r="N1264" s="110"/>
      <c r="O1264" s="108"/>
      <c r="P1264" s="108"/>
      <c r="Q1264" s="108"/>
      <c r="R1264" s="108"/>
      <c r="S1264" s="108"/>
      <c r="T1264" s="108"/>
      <c r="U1264" s="108"/>
      <c r="V1264" s="108"/>
      <c r="W1264" s="108"/>
      <c r="X1264" s="108"/>
      <c r="Y1264" s="70"/>
      <c r="Z1264" s="70"/>
      <c r="AA1264" s="70"/>
      <c r="AB1264" s="70"/>
      <c r="AC1264" s="70"/>
      <c r="AD1264" s="70"/>
      <c r="AE1264" s="70"/>
      <c r="AF1264" s="70"/>
      <c r="AG1264" s="70"/>
      <c r="AH1264" s="70"/>
      <c r="AI1264" s="70"/>
      <c r="AJ1264" s="70"/>
      <c r="AK1264" s="70"/>
      <c r="AL1264" s="70"/>
      <c r="AM1264" s="70"/>
      <c r="AN1264" s="70"/>
      <c r="AO1264" s="70"/>
      <c r="AP1264" s="70"/>
      <c r="AQ1264" s="77"/>
      <c r="AR1264" s="77"/>
      <c r="AS1264" s="77"/>
      <c r="AT1264" s="77"/>
      <c r="AU1264" s="77"/>
      <c r="AV1264" s="77"/>
      <c r="AW1264" s="77"/>
      <c r="AX1264" s="77"/>
      <c r="AY1264" s="77"/>
      <c r="AZ1264" s="77"/>
      <c r="BA1264" s="77"/>
      <c r="BB1264" s="77"/>
      <c r="BC1264" s="77"/>
      <c r="BD1264" s="77"/>
      <c r="BE1264" s="77"/>
      <c r="BF1264" s="77"/>
      <c r="BG1264" s="77"/>
      <c r="BH1264" s="77"/>
      <c r="BI1264" s="77"/>
      <c r="BJ1264" s="77"/>
      <c r="BK1264" s="77"/>
      <c r="BL1264" s="77"/>
      <c r="BM1264" s="77"/>
    </row>
    <row r="1265">
      <c r="A1265" s="100" t="s">
        <v>69</v>
      </c>
      <c r="B1265" s="100" t="b">
        <v>0</v>
      </c>
      <c r="C1265" s="100" t="b">
        <v>0</v>
      </c>
      <c r="D1265" s="42"/>
      <c r="E1265" s="43"/>
      <c r="F1265" s="101"/>
      <c r="G1265" s="102"/>
      <c r="H1265" s="103"/>
      <c r="I1265" s="103"/>
      <c r="J1265" s="104"/>
      <c r="K1265" s="102"/>
      <c r="L1265" s="102"/>
      <c r="M1265" s="105"/>
      <c r="N1265" s="105"/>
      <c r="O1265" s="103"/>
      <c r="P1265" s="103"/>
      <c r="Q1265" s="103"/>
      <c r="R1265" s="103"/>
      <c r="S1265" s="103"/>
      <c r="T1265" s="103"/>
      <c r="U1265" s="103"/>
      <c r="V1265" s="103"/>
      <c r="W1265" s="103"/>
      <c r="X1265" s="103"/>
      <c r="Y1265" s="70"/>
      <c r="Z1265" s="70"/>
      <c r="AA1265" s="70"/>
      <c r="AB1265" s="70"/>
      <c r="AC1265" s="70"/>
      <c r="AD1265" s="70"/>
      <c r="AE1265" s="70"/>
      <c r="AF1265" s="70"/>
      <c r="AG1265" s="70"/>
      <c r="AH1265" s="70"/>
      <c r="AI1265" s="70"/>
      <c r="AJ1265" s="70"/>
      <c r="AK1265" s="70"/>
      <c r="AL1265" s="70"/>
      <c r="AM1265" s="70"/>
      <c r="AN1265" s="70"/>
      <c r="AO1265" s="70"/>
      <c r="AP1265" s="70"/>
      <c r="AQ1265" s="77"/>
      <c r="AR1265" s="77"/>
      <c r="AS1265" s="77"/>
      <c r="AT1265" s="77"/>
      <c r="AU1265" s="77"/>
      <c r="AV1265" s="77"/>
      <c r="AW1265" s="77"/>
      <c r="AX1265" s="77"/>
      <c r="AY1265" s="77"/>
      <c r="AZ1265" s="77"/>
      <c r="BA1265" s="77"/>
      <c r="BB1265" s="77"/>
      <c r="BC1265" s="77"/>
      <c r="BD1265" s="77"/>
      <c r="BE1265" s="77"/>
      <c r="BF1265" s="77"/>
      <c r="BG1265" s="77"/>
      <c r="BH1265" s="77"/>
      <c r="BI1265" s="77"/>
      <c r="BJ1265" s="77"/>
      <c r="BK1265" s="77"/>
      <c r="BL1265" s="77"/>
      <c r="BM1265" s="77"/>
    </row>
    <row r="1266">
      <c r="A1266" s="99" t="s">
        <v>69</v>
      </c>
      <c r="B1266" s="99" t="b">
        <v>0</v>
      </c>
      <c r="C1266" s="99" t="b">
        <v>0</v>
      </c>
      <c r="D1266" s="80"/>
      <c r="E1266" s="81"/>
      <c r="F1266" s="106"/>
      <c r="G1266" s="107"/>
      <c r="H1266" s="108"/>
      <c r="I1266" s="108"/>
      <c r="J1266" s="109"/>
      <c r="K1266" s="107"/>
      <c r="L1266" s="107"/>
      <c r="M1266" s="110"/>
      <c r="N1266" s="110"/>
      <c r="O1266" s="108"/>
      <c r="P1266" s="108"/>
      <c r="Q1266" s="108"/>
      <c r="R1266" s="108"/>
      <c r="S1266" s="108"/>
      <c r="T1266" s="108"/>
      <c r="U1266" s="108"/>
      <c r="V1266" s="108"/>
      <c r="W1266" s="108"/>
      <c r="X1266" s="108"/>
      <c r="Y1266" s="70"/>
      <c r="Z1266" s="70"/>
      <c r="AA1266" s="70"/>
      <c r="AB1266" s="70"/>
      <c r="AC1266" s="70"/>
      <c r="AD1266" s="70"/>
      <c r="AE1266" s="70"/>
      <c r="AF1266" s="70"/>
      <c r="AG1266" s="70"/>
      <c r="AH1266" s="70"/>
      <c r="AI1266" s="70"/>
      <c r="AJ1266" s="70"/>
      <c r="AK1266" s="70"/>
      <c r="AL1266" s="70"/>
      <c r="AM1266" s="70"/>
      <c r="AN1266" s="70"/>
      <c r="AO1266" s="70"/>
      <c r="AP1266" s="70"/>
      <c r="AQ1266" s="77"/>
      <c r="AR1266" s="77"/>
      <c r="AS1266" s="77"/>
      <c r="AT1266" s="77"/>
      <c r="AU1266" s="77"/>
      <c r="AV1266" s="77"/>
      <c r="AW1266" s="77"/>
      <c r="AX1266" s="77"/>
      <c r="AY1266" s="77"/>
      <c r="AZ1266" s="77"/>
      <c r="BA1266" s="77"/>
      <c r="BB1266" s="77"/>
      <c r="BC1266" s="77"/>
      <c r="BD1266" s="77"/>
      <c r="BE1266" s="77"/>
      <c r="BF1266" s="77"/>
      <c r="BG1266" s="77"/>
      <c r="BH1266" s="77"/>
      <c r="BI1266" s="77"/>
      <c r="BJ1266" s="77"/>
      <c r="BK1266" s="77"/>
      <c r="BL1266" s="77"/>
      <c r="BM1266" s="77"/>
    </row>
    <row r="1267">
      <c r="A1267" s="100" t="s">
        <v>69</v>
      </c>
      <c r="B1267" s="100" t="b">
        <v>0</v>
      </c>
      <c r="C1267" s="100" t="b">
        <v>0</v>
      </c>
      <c r="D1267" s="42"/>
      <c r="E1267" s="43"/>
      <c r="F1267" s="101"/>
      <c r="G1267" s="102"/>
      <c r="H1267" s="103"/>
      <c r="I1267" s="103"/>
      <c r="J1267" s="104"/>
      <c r="K1267" s="102"/>
      <c r="L1267" s="102"/>
      <c r="M1267" s="105"/>
      <c r="N1267" s="105"/>
      <c r="O1267" s="103"/>
      <c r="P1267" s="103"/>
      <c r="Q1267" s="103"/>
      <c r="R1267" s="103"/>
      <c r="S1267" s="103"/>
      <c r="T1267" s="103"/>
      <c r="U1267" s="103"/>
      <c r="V1267" s="103"/>
      <c r="W1267" s="103"/>
      <c r="X1267" s="103"/>
      <c r="Y1267" s="70"/>
      <c r="Z1267" s="70"/>
      <c r="AA1267" s="70"/>
      <c r="AB1267" s="70"/>
      <c r="AC1267" s="70"/>
      <c r="AD1267" s="70"/>
      <c r="AE1267" s="70"/>
      <c r="AF1267" s="70"/>
      <c r="AG1267" s="70"/>
      <c r="AH1267" s="70"/>
      <c r="AI1267" s="70"/>
      <c r="AJ1267" s="70"/>
      <c r="AK1267" s="70"/>
      <c r="AL1267" s="70"/>
      <c r="AM1267" s="70"/>
      <c r="AN1267" s="70"/>
      <c r="AO1267" s="70"/>
      <c r="AP1267" s="70"/>
      <c r="AQ1267" s="77"/>
      <c r="AR1267" s="77"/>
      <c r="AS1267" s="77"/>
      <c r="AT1267" s="77"/>
      <c r="AU1267" s="77"/>
      <c r="AV1267" s="77"/>
      <c r="AW1267" s="77"/>
      <c r="AX1267" s="77"/>
      <c r="AY1267" s="77"/>
      <c r="AZ1267" s="77"/>
      <c r="BA1267" s="77"/>
      <c r="BB1267" s="77"/>
      <c r="BC1267" s="77"/>
      <c r="BD1267" s="77"/>
      <c r="BE1267" s="77"/>
      <c r="BF1267" s="77"/>
      <c r="BG1267" s="77"/>
      <c r="BH1267" s="77"/>
      <c r="BI1267" s="77"/>
      <c r="BJ1267" s="77"/>
      <c r="BK1267" s="77"/>
      <c r="BL1267" s="77"/>
      <c r="BM1267" s="77"/>
    </row>
    <row r="1268">
      <c r="A1268" s="99" t="s">
        <v>69</v>
      </c>
      <c r="B1268" s="99" t="b">
        <v>0</v>
      </c>
      <c r="C1268" s="99" t="b">
        <v>0</v>
      </c>
      <c r="D1268" s="80"/>
      <c r="E1268" s="81"/>
      <c r="F1268" s="106"/>
      <c r="G1268" s="107"/>
      <c r="H1268" s="108"/>
      <c r="I1268" s="108"/>
      <c r="J1268" s="109"/>
      <c r="K1268" s="107"/>
      <c r="L1268" s="107"/>
      <c r="M1268" s="110"/>
      <c r="N1268" s="110"/>
      <c r="O1268" s="108"/>
      <c r="P1268" s="108"/>
      <c r="Q1268" s="108"/>
      <c r="R1268" s="108"/>
      <c r="S1268" s="108"/>
      <c r="T1268" s="108"/>
      <c r="U1268" s="108"/>
      <c r="V1268" s="108"/>
      <c r="W1268" s="108"/>
      <c r="X1268" s="108"/>
      <c r="Y1268" s="70"/>
      <c r="Z1268" s="70"/>
      <c r="AA1268" s="70"/>
      <c r="AB1268" s="70"/>
      <c r="AC1268" s="70"/>
      <c r="AD1268" s="70"/>
      <c r="AE1268" s="70"/>
      <c r="AF1268" s="70"/>
      <c r="AG1268" s="70"/>
      <c r="AH1268" s="70"/>
      <c r="AI1268" s="70"/>
      <c r="AJ1268" s="70"/>
      <c r="AK1268" s="70"/>
      <c r="AL1268" s="70"/>
      <c r="AM1268" s="70"/>
      <c r="AN1268" s="70"/>
      <c r="AO1268" s="70"/>
      <c r="AP1268" s="70"/>
      <c r="AQ1268" s="77"/>
      <c r="AR1268" s="77"/>
      <c r="AS1268" s="77"/>
      <c r="AT1268" s="77"/>
      <c r="AU1268" s="77"/>
      <c r="AV1268" s="77"/>
      <c r="AW1268" s="77"/>
      <c r="AX1268" s="77"/>
      <c r="AY1268" s="77"/>
      <c r="AZ1268" s="77"/>
      <c r="BA1268" s="77"/>
      <c r="BB1268" s="77"/>
      <c r="BC1268" s="77"/>
      <c r="BD1268" s="77"/>
      <c r="BE1268" s="77"/>
      <c r="BF1268" s="77"/>
      <c r="BG1268" s="77"/>
      <c r="BH1268" s="77"/>
      <c r="BI1268" s="77"/>
      <c r="BJ1268" s="77"/>
      <c r="BK1268" s="77"/>
      <c r="BL1268" s="77"/>
      <c r="BM1268" s="77"/>
    </row>
    <row r="1269">
      <c r="A1269" s="100" t="s">
        <v>69</v>
      </c>
      <c r="B1269" s="100" t="b">
        <v>0</v>
      </c>
      <c r="C1269" s="100" t="b">
        <v>0</v>
      </c>
      <c r="D1269" s="42"/>
      <c r="E1269" s="43"/>
      <c r="F1269" s="101"/>
      <c r="G1269" s="102"/>
      <c r="H1269" s="103"/>
      <c r="I1269" s="103"/>
      <c r="J1269" s="104"/>
      <c r="K1269" s="102"/>
      <c r="L1269" s="102"/>
      <c r="M1269" s="105"/>
      <c r="N1269" s="105"/>
      <c r="O1269" s="103"/>
      <c r="P1269" s="103"/>
      <c r="Q1269" s="103"/>
      <c r="R1269" s="103"/>
      <c r="S1269" s="103"/>
      <c r="T1269" s="103"/>
      <c r="U1269" s="103"/>
      <c r="V1269" s="103"/>
      <c r="W1269" s="103"/>
      <c r="X1269" s="103"/>
      <c r="Y1269" s="70"/>
      <c r="Z1269" s="70"/>
      <c r="AA1269" s="70"/>
      <c r="AB1269" s="70"/>
      <c r="AC1269" s="70"/>
      <c r="AD1269" s="70"/>
      <c r="AE1269" s="70"/>
      <c r="AF1269" s="70"/>
      <c r="AG1269" s="70"/>
      <c r="AH1269" s="70"/>
      <c r="AI1269" s="70"/>
      <c r="AJ1269" s="70"/>
      <c r="AK1269" s="70"/>
      <c r="AL1269" s="70"/>
      <c r="AM1269" s="70"/>
      <c r="AN1269" s="70"/>
      <c r="AO1269" s="70"/>
      <c r="AP1269" s="70"/>
      <c r="AQ1269" s="77"/>
      <c r="AR1269" s="77"/>
      <c r="AS1269" s="77"/>
      <c r="AT1269" s="77"/>
      <c r="AU1269" s="77"/>
      <c r="AV1269" s="77"/>
      <c r="AW1269" s="77"/>
      <c r="AX1269" s="77"/>
      <c r="AY1269" s="77"/>
      <c r="AZ1269" s="77"/>
      <c r="BA1269" s="77"/>
      <c r="BB1269" s="77"/>
      <c r="BC1269" s="77"/>
      <c r="BD1269" s="77"/>
      <c r="BE1269" s="77"/>
      <c r="BF1269" s="77"/>
      <c r="BG1269" s="77"/>
      <c r="BH1269" s="77"/>
      <c r="BI1269" s="77"/>
      <c r="BJ1269" s="77"/>
      <c r="BK1269" s="77"/>
      <c r="BL1269" s="77"/>
      <c r="BM1269" s="77"/>
    </row>
    <row r="1270">
      <c r="A1270" s="99" t="s">
        <v>69</v>
      </c>
      <c r="B1270" s="99" t="b">
        <v>0</v>
      </c>
      <c r="C1270" s="99" t="b">
        <v>0</v>
      </c>
      <c r="D1270" s="80"/>
      <c r="E1270" s="81"/>
      <c r="F1270" s="106"/>
      <c r="G1270" s="107"/>
      <c r="H1270" s="108"/>
      <c r="I1270" s="108"/>
      <c r="J1270" s="109"/>
      <c r="K1270" s="107"/>
      <c r="L1270" s="107"/>
      <c r="M1270" s="110"/>
      <c r="N1270" s="110"/>
      <c r="O1270" s="108"/>
      <c r="P1270" s="108"/>
      <c r="Q1270" s="108"/>
      <c r="R1270" s="108"/>
      <c r="S1270" s="108"/>
      <c r="T1270" s="108"/>
      <c r="U1270" s="108"/>
      <c r="V1270" s="108"/>
      <c r="W1270" s="108"/>
      <c r="X1270" s="108"/>
      <c r="Y1270" s="70"/>
      <c r="Z1270" s="70"/>
      <c r="AA1270" s="70"/>
      <c r="AB1270" s="70"/>
      <c r="AC1270" s="70"/>
      <c r="AD1270" s="70"/>
      <c r="AE1270" s="70"/>
      <c r="AF1270" s="70"/>
      <c r="AG1270" s="70"/>
      <c r="AH1270" s="70"/>
      <c r="AI1270" s="70"/>
      <c r="AJ1270" s="70"/>
      <c r="AK1270" s="70"/>
      <c r="AL1270" s="70"/>
      <c r="AM1270" s="70"/>
      <c r="AN1270" s="70"/>
      <c r="AO1270" s="70"/>
      <c r="AP1270" s="70"/>
      <c r="AQ1270" s="77"/>
      <c r="AR1270" s="77"/>
      <c r="AS1270" s="77"/>
      <c r="AT1270" s="77"/>
      <c r="AU1270" s="77"/>
      <c r="AV1270" s="77"/>
      <c r="AW1270" s="77"/>
      <c r="AX1270" s="77"/>
      <c r="AY1270" s="77"/>
      <c r="AZ1270" s="77"/>
      <c r="BA1270" s="77"/>
      <c r="BB1270" s="77"/>
      <c r="BC1270" s="77"/>
      <c r="BD1270" s="77"/>
      <c r="BE1270" s="77"/>
      <c r="BF1270" s="77"/>
      <c r="BG1270" s="77"/>
      <c r="BH1270" s="77"/>
      <c r="BI1270" s="77"/>
      <c r="BJ1270" s="77"/>
      <c r="BK1270" s="77"/>
      <c r="BL1270" s="77"/>
      <c r="BM1270" s="77"/>
    </row>
    <row r="1271">
      <c r="A1271" s="100" t="s">
        <v>69</v>
      </c>
      <c r="B1271" s="100" t="b">
        <v>0</v>
      </c>
      <c r="C1271" s="100" t="b">
        <v>0</v>
      </c>
      <c r="D1271" s="42"/>
      <c r="E1271" s="43"/>
      <c r="F1271" s="101"/>
      <c r="G1271" s="102"/>
      <c r="H1271" s="103"/>
      <c r="I1271" s="103"/>
      <c r="J1271" s="104"/>
      <c r="K1271" s="102"/>
      <c r="L1271" s="102"/>
      <c r="M1271" s="105"/>
      <c r="N1271" s="105"/>
      <c r="O1271" s="103"/>
      <c r="P1271" s="103"/>
      <c r="Q1271" s="103"/>
      <c r="R1271" s="103"/>
      <c r="S1271" s="103"/>
      <c r="T1271" s="103"/>
      <c r="U1271" s="103"/>
      <c r="V1271" s="103"/>
      <c r="W1271" s="103"/>
      <c r="X1271" s="103"/>
      <c r="Y1271" s="70"/>
      <c r="Z1271" s="70"/>
      <c r="AA1271" s="70"/>
      <c r="AB1271" s="70"/>
      <c r="AC1271" s="70"/>
      <c r="AD1271" s="70"/>
      <c r="AE1271" s="70"/>
      <c r="AF1271" s="70"/>
      <c r="AG1271" s="70"/>
      <c r="AH1271" s="70"/>
      <c r="AI1271" s="70"/>
      <c r="AJ1271" s="70"/>
      <c r="AK1271" s="70"/>
      <c r="AL1271" s="70"/>
      <c r="AM1271" s="70"/>
      <c r="AN1271" s="70"/>
      <c r="AO1271" s="70"/>
      <c r="AP1271" s="70"/>
      <c r="AQ1271" s="77"/>
      <c r="AR1271" s="77"/>
      <c r="AS1271" s="77"/>
      <c r="AT1271" s="77"/>
      <c r="AU1271" s="77"/>
      <c r="AV1271" s="77"/>
      <c r="AW1271" s="77"/>
      <c r="AX1271" s="77"/>
      <c r="AY1271" s="77"/>
      <c r="AZ1271" s="77"/>
      <c r="BA1271" s="77"/>
      <c r="BB1271" s="77"/>
      <c r="BC1271" s="77"/>
      <c r="BD1271" s="77"/>
      <c r="BE1271" s="77"/>
      <c r="BF1271" s="77"/>
      <c r="BG1271" s="77"/>
      <c r="BH1271" s="77"/>
      <c r="BI1271" s="77"/>
      <c r="BJ1271" s="77"/>
      <c r="BK1271" s="77"/>
      <c r="BL1271" s="77"/>
      <c r="BM1271" s="77"/>
    </row>
    <row r="1272">
      <c r="A1272" s="99" t="s">
        <v>69</v>
      </c>
      <c r="B1272" s="99" t="b">
        <v>0</v>
      </c>
      <c r="C1272" s="99" t="b">
        <v>0</v>
      </c>
      <c r="D1272" s="80"/>
      <c r="E1272" s="81"/>
      <c r="F1272" s="106"/>
      <c r="G1272" s="107"/>
      <c r="H1272" s="108"/>
      <c r="I1272" s="108"/>
      <c r="J1272" s="109"/>
      <c r="K1272" s="107"/>
      <c r="L1272" s="107"/>
      <c r="M1272" s="110"/>
      <c r="N1272" s="110"/>
      <c r="O1272" s="108"/>
      <c r="P1272" s="108"/>
      <c r="Q1272" s="108"/>
      <c r="R1272" s="108"/>
      <c r="S1272" s="108"/>
      <c r="T1272" s="108"/>
      <c r="U1272" s="108"/>
      <c r="V1272" s="108"/>
      <c r="W1272" s="108"/>
      <c r="X1272" s="108"/>
      <c r="Y1272" s="70"/>
      <c r="Z1272" s="70"/>
      <c r="AA1272" s="70"/>
      <c r="AB1272" s="70"/>
      <c r="AC1272" s="70"/>
      <c r="AD1272" s="70"/>
      <c r="AE1272" s="70"/>
      <c r="AF1272" s="70"/>
      <c r="AG1272" s="70"/>
      <c r="AH1272" s="70"/>
      <c r="AI1272" s="70"/>
      <c r="AJ1272" s="70"/>
      <c r="AK1272" s="70"/>
      <c r="AL1272" s="70"/>
      <c r="AM1272" s="70"/>
      <c r="AN1272" s="70"/>
      <c r="AO1272" s="70"/>
      <c r="AP1272" s="70"/>
      <c r="AQ1272" s="77"/>
      <c r="AR1272" s="77"/>
      <c r="AS1272" s="77"/>
      <c r="AT1272" s="77"/>
      <c r="AU1272" s="77"/>
      <c r="AV1272" s="77"/>
      <c r="AW1272" s="77"/>
      <c r="AX1272" s="77"/>
      <c r="AY1272" s="77"/>
      <c r="AZ1272" s="77"/>
      <c r="BA1272" s="77"/>
      <c r="BB1272" s="77"/>
      <c r="BC1272" s="77"/>
      <c r="BD1272" s="77"/>
      <c r="BE1272" s="77"/>
      <c r="BF1272" s="77"/>
      <c r="BG1272" s="77"/>
      <c r="BH1272" s="77"/>
      <c r="BI1272" s="77"/>
      <c r="BJ1272" s="77"/>
      <c r="BK1272" s="77"/>
      <c r="BL1272" s="77"/>
      <c r="BM1272" s="77"/>
    </row>
    <row r="1273">
      <c r="A1273" s="100" t="s">
        <v>69</v>
      </c>
      <c r="B1273" s="100" t="b">
        <v>0</v>
      </c>
      <c r="C1273" s="100" t="b">
        <v>0</v>
      </c>
      <c r="D1273" s="42"/>
      <c r="E1273" s="43"/>
      <c r="F1273" s="101"/>
      <c r="G1273" s="102"/>
      <c r="H1273" s="103"/>
      <c r="I1273" s="103"/>
      <c r="J1273" s="104"/>
      <c r="K1273" s="102"/>
      <c r="L1273" s="102"/>
      <c r="M1273" s="105"/>
      <c r="N1273" s="105"/>
      <c r="O1273" s="103"/>
      <c r="P1273" s="103"/>
      <c r="Q1273" s="103"/>
      <c r="R1273" s="103"/>
      <c r="S1273" s="103"/>
      <c r="T1273" s="103"/>
      <c r="U1273" s="103"/>
      <c r="V1273" s="103"/>
      <c r="W1273" s="103"/>
      <c r="X1273" s="103"/>
      <c r="Y1273" s="70"/>
      <c r="Z1273" s="70"/>
      <c r="AA1273" s="70"/>
      <c r="AB1273" s="70"/>
      <c r="AC1273" s="70"/>
      <c r="AD1273" s="70"/>
      <c r="AE1273" s="70"/>
      <c r="AF1273" s="70"/>
      <c r="AG1273" s="70"/>
      <c r="AH1273" s="70"/>
      <c r="AI1273" s="70"/>
      <c r="AJ1273" s="70"/>
      <c r="AK1273" s="70"/>
      <c r="AL1273" s="70"/>
      <c r="AM1273" s="70"/>
      <c r="AN1273" s="70"/>
      <c r="AO1273" s="70"/>
      <c r="AP1273" s="70"/>
      <c r="AQ1273" s="77"/>
      <c r="AR1273" s="77"/>
      <c r="AS1273" s="77"/>
      <c r="AT1273" s="77"/>
      <c r="AU1273" s="77"/>
      <c r="AV1273" s="77"/>
      <c r="AW1273" s="77"/>
      <c r="AX1273" s="77"/>
      <c r="AY1273" s="77"/>
      <c r="AZ1273" s="77"/>
      <c r="BA1273" s="77"/>
      <c r="BB1273" s="77"/>
      <c r="BC1273" s="77"/>
      <c r="BD1273" s="77"/>
      <c r="BE1273" s="77"/>
      <c r="BF1273" s="77"/>
      <c r="BG1273" s="77"/>
      <c r="BH1273" s="77"/>
      <c r="BI1273" s="77"/>
      <c r="BJ1273" s="77"/>
      <c r="BK1273" s="77"/>
      <c r="BL1273" s="77"/>
      <c r="BM1273" s="77"/>
    </row>
    <row r="1274">
      <c r="A1274" s="99" t="s">
        <v>69</v>
      </c>
      <c r="B1274" s="99" t="b">
        <v>0</v>
      </c>
      <c r="C1274" s="99" t="b">
        <v>0</v>
      </c>
      <c r="D1274" s="80"/>
      <c r="E1274" s="81"/>
      <c r="F1274" s="106"/>
      <c r="G1274" s="107"/>
      <c r="H1274" s="108"/>
      <c r="I1274" s="108"/>
      <c r="J1274" s="109"/>
      <c r="K1274" s="107"/>
      <c r="L1274" s="107"/>
      <c r="M1274" s="110"/>
      <c r="N1274" s="110"/>
      <c r="O1274" s="108"/>
      <c r="P1274" s="108"/>
      <c r="Q1274" s="108"/>
      <c r="R1274" s="108"/>
      <c r="S1274" s="108"/>
      <c r="T1274" s="108"/>
      <c r="U1274" s="108"/>
      <c r="V1274" s="108"/>
      <c r="W1274" s="108"/>
      <c r="X1274" s="108"/>
      <c r="Y1274" s="70"/>
      <c r="Z1274" s="70"/>
      <c r="AA1274" s="70"/>
      <c r="AB1274" s="70"/>
      <c r="AC1274" s="70"/>
      <c r="AD1274" s="70"/>
      <c r="AE1274" s="70"/>
      <c r="AF1274" s="70"/>
      <c r="AG1274" s="70"/>
      <c r="AH1274" s="70"/>
      <c r="AI1274" s="70"/>
      <c r="AJ1274" s="70"/>
      <c r="AK1274" s="70"/>
      <c r="AL1274" s="70"/>
      <c r="AM1274" s="70"/>
      <c r="AN1274" s="70"/>
      <c r="AO1274" s="70"/>
      <c r="AP1274" s="70"/>
      <c r="AQ1274" s="77"/>
      <c r="AR1274" s="77"/>
      <c r="AS1274" s="77"/>
      <c r="AT1274" s="77"/>
      <c r="AU1274" s="77"/>
      <c r="AV1274" s="77"/>
      <c r="AW1274" s="77"/>
      <c r="AX1274" s="77"/>
      <c r="AY1274" s="77"/>
      <c r="AZ1274" s="77"/>
      <c r="BA1274" s="77"/>
      <c r="BB1274" s="77"/>
      <c r="BC1274" s="77"/>
      <c r="BD1274" s="77"/>
      <c r="BE1274" s="77"/>
      <c r="BF1274" s="77"/>
      <c r="BG1274" s="77"/>
      <c r="BH1274" s="77"/>
      <c r="BI1274" s="77"/>
      <c r="BJ1274" s="77"/>
      <c r="BK1274" s="77"/>
      <c r="BL1274" s="77"/>
      <c r="BM1274" s="77"/>
    </row>
    <row r="1275">
      <c r="A1275" s="100" t="s">
        <v>69</v>
      </c>
      <c r="B1275" s="100" t="b">
        <v>0</v>
      </c>
      <c r="C1275" s="100" t="b">
        <v>0</v>
      </c>
      <c r="D1275" s="42"/>
      <c r="E1275" s="43"/>
      <c r="F1275" s="101"/>
      <c r="G1275" s="102"/>
      <c r="H1275" s="103"/>
      <c r="I1275" s="103"/>
      <c r="J1275" s="104"/>
      <c r="K1275" s="102"/>
      <c r="L1275" s="102"/>
      <c r="M1275" s="105"/>
      <c r="N1275" s="105"/>
      <c r="O1275" s="103"/>
      <c r="P1275" s="103"/>
      <c r="Q1275" s="103"/>
      <c r="R1275" s="103"/>
      <c r="S1275" s="103"/>
      <c r="T1275" s="103"/>
      <c r="U1275" s="103"/>
      <c r="V1275" s="103"/>
      <c r="W1275" s="103"/>
      <c r="X1275" s="103"/>
      <c r="Y1275" s="70"/>
      <c r="Z1275" s="70"/>
      <c r="AA1275" s="70"/>
      <c r="AB1275" s="70"/>
      <c r="AC1275" s="70"/>
      <c r="AD1275" s="70"/>
      <c r="AE1275" s="70"/>
      <c r="AF1275" s="70"/>
      <c r="AG1275" s="70"/>
      <c r="AH1275" s="70"/>
      <c r="AI1275" s="70"/>
      <c r="AJ1275" s="70"/>
      <c r="AK1275" s="70"/>
      <c r="AL1275" s="70"/>
      <c r="AM1275" s="70"/>
      <c r="AN1275" s="70"/>
      <c r="AO1275" s="70"/>
      <c r="AP1275" s="70"/>
      <c r="AQ1275" s="77"/>
      <c r="AR1275" s="77"/>
      <c r="AS1275" s="77"/>
      <c r="AT1275" s="77"/>
      <c r="AU1275" s="77"/>
      <c r="AV1275" s="77"/>
      <c r="AW1275" s="77"/>
      <c r="AX1275" s="77"/>
      <c r="AY1275" s="77"/>
      <c r="AZ1275" s="77"/>
      <c r="BA1275" s="77"/>
      <c r="BB1275" s="77"/>
      <c r="BC1275" s="77"/>
      <c r="BD1275" s="77"/>
      <c r="BE1275" s="77"/>
      <c r="BF1275" s="77"/>
      <c r="BG1275" s="77"/>
      <c r="BH1275" s="77"/>
      <c r="BI1275" s="77"/>
      <c r="BJ1275" s="77"/>
      <c r="BK1275" s="77"/>
      <c r="BL1275" s="77"/>
      <c r="BM1275" s="77"/>
    </row>
    <row r="1276">
      <c r="A1276" s="99" t="s">
        <v>69</v>
      </c>
      <c r="B1276" s="99" t="b">
        <v>0</v>
      </c>
      <c r="C1276" s="99" t="b">
        <v>0</v>
      </c>
      <c r="D1276" s="80"/>
      <c r="E1276" s="81"/>
      <c r="F1276" s="106"/>
      <c r="G1276" s="107"/>
      <c r="H1276" s="108"/>
      <c r="I1276" s="108"/>
      <c r="J1276" s="109"/>
      <c r="K1276" s="107"/>
      <c r="L1276" s="107"/>
      <c r="M1276" s="110"/>
      <c r="N1276" s="110"/>
      <c r="O1276" s="108"/>
      <c r="P1276" s="108"/>
      <c r="Q1276" s="108"/>
      <c r="R1276" s="108"/>
      <c r="S1276" s="108"/>
      <c r="T1276" s="108"/>
      <c r="U1276" s="108"/>
      <c r="V1276" s="108"/>
      <c r="W1276" s="108"/>
      <c r="X1276" s="108"/>
      <c r="Y1276" s="70"/>
      <c r="Z1276" s="70"/>
      <c r="AA1276" s="70"/>
      <c r="AB1276" s="70"/>
      <c r="AC1276" s="70"/>
      <c r="AD1276" s="70"/>
      <c r="AE1276" s="70"/>
      <c r="AF1276" s="70"/>
      <c r="AG1276" s="70"/>
      <c r="AH1276" s="70"/>
      <c r="AI1276" s="70"/>
      <c r="AJ1276" s="70"/>
      <c r="AK1276" s="70"/>
      <c r="AL1276" s="70"/>
      <c r="AM1276" s="70"/>
      <c r="AN1276" s="70"/>
      <c r="AO1276" s="70"/>
      <c r="AP1276" s="70"/>
      <c r="AQ1276" s="77"/>
      <c r="AR1276" s="77"/>
      <c r="AS1276" s="77"/>
      <c r="AT1276" s="77"/>
      <c r="AU1276" s="77"/>
      <c r="AV1276" s="77"/>
      <c r="AW1276" s="77"/>
      <c r="AX1276" s="77"/>
      <c r="AY1276" s="77"/>
      <c r="AZ1276" s="77"/>
      <c r="BA1276" s="77"/>
      <c r="BB1276" s="77"/>
      <c r="BC1276" s="77"/>
      <c r="BD1276" s="77"/>
      <c r="BE1276" s="77"/>
      <c r="BF1276" s="77"/>
      <c r="BG1276" s="77"/>
      <c r="BH1276" s="77"/>
      <c r="BI1276" s="77"/>
      <c r="BJ1276" s="77"/>
      <c r="BK1276" s="77"/>
      <c r="BL1276" s="77"/>
      <c r="BM1276" s="77"/>
    </row>
    <row r="1277">
      <c r="A1277" s="100" t="s">
        <v>69</v>
      </c>
      <c r="B1277" s="100" t="b">
        <v>0</v>
      </c>
      <c r="C1277" s="100" t="b">
        <v>0</v>
      </c>
      <c r="D1277" s="42"/>
      <c r="E1277" s="43"/>
      <c r="F1277" s="101"/>
      <c r="G1277" s="102"/>
      <c r="H1277" s="103"/>
      <c r="I1277" s="103"/>
      <c r="J1277" s="104"/>
      <c r="K1277" s="102"/>
      <c r="L1277" s="102"/>
      <c r="M1277" s="105"/>
      <c r="N1277" s="105"/>
      <c r="O1277" s="103"/>
      <c r="P1277" s="103"/>
      <c r="Q1277" s="103"/>
      <c r="R1277" s="103"/>
      <c r="S1277" s="103"/>
      <c r="T1277" s="103"/>
      <c r="U1277" s="103"/>
      <c r="V1277" s="103"/>
      <c r="W1277" s="103"/>
      <c r="X1277" s="103"/>
      <c r="Y1277" s="70"/>
      <c r="Z1277" s="70"/>
      <c r="AA1277" s="70"/>
      <c r="AB1277" s="70"/>
      <c r="AC1277" s="70"/>
      <c r="AD1277" s="70"/>
      <c r="AE1277" s="70"/>
      <c r="AF1277" s="70"/>
      <c r="AG1277" s="70"/>
      <c r="AH1277" s="70"/>
      <c r="AI1277" s="70"/>
      <c r="AJ1277" s="70"/>
      <c r="AK1277" s="70"/>
      <c r="AL1277" s="70"/>
      <c r="AM1277" s="70"/>
      <c r="AN1277" s="70"/>
      <c r="AO1277" s="70"/>
      <c r="AP1277" s="70"/>
      <c r="AQ1277" s="77"/>
      <c r="AR1277" s="77"/>
      <c r="AS1277" s="77"/>
      <c r="AT1277" s="77"/>
      <c r="AU1277" s="77"/>
      <c r="AV1277" s="77"/>
      <c r="AW1277" s="77"/>
      <c r="AX1277" s="77"/>
      <c r="AY1277" s="77"/>
      <c r="AZ1277" s="77"/>
      <c r="BA1277" s="77"/>
      <c r="BB1277" s="77"/>
      <c r="BC1277" s="77"/>
      <c r="BD1277" s="77"/>
      <c r="BE1277" s="77"/>
      <c r="BF1277" s="77"/>
      <c r="BG1277" s="77"/>
      <c r="BH1277" s="77"/>
      <c r="BI1277" s="77"/>
      <c r="BJ1277" s="77"/>
      <c r="BK1277" s="77"/>
      <c r="BL1277" s="77"/>
      <c r="BM1277" s="77"/>
    </row>
    <row r="1278">
      <c r="A1278" s="99" t="s">
        <v>69</v>
      </c>
      <c r="B1278" s="99" t="b">
        <v>0</v>
      </c>
      <c r="C1278" s="99" t="b">
        <v>0</v>
      </c>
      <c r="D1278" s="80"/>
      <c r="E1278" s="81"/>
      <c r="F1278" s="106"/>
      <c r="G1278" s="107"/>
      <c r="H1278" s="108"/>
      <c r="I1278" s="108"/>
      <c r="J1278" s="109"/>
      <c r="K1278" s="107"/>
      <c r="L1278" s="107"/>
      <c r="M1278" s="110"/>
      <c r="N1278" s="110"/>
      <c r="O1278" s="108"/>
      <c r="P1278" s="108"/>
      <c r="Q1278" s="108"/>
      <c r="R1278" s="108"/>
      <c r="S1278" s="108"/>
      <c r="T1278" s="108"/>
      <c r="U1278" s="108"/>
      <c r="V1278" s="108"/>
      <c r="W1278" s="108"/>
      <c r="X1278" s="108"/>
      <c r="Y1278" s="70"/>
      <c r="Z1278" s="70"/>
      <c r="AA1278" s="70"/>
      <c r="AB1278" s="70"/>
      <c r="AC1278" s="70"/>
      <c r="AD1278" s="70"/>
      <c r="AE1278" s="70"/>
      <c r="AF1278" s="70"/>
      <c r="AG1278" s="70"/>
      <c r="AH1278" s="70"/>
      <c r="AI1278" s="70"/>
      <c r="AJ1278" s="70"/>
      <c r="AK1278" s="70"/>
      <c r="AL1278" s="70"/>
      <c r="AM1278" s="70"/>
      <c r="AN1278" s="70"/>
      <c r="AO1278" s="70"/>
      <c r="AP1278" s="70"/>
      <c r="AQ1278" s="77"/>
      <c r="AR1278" s="77"/>
      <c r="AS1278" s="77"/>
      <c r="AT1278" s="77"/>
      <c r="AU1278" s="77"/>
      <c r="AV1278" s="77"/>
      <c r="AW1278" s="77"/>
      <c r="AX1278" s="77"/>
      <c r="AY1278" s="77"/>
      <c r="AZ1278" s="77"/>
      <c r="BA1278" s="77"/>
      <c r="BB1278" s="77"/>
      <c r="BC1278" s="77"/>
      <c r="BD1278" s="77"/>
      <c r="BE1278" s="77"/>
      <c r="BF1278" s="77"/>
      <c r="BG1278" s="77"/>
      <c r="BH1278" s="77"/>
      <c r="BI1278" s="77"/>
      <c r="BJ1278" s="77"/>
      <c r="BK1278" s="77"/>
      <c r="BL1278" s="77"/>
      <c r="BM1278" s="77"/>
    </row>
    <row r="1279">
      <c r="A1279" s="100" t="s">
        <v>69</v>
      </c>
      <c r="B1279" s="100" t="b">
        <v>0</v>
      </c>
      <c r="C1279" s="100" t="b">
        <v>0</v>
      </c>
      <c r="D1279" s="42"/>
      <c r="E1279" s="43"/>
      <c r="F1279" s="101"/>
      <c r="G1279" s="102"/>
      <c r="H1279" s="103"/>
      <c r="I1279" s="103"/>
      <c r="J1279" s="104"/>
      <c r="K1279" s="102"/>
      <c r="L1279" s="102"/>
      <c r="M1279" s="105"/>
      <c r="N1279" s="105"/>
      <c r="O1279" s="103"/>
      <c r="P1279" s="103"/>
      <c r="Q1279" s="103"/>
      <c r="R1279" s="103"/>
      <c r="S1279" s="103"/>
      <c r="T1279" s="103"/>
      <c r="U1279" s="103"/>
      <c r="V1279" s="103"/>
      <c r="W1279" s="103"/>
      <c r="X1279" s="103"/>
      <c r="Y1279" s="70"/>
      <c r="Z1279" s="70"/>
      <c r="AA1279" s="70"/>
      <c r="AB1279" s="70"/>
      <c r="AC1279" s="70"/>
      <c r="AD1279" s="70"/>
      <c r="AE1279" s="70"/>
      <c r="AF1279" s="70"/>
      <c r="AG1279" s="70"/>
      <c r="AH1279" s="70"/>
      <c r="AI1279" s="70"/>
      <c r="AJ1279" s="70"/>
      <c r="AK1279" s="70"/>
      <c r="AL1279" s="70"/>
      <c r="AM1279" s="70"/>
      <c r="AN1279" s="70"/>
      <c r="AO1279" s="70"/>
      <c r="AP1279" s="70"/>
      <c r="AQ1279" s="77"/>
      <c r="AR1279" s="77"/>
      <c r="AS1279" s="77"/>
      <c r="AT1279" s="77"/>
      <c r="AU1279" s="77"/>
      <c r="AV1279" s="77"/>
      <c r="AW1279" s="77"/>
      <c r="AX1279" s="77"/>
      <c r="AY1279" s="77"/>
      <c r="AZ1279" s="77"/>
      <c r="BA1279" s="77"/>
      <c r="BB1279" s="77"/>
      <c r="BC1279" s="77"/>
      <c r="BD1279" s="77"/>
      <c r="BE1279" s="77"/>
      <c r="BF1279" s="77"/>
      <c r="BG1279" s="77"/>
      <c r="BH1279" s="77"/>
      <c r="BI1279" s="77"/>
      <c r="BJ1279" s="77"/>
      <c r="BK1279" s="77"/>
      <c r="BL1279" s="77"/>
      <c r="BM1279" s="77"/>
    </row>
    <row r="1280">
      <c r="A1280" s="99" t="s">
        <v>69</v>
      </c>
      <c r="B1280" s="99" t="b">
        <v>0</v>
      </c>
      <c r="C1280" s="99" t="b">
        <v>0</v>
      </c>
      <c r="D1280" s="80"/>
      <c r="E1280" s="81"/>
      <c r="F1280" s="106"/>
      <c r="G1280" s="107"/>
      <c r="H1280" s="108"/>
      <c r="I1280" s="108"/>
      <c r="J1280" s="109"/>
      <c r="K1280" s="107"/>
      <c r="L1280" s="107"/>
      <c r="M1280" s="110"/>
      <c r="N1280" s="110"/>
      <c r="O1280" s="108"/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70"/>
      <c r="Z1280" s="70"/>
      <c r="AA1280" s="70"/>
      <c r="AB1280" s="70"/>
      <c r="AC1280" s="70"/>
      <c r="AD1280" s="70"/>
      <c r="AE1280" s="70"/>
      <c r="AF1280" s="70"/>
      <c r="AG1280" s="70"/>
      <c r="AH1280" s="70"/>
      <c r="AI1280" s="70"/>
      <c r="AJ1280" s="70"/>
      <c r="AK1280" s="70"/>
      <c r="AL1280" s="70"/>
      <c r="AM1280" s="70"/>
      <c r="AN1280" s="70"/>
      <c r="AO1280" s="70"/>
      <c r="AP1280" s="70"/>
      <c r="AQ1280" s="77"/>
      <c r="AR1280" s="77"/>
      <c r="AS1280" s="77"/>
      <c r="AT1280" s="77"/>
      <c r="AU1280" s="77"/>
      <c r="AV1280" s="77"/>
      <c r="AW1280" s="77"/>
      <c r="AX1280" s="77"/>
      <c r="AY1280" s="77"/>
      <c r="AZ1280" s="77"/>
      <c r="BA1280" s="77"/>
      <c r="BB1280" s="77"/>
      <c r="BC1280" s="77"/>
      <c r="BD1280" s="77"/>
      <c r="BE1280" s="77"/>
      <c r="BF1280" s="77"/>
      <c r="BG1280" s="77"/>
      <c r="BH1280" s="77"/>
      <c r="BI1280" s="77"/>
      <c r="BJ1280" s="77"/>
      <c r="BK1280" s="77"/>
      <c r="BL1280" s="77"/>
      <c r="BM1280" s="77"/>
    </row>
    <row r="1281">
      <c r="A1281" s="100" t="s">
        <v>69</v>
      </c>
      <c r="B1281" s="100" t="b">
        <v>0</v>
      </c>
      <c r="C1281" s="100" t="b">
        <v>0</v>
      </c>
      <c r="D1281" s="42"/>
      <c r="E1281" s="43"/>
      <c r="F1281" s="101"/>
      <c r="G1281" s="102"/>
      <c r="H1281" s="103"/>
      <c r="I1281" s="103"/>
      <c r="J1281" s="104"/>
      <c r="K1281" s="102"/>
      <c r="L1281" s="102"/>
      <c r="M1281" s="105"/>
      <c r="N1281" s="105"/>
      <c r="O1281" s="103"/>
      <c r="P1281" s="103"/>
      <c r="Q1281" s="103"/>
      <c r="R1281" s="103"/>
      <c r="S1281" s="103"/>
      <c r="T1281" s="103"/>
      <c r="U1281" s="103"/>
      <c r="V1281" s="103"/>
      <c r="W1281" s="103"/>
      <c r="X1281" s="103"/>
      <c r="Y1281" s="70"/>
      <c r="Z1281" s="70"/>
      <c r="AA1281" s="70"/>
      <c r="AB1281" s="70"/>
      <c r="AC1281" s="70"/>
      <c r="AD1281" s="70"/>
      <c r="AE1281" s="70"/>
      <c r="AF1281" s="70"/>
      <c r="AG1281" s="70"/>
      <c r="AH1281" s="70"/>
      <c r="AI1281" s="70"/>
      <c r="AJ1281" s="70"/>
      <c r="AK1281" s="70"/>
      <c r="AL1281" s="70"/>
      <c r="AM1281" s="70"/>
      <c r="AN1281" s="70"/>
      <c r="AO1281" s="70"/>
      <c r="AP1281" s="70"/>
      <c r="AQ1281" s="77"/>
      <c r="AR1281" s="77"/>
      <c r="AS1281" s="77"/>
      <c r="AT1281" s="77"/>
      <c r="AU1281" s="77"/>
      <c r="AV1281" s="77"/>
      <c r="AW1281" s="77"/>
      <c r="AX1281" s="77"/>
      <c r="AY1281" s="77"/>
      <c r="AZ1281" s="77"/>
      <c r="BA1281" s="77"/>
      <c r="BB1281" s="77"/>
      <c r="BC1281" s="77"/>
      <c r="BD1281" s="77"/>
      <c r="BE1281" s="77"/>
      <c r="BF1281" s="77"/>
      <c r="BG1281" s="77"/>
      <c r="BH1281" s="77"/>
      <c r="BI1281" s="77"/>
      <c r="BJ1281" s="77"/>
      <c r="BK1281" s="77"/>
      <c r="BL1281" s="77"/>
      <c r="BM1281" s="77"/>
    </row>
    <row r="1282">
      <c r="A1282" s="99" t="s">
        <v>69</v>
      </c>
      <c r="B1282" s="99" t="b">
        <v>0</v>
      </c>
      <c r="C1282" s="99" t="b">
        <v>0</v>
      </c>
      <c r="D1282" s="80"/>
      <c r="E1282" s="81"/>
      <c r="F1282" s="106"/>
      <c r="G1282" s="107"/>
      <c r="H1282" s="108"/>
      <c r="I1282" s="108"/>
      <c r="J1282" s="109"/>
      <c r="K1282" s="107"/>
      <c r="L1282" s="107"/>
      <c r="M1282" s="110"/>
      <c r="N1282" s="110"/>
      <c r="O1282" s="108"/>
      <c r="P1282" s="108"/>
      <c r="Q1282" s="108"/>
      <c r="R1282" s="108"/>
      <c r="S1282" s="108"/>
      <c r="T1282" s="108"/>
      <c r="U1282" s="108"/>
      <c r="V1282" s="108"/>
      <c r="W1282" s="108"/>
      <c r="X1282" s="108"/>
      <c r="Y1282" s="70"/>
      <c r="Z1282" s="70"/>
      <c r="AA1282" s="70"/>
      <c r="AB1282" s="70"/>
      <c r="AC1282" s="70"/>
      <c r="AD1282" s="70"/>
      <c r="AE1282" s="70"/>
      <c r="AF1282" s="70"/>
      <c r="AG1282" s="70"/>
      <c r="AH1282" s="70"/>
      <c r="AI1282" s="70"/>
      <c r="AJ1282" s="70"/>
      <c r="AK1282" s="70"/>
      <c r="AL1282" s="70"/>
      <c r="AM1282" s="70"/>
      <c r="AN1282" s="70"/>
      <c r="AO1282" s="70"/>
      <c r="AP1282" s="70"/>
      <c r="AQ1282" s="77"/>
      <c r="AR1282" s="77"/>
      <c r="AS1282" s="77"/>
      <c r="AT1282" s="77"/>
      <c r="AU1282" s="77"/>
      <c r="AV1282" s="77"/>
      <c r="AW1282" s="77"/>
      <c r="AX1282" s="77"/>
      <c r="AY1282" s="77"/>
      <c r="AZ1282" s="77"/>
      <c r="BA1282" s="77"/>
      <c r="BB1282" s="77"/>
      <c r="BC1282" s="77"/>
      <c r="BD1282" s="77"/>
      <c r="BE1282" s="77"/>
      <c r="BF1282" s="77"/>
      <c r="BG1282" s="77"/>
      <c r="BH1282" s="77"/>
      <c r="BI1282" s="77"/>
      <c r="BJ1282" s="77"/>
      <c r="BK1282" s="77"/>
      <c r="BL1282" s="77"/>
      <c r="BM1282" s="77"/>
    </row>
    <row r="1283">
      <c r="A1283" s="100" t="s">
        <v>69</v>
      </c>
      <c r="B1283" s="100" t="b">
        <v>0</v>
      </c>
      <c r="C1283" s="100" t="b">
        <v>0</v>
      </c>
      <c r="D1283" s="42"/>
      <c r="E1283" s="43"/>
      <c r="F1283" s="101"/>
      <c r="G1283" s="102"/>
      <c r="H1283" s="103"/>
      <c r="I1283" s="103"/>
      <c r="J1283" s="104"/>
      <c r="K1283" s="102"/>
      <c r="L1283" s="102"/>
      <c r="M1283" s="105"/>
      <c r="N1283" s="105"/>
      <c r="O1283" s="103"/>
      <c r="P1283" s="103"/>
      <c r="Q1283" s="103"/>
      <c r="R1283" s="103"/>
      <c r="S1283" s="103"/>
      <c r="T1283" s="103"/>
      <c r="U1283" s="103"/>
      <c r="V1283" s="103"/>
      <c r="W1283" s="103"/>
      <c r="X1283" s="103"/>
      <c r="Y1283" s="70"/>
      <c r="Z1283" s="70"/>
      <c r="AA1283" s="70"/>
      <c r="AB1283" s="70"/>
      <c r="AC1283" s="70"/>
      <c r="AD1283" s="70"/>
      <c r="AE1283" s="70"/>
      <c r="AF1283" s="70"/>
      <c r="AG1283" s="70"/>
      <c r="AH1283" s="70"/>
      <c r="AI1283" s="70"/>
      <c r="AJ1283" s="70"/>
      <c r="AK1283" s="70"/>
      <c r="AL1283" s="70"/>
      <c r="AM1283" s="70"/>
      <c r="AN1283" s="70"/>
      <c r="AO1283" s="70"/>
      <c r="AP1283" s="70"/>
      <c r="AQ1283" s="77"/>
      <c r="AR1283" s="77"/>
      <c r="AS1283" s="77"/>
      <c r="AT1283" s="77"/>
      <c r="AU1283" s="77"/>
      <c r="AV1283" s="77"/>
      <c r="AW1283" s="77"/>
      <c r="AX1283" s="77"/>
      <c r="AY1283" s="77"/>
      <c r="AZ1283" s="77"/>
      <c r="BA1283" s="77"/>
      <c r="BB1283" s="77"/>
      <c r="BC1283" s="77"/>
      <c r="BD1283" s="77"/>
      <c r="BE1283" s="77"/>
      <c r="BF1283" s="77"/>
      <c r="BG1283" s="77"/>
      <c r="BH1283" s="77"/>
      <c r="BI1283" s="77"/>
      <c r="BJ1283" s="77"/>
      <c r="BK1283" s="77"/>
      <c r="BL1283" s="77"/>
      <c r="BM1283" s="77"/>
    </row>
  </sheetData>
  <autoFilter ref="$A$2:$AQ$782"/>
  <conditionalFormatting sqref="A3:C1283 F3:G1283 J3:J1283">
    <cfRule type="expression" dxfId="10" priority="1">
      <formula>$B3</formula>
    </cfRule>
  </conditionalFormatting>
  <conditionalFormatting sqref="A3:C1283 F3:BM1283">
    <cfRule type="expression" dxfId="7" priority="2">
      <formula>$C3</formula>
    </cfRule>
  </conditionalFormatting>
  <conditionalFormatting sqref="G3:G1283">
    <cfRule type="containsText" dxfId="11" priority="3" operator="containsText" text="G">
      <formula>NOT(ISERROR(SEARCH(("G"),(G3))))</formula>
    </cfRule>
  </conditionalFormatting>
  <conditionalFormatting sqref="G3:G1283">
    <cfRule type="containsText" dxfId="12" priority="4" operator="containsText" text="D">
      <formula>NOT(ISERROR(SEARCH(("D"),(G3))))</formula>
    </cfRule>
  </conditionalFormatting>
  <conditionalFormatting sqref="A3:C1283 F3:BM1283">
    <cfRule type="expression" dxfId="8" priority="5">
      <formula>$L3=0</formula>
    </cfRule>
  </conditionalFormatting>
  <conditionalFormatting sqref="I3:I1283">
    <cfRule type="colorScale" priority="6">
      <colorScale>
        <cfvo type="formula" val="-2"/>
        <cfvo type="formula" val="0"/>
        <cfvo type="max"/>
        <color rgb="FFE06666"/>
        <color rgb="FFFFFFFF"/>
        <color rgb="FF4285F4"/>
      </colorScale>
    </cfRule>
  </conditionalFormatting>
  <conditionalFormatting sqref="O3:BM1283">
    <cfRule type="colorScale" priority="7">
      <colorScale>
        <cfvo type="formula" val="-5"/>
        <cfvo type="formula" val="0"/>
        <cfvo type="formula" val="5"/>
        <color rgb="FFFF0000"/>
        <color rgb="FFFFFFFF"/>
        <color rgb="FF4285F4"/>
      </colorScale>
    </cfRule>
  </conditionalFormatting>
  <conditionalFormatting sqref="H3:H1283">
    <cfRule type="colorScale" priority="8">
      <colorScale>
        <cfvo type="formula" val="-10"/>
        <cfvo type="formula" val="0"/>
        <cfvo type="formula" val="10"/>
        <color rgb="FFE06666"/>
        <color rgb="FFFFFFFF"/>
        <color rgb="FF4285F4"/>
      </colorScale>
    </cfRule>
  </conditionalFormatting>
  <conditionalFormatting sqref="M3:M1283">
    <cfRule type="colorScale" priority="9">
      <colorScale>
        <cfvo type="min"/>
        <cfvo type="percentile" val="50"/>
        <cfvo type="max"/>
        <color rgb="FFEA9999"/>
        <color rgb="FFFFFFFF"/>
        <color rgb="FF4285F4"/>
      </colorScale>
    </cfRule>
  </conditionalFormatting>
  <conditionalFormatting sqref="N3:N1283">
    <cfRule type="colorScale" priority="10">
      <colorScale>
        <cfvo type="min"/>
        <cfvo type="percentile" val="50"/>
        <cfvo type="max"/>
        <color rgb="FFEA9999"/>
        <color rgb="FFFFFFFF"/>
        <color rgb="FF4285F4"/>
      </colorScale>
    </cfRule>
  </conditionalFormatting>
  <conditionalFormatting sqref="A3:C1283 F3:BM1283">
    <cfRule type="expression" dxfId="9" priority="11">
      <formula>iseven(row())</formula>
    </cfRule>
  </conditionalFormatting>
  <dataValidations>
    <dataValidation type="list" allowBlank="1" showErrorMessage="1" sqref="D3:D1283">
      <formula1>"Undrafted,Rob/Orad,Lev,Henry,Ilan,Phil,Jeremy,Ryan,Harley"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4.0"/>
    <col customWidth="1" min="4" max="11" width="4.38"/>
    <col customWidth="1" min="12" max="12" width="4.5"/>
    <col customWidth="1" min="13" max="17" width="4.38"/>
    <col customWidth="1" min="18" max="18" width="3.88"/>
  </cols>
  <sheetData>
    <row r="1">
      <c r="B1" s="8"/>
      <c r="C1" s="11"/>
      <c r="D1" s="8"/>
      <c r="E1" s="14">
        <v>1.0</v>
      </c>
      <c r="F1" s="14">
        <v>1.0</v>
      </c>
      <c r="G1" s="14">
        <v>1.0</v>
      </c>
      <c r="H1" s="14">
        <v>1.0</v>
      </c>
      <c r="I1" s="14">
        <v>1.0</v>
      </c>
      <c r="J1" s="14">
        <v>0.5</v>
      </c>
      <c r="K1" s="14">
        <v>1.0</v>
      </c>
      <c r="L1" s="14">
        <v>1.0</v>
      </c>
      <c r="M1" s="14">
        <v>1.0</v>
      </c>
      <c r="N1" s="14">
        <v>1.0</v>
      </c>
      <c r="O1" s="14">
        <v>1.0</v>
      </c>
      <c r="P1" s="14">
        <v>1.0</v>
      </c>
      <c r="Q1" s="14">
        <v>1.0</v>
      </c>
      <c r="R1" s="14">
        <v>0.5</v>
      </c>
    </row>
    <row r="2">
      <c r="A2" s="1" t="s">
        <v>18</v>
      </c>
      <c r="B2" s="19" t="s">
        <v>20</v>
      </c>
      <c r="C2" s="20" t="s">
        <v>23</v>
      </c>
      <c r="D2" s="19" t="s">
        <v>24</v>
      </c>
      <c r="E2" s="22" t="s">
        <v>6</v>
      </c>
      <c r="F2" s="22" t="s">
        <v>7</v>
      </c>
      <c r="G2" s="22" t="s">
        <v>8</v>
      </c>
      <c r="H2" s="22" t="s">
        <v>9</v>
      </c>
      <c r="I2" s="22" t="s">
        <v>10</v>
      </c>
      <c r="J2" s="22" t="s">
        <v>11</v>
      </c>
      <c r="K2" s="22" t="s">
        <v>12</v>
      </c>
      <c r="L2" s="22" t="s">
        <v>13</v>
      </c>
      <c r="M2" s="22" t="s">
        <v>14</v>
      </c>
      <c r="N2" s="22" t="s">
        <v>15</v>
      </c>
      <c r="O2" s="24" t="s">
        <v>16</v>
      </c>
      <c r="P2" s="25" t="s">
        <v>17</v>
      </c>
      <c r="Q2" s="26" t="s">
        <v>19</v>
      </c>
      <c r="R2" s="24" t="s">
        <v>21</v>
      </c>
    </row>
    <row r="3">
      <c r="A3" s="27" t="s">
        <v>25</v>
      </c>
      <c r="B3" s="29">
        <v>82.16397058823529</v>
      </c>
      <c r="C3" s="31">
        <v>34.0</v>
      </c>
      <c r="D3" s="31">
        <v>7.0</v>
      </c>
      <c r="E3" s="32">
        <v>3.082380777906566</v>
      </c>
      <c r="F3" s="32">
        <v>3.6976897023314077</v>
      </c>
      <c r="G3" s="32">
        <v>4.6687314447896755</v>
      </c>
      <c r="H3" s="32">
        <v>-0.6769149157915093</v>
      </c>
      <c r="I3" s="32">
        <v>2.4925582629952716</v>
      </c>
      <c r="J3" s="32">
        <v>-0.7797165909045679</v>
      </c>
      <c r="K3" s="32">
        <v>4.120842931733352</v>
      </c>
      <c r="L3" s="32">
        <v>1.9779769825477427</v>
      </c>
      <c r="M3" s="32">
        <v>-1.4890528553436624</v>
      </c>
      <c r="N3" s="32">
        <v>-1.298431336572278</v>
      </c>
      <c r="O3" s="34" t="s">
        <v>69</v>
      </c>
      <c r="P3" s="34" t="s">
        <v>69</v>
      </c>
      <c r="Q3" s="34" t="s">
        <v>69</v>
      </c>
      <c r="R3" s="34" t="s">
        <v>69</v>
      </c>
    </row>
    <row r="4">
      <c r="A4" s="27" t="s">
        <v>26</v>
      </c>
      <c r="B4" s="35">
        <v>81.12367647058824</v>
      </c>
      <c r="C4" s="36">
        <v>29.0</v>
      </c>
      <c r="D4" s="36">
        <v>6.0</v>
      </c>
      <c r="E4" s="37">
        <v>2.4402937818721107</v>
      </c>
      <c r="F4" s="37">
        <v>4.643511927437128</v>
      </c>
      <c r="G4" s="37">
        <v>3.0128393696752434</v>
      </c>
      <c r="H4" s="37">
        <v>-0.5320369150656853</v>
      </c>
      <c r="I4" s="37">
        <v>3.9570262751010796</v>
      </c>
      <c r="J4" s="37">
        <v>-0.40059814787480247</v>
      </c>
      <c r="K4" s="37">
        <v>2.516992204028666</v>
      </c>
      <c r="L4" s="37">
        <v>0.9486807771252995</v>
      </c>
      <c r="M4" s="37">
        <v>-1.5656995078055242</v>
      </c>
      <c r="N4" s="37">
        <v>-1.7945843571114288</v>
      </c>
      <c r="O4" s="34" t="s">
        <v>69</v>
      </c>
      <c r="P4" s="34" t="s">
        <v>69</v>
      </c>
      <c r="Q4" s="34" t="s">
        <v>69</v>
      </c>
      <c r="R4" s="34" t="s">
        <v>69</v>
      </c>
    </row>
    <row r="5">
      <c r="A5" s="27" t="s">
        <v>27</v>
      </c>
      <c r="B5" s="29">
        <v>80.76147058823528</v>
      </c>
      <c r="C5" s="31">
        <v>16.0</v>
      </c>
      <c r="D5" s="31">
        <v>6.0</v>
      </c>
      <c r="E5" s="32">
        <v>2.4128284710735497</v>
      </c>
      <c r="F5" s="32">
        <v>4.34608247780454</v>
      </c>
      <c r="G5" s="32">
        <v>3.042004532237548</v>
      </c>
      <c r="H5" s="32">
        <v>-0.3910242372808694</v>
      </c>
      <c r="I5" s="32">
        <v>3.3338607871784767</v>
      </c>
      <c r="J5" s="32">
        <v>-0.7664069456495589</v>
      </c>
      <c r="K5" s="32">
        <v>1.932010154780755</v>
      </c>
      <c r="L5" s="32">
        <v>0.0</v>
      </c>
      <c r="M5" s="32">
        <v>-1.9151250797045682</v>
      </c>
      <c r="N5" s="32">
        <v>-1.7619316597262553</v>
      </c>
      <c r="O5" s="34" t="s">
        <v>69</v>
      </c>
      <c r="P5" s="34" t="s">
        <v>69</v>
      </c>
      <c r="Q5" s="34" t="s">
        <v>69</v>
      </c>
      <c r="R5" s="34" t="s">
        <v>69</v>
      </c>
    </row>
    <row r="6">
      <c r="A6" s="27" t="s">
        <v>28</v>
      </c>
      <c r="B6" s="35">
        <v>77.95294117647059</v>
      </c>
      <c r="C6" s="36">
        <v>29.0</v>
      </c>
      <c r="D6" s="36">
        <v>6.0</v>
      </c>
      <c r="E6" s="37">
        <v>2.8808093194723083</v>
      </c>
      <c r="F6" s="37">
        <v>2.6307824252156644</v>
      </c>
      <c r="G6" s="37">
        <v>2.223532334603014</v>
      </c>
      <c r="H6" s="37">
        <v>-0.5078501568690805</v>
      </c>
      <c r="I6" s="37">
        <v>3.390850015958371</v>
      </c>
      <c r="J6" s="37">
        <v>-0.42398669803117184</v>
      </c>
      <c r="K6" s="37">
        <v>1.2766833126096304</v>
      </c>
      <c r="L6" s="37">
        <v>2.228375120841333</v>
      </c>
      <c r="M6" s="37">
        <v>-1.8387466686089526</v>
      </c>
      <c r="N6" s="37">
        <v>-1.988909396686372</v>
      </c>
      <c r="O6" s="34" t="s">
        <v>69</v>
      </c>
      <c r="P6" s="34" t="s">
        <v>69</v>
      </c>
      <c r="Q6" s="34" t="s">
        <v>69</v>
      </c>
      <c r="R6" s="34" t="s">
        <v>69</v>
      </c>
    </row>
    <row r="7">
      <c r="A7" s="27" t="s">
        <v>29</v>
      </c>
      <c r="B7" s="29">
        <v>77.82058823529412</v>
      </c>
      <c r="C7" s="31">
        <v>29.0</v>
      </c>
      <c r="D7" s="31">
        <v>7.0</v>
      </c>
      <c r="E7" s="32">
        <v>1.2211379641988767</v>
      </c>
      <c r="F7" s="32">
        <v>0.2504480217732467</v>
      </c>
      <c r="G7" s="32">
        <v>0.6237522071129598</v>
      </c>
      <c r="H7" s="32">
        <v>3.1048765865370482</v>
      </c>
      <c r="I7" s="32">
        <v>0.7660800417941629</v>
      </c>
      <c r="J7" s="32">
        <v>-0.7172162145443274</v>
      </c>
      <c r="K7" s="32">
        <v>2.746736170862057</v>
      </c>
      <c r="L7" s="32">
        <v>0.0</v>
      </c>
      <c r="M7" s="32">
        <v>1.9740337558761956</v>
      </c>
      <c r="N7" s="32">
        <v>-1.7850069619522018</v>
      </c>
      <c r="O7" s="34" t="s">
        <v>69</v>
      </c>
      <c r="P7" s="34" t="s">
        <v>69</v>
      </c>
      <c r="Q7" s="34" t="s">
        <v>69</v>
      </c>
      <c r="R7" s="34" t="s">
        <v>69</v>
      </c>
    </row>
    <row r="8">
      <c r="A8" s="27" t="s">
        <v>30</v>
      </c>
      <c r="B8" s="35">
        <v>78.47455882352942</v>
      </c>
      <c r="C8" s="36">
        <v>28.0</v>
      </c>
      <c r="D8" s="36">
        <v>6.0</v>
      </c>
      <c r="E8" s="37">
        <v>1.4217886937589694</v>
      </c>
      <c r="F8" s="37">
        <v>2.3391319834912823</v>
      </c>
      <c r="G8" s="37">
        <v>2.2457452478768754</v>
      </c>
      <c r="H8" s="37">
        <v>-1.721744037824786</v>
      </c>
      <c r="I8" s="37">
        <v>2.036011454151941</v>
      </c>
      <c r="J8" s="37">
        <v>0.5785377253333976</v>
      </c>
      <c r="K8" s="37">
        <v>2.481601713711307</v>
      </c>
      <c r="L8" s="37">
        <v>1.536500914248712</v>
      </c>
      <c r="M8" s="37">
        <v>-1.957799696664236</v>
      </c>
      <c r="N8" s="37">
        <v>-1.1960747809234744</v>
      </c>
      <c r="O8" s="34" t="s">
        <v>69</v>
      </c>
      <c r="P8" s="34" t="s">
        <v>69</v>
      </c>
      <c r="Q8" s="34" t="s">
        <v>69</v>
      </c>
      <c r="R8" s="34" t="s">
        <v>69</v>
      </c>
    </row>
    <row r="9">
      <c r="A9" s="27" t="s">
        <v>32</v>
      </c>
      <c r="B9" s="29">
        <v>81.00220588235294</v>
      </c>
      <c r="C9" s="31">
        <v>34.0</v>
      </c>
      <c r="D9" s="31">
        <v>7.0</v>
      </c>
      <c r="E9" s="32">
        <v>0.2490673540471721</v>
      </c>
      <c r="F9" s="32">
        <v>2.6617060408366795</v>
      </c>
      <c r="G9" s="32">
        <v>3.2021492007004118</v>
      </c>
      <c r="H9" s="32">
        <v>-1.4937141318574851</v>
      </c>
      <c r="I9" s="32">
        <v>2.2985638193411146</v>
      </c>
      <c r="J9" s="32">
        <v>-0.04146466950389072</v>
      </c>
      <c r="K9" s="32">
        <v>1.3874201709977838</v>
      </c>
      <c r="L9" s="32">
        <v>0.0</v>
      </c>
      <c r="M9" s="32">
        <v>-1.7749024766734585</v>
      </c>
      <c r="N9" s="32">
        <v>1.1698742754797598</v>
      </c>
      <c r="O9" s="34" t="s">
        <v>69</v>
      </c>
      <c r="P9" s="34" t="s">
        <v>69</v>
      </c>
      <c r="Q9" s="34" t="s">
        <v>69</v>
      </c>
      <c r="R9" s="34" t="s">
        <v>69</v>
      </c>
    </row>
    <row r="10">
      <c r="A10" s="27" t="s">
        <v>33</v>
      </c>
      <c r="B10" s="35">
        <v>81.60823529411765</v>
      </c>
      <c r="C10" s="36">
        <v>31.0</v>
      </c>
      <c r="D10" s="36">
        <v>7.0</v>
      </c>
      <c r="E10" s="37">
        <v>2.760485914337498</v>
      </c>
      <c r="F10" s="37">
        <v>2.5373475483045462</v>
      </c>
      <c r="G10" s="37">
        <v>-1.4763048087110708</v>
      </c>
      <c r="H10" s="37">
        <v>-0.3507397877220061</v>
      </c>
      <c r="I10" s="37">
        <v>2.1792333056617617</v>
      </c>
      <c r="J10" s="37">
        <v>-0.7411546347808676</v>
      </c>
      <c r="K10" s="37">
        <v>3.0181910341185283</v>
      </c>
      <c r="L10" s="37">
        <v>1.7160572853855527</v>
      </c>
      <c r="M10" s="37">
        <v>-1.5742538568815505</v>
      </c>
      <c r="N10" s="37">
        <v>-0.9614724847235743</v>
      </c>
      <c r="O10" s="34" t="s">
        <v>69</v>
      </c>
      <c r="P10" s="34" t="s">
        <v>69</v>
      </c>
      <c r="Q10" s="34" t="s">
        <v>69</v>
      </c>
      <c r="R10" s="34" t="s">
        <v>69</v>
      </c>
    </row>
    <row r="11">
      <c r="A11" s="27" t="s">
        <v>34</v>
      </c>
      <c r="B11" s="29">
        <v>76.40514705882353</v>
      </c>
      <c r="C11" s="31">
        <v>25.0</v>
      </c>
      <c r="D11" s="31">
        <v>7.0</v>
      </c>
      <c r="E11" s="32">
        <v>2.816127465131218</v>
      </c>
      <c r="F11" s="32">
        <v>0.6372605769505756</v>
      </c>
      <c r="G11" s="32">
        <v>-0.04799214609486553</v>
      </c>
      <c r="H11" s="32">
        <v>-1.4931878579498703</v>
      </c>
      <c r="I11" s="32">
        <v>1.129032635471388</v>
      </c>
      <c r="J11" s="32">
        <v>-0.4161755789513003</v>
      </c>
      <c r="K11" s="32">
        <v>3.180124938882018</v>
      </c>
      <c r="L11" s="32">
        <v>2.1966512939079204</v>
      </c>
      <c r="M11" s="32">
        <v>-1.4619676070847842</v>
      </c>
      <c r="N11" s="32">
        <v>0.17812001688151743</v>
      </c>
      <c r="O11" s="34" t="s">
        <v>69</v>
      </c>
      <c r="P11" s="34" t="s">
        <v>69</v>
      </c>
      <c r="Q11" s="34" t="s">
        <v>69</v>
      </c>
      <c r="R11" s="34" t="s">
        <v>69</v>
      </c>
    </row>
    <row r="12">
      <c r="A12" s="27" t="s">
        <v>35</v>
      </c>
      <c r="B12" s="35">
        <v>80.4254411764706</v>
      </c>
      <c r="C12" s="36">
        <v>16.0</v>
      </c>
      <c r="D12" s="36">
        <v>6.0</v>
      </c>
      <c r="E12" s="37">
        <v>2.0021345494680753</v>
      </c>
      <c r="F12" s="37">
        <v>1.1574303492242004</v>
      </c>
      <c r="G12" s="37">
        <v>3.159420467158063</v>
      </c>
      <c r="H12" s="37">
        <v>0.7572693932652896</v>
      </c>
      <c r="I12" s="37">
        <v>-0.07163221135816406</v>
      </c>
      <c r="J12" s="37">
        <v>0.9832341316182881</v>
      </c>
      <c r="K12" s="37">
        <v>1.3490961178799252</v>
      </c>
      <c r="L12" s="37">
        <v>0.0</v>
      </c>
      <c r="M12" s="37">
        <v>-1.594107863069647</v>
      </c>
      <c r="N12" s="37">
        <v>-1.2758387139206666</v>
      </c>
      <c r="O12" s="34" t="s">
        <v>69</v>
      </c>
      <c r="P12" s="34" t="s">
        <v>69</v>
      </c>
      <c r="Q12" s="34" t="s">
        <v>69</v>
      </c>
      <c r="R12" s="34" t="s">
        <v>69</v>
      </c>
    </row>
    <row r="13">
      <c r="A13" s="27" t="s">
        <v>36</v>
      </c>
      <c r="B13" s="29">
        <v>56.4</v>
      </c>
      <c r="C13" s="31">
        <v>33.0</v>
      </c>
      <c r="D13" s="31">
        <v>8.0</v>
      </c>
      <c r="E13" s="32" t="s">
        <v>69</v>
      </c>
      <c r="F13" s="32" t="s">
        <v>69</v>
      </c>
      <c r="G13" s="32" t="s">
        <v>69</v>
      </c>
      <c r="H13" s="32" t="s">
        <v>69</v>
      </c>
      <c r="I13" s="32" t="s">
        <v>69</v>
      </c>
      <c r="J13" s="32" t="s">
        <v>69</v>
      </c>
      <c r="K13" s="32" t="s">
        <v>69</v>
      </c>
      <c r="L13" s="32" t="s">
        <v>69</v>
      </c>
      <c r="M13" s="32" t="s">
        <v>69</v>
      </c>
      <c r="N13" s="32" t="s">
        <v>69</v>
      </c>
      <c r="O13" s="34">
        <v>1.8745719704079356</v>
      </c>
      <c r="P13" s="34">
        <v>1.8637553361078611</v>
      </c>
      <c r="Q13" s="34">
        <v>2.1818723268232665</v>
      </c>
      <c r="R13" s="34">
        <v>0.535423679278133</v>
      </c>
    </row>
    <row r="14">
      <c r="A14" s="27" t="s">
        <v>37</v>
      </c>
      <c r="B14" s="35">
        <v>83.57588235294118</v>
      </c>
      <c r="C14" s="36">
        <v>29.0</v>
      </c>
      <c r="D14" s="36">
        <v>6.0</v>
      </c>
      <c r="E14" s="37">
        <v>-0.3695578067209339</v>
      </c>
      <c r="F14" s="37">
        <v>2.711639068309754</v>
      </c>
      <c r="G14" s="37">
        <v>2.8945979412619667</v>
      </c>
      <c r="H14" s="37">
        <v>-0.8685750285110599</v>
      </c>
      <c r="I14" s="37">
        <v>2.074770615572833</v>
      </c>
      <c r="J14" s="37">
        <v>-0.01841341560197418</v>
      </c>
      <c r="K14" s="37">
        <v>1.3330760075188348</v>
      </c>
      <c r="L14" s="37">
        <v>0.0</v>
      </c>
      <c r="M14" s="37">
        <v>-1.8084223112514448</v>
      </c>
      <c r="N14" s="37">
        <v>0.49050379513873477</v>
      </c>
      <c r="O14" s="34" t="s">
        <v>69</v>
      </c>
      <c r="P14" s="34" t="s">
        <v>69</v>
      </c>
      <c r="Q14" s="34" t="s">
        <v>69</v>
      </c>
      <c r="R14" s="34" t="s">
        <v>69</v>
      </c>
    </row>
    <row r="15">
      <c r="A15" s="27" t="s">
        <v>38</v>
      </c>
      <c r="B15" s="29">
        <v>83.77</v>
      </c>
      <c r="C15" s="31">
        <v>29.0</v>
      </c>
      <c r="D15" s="31">
        <v>7.0</v>
      </c>
      <c r="E15" s="32">
        <v>1.2120767921852125</v>
      </c>
      <c r="F15" s="32">
        <v>2.29446979999957</v>
      </c>
      <c r="G15" s="32">
        <v>1.524742369528804</v>
      </c>
      <c r="H15" s="32">
        <v>-1.4698801511352368</v>
      </c>
      <c r="I15" s="32">
        <v>2.4017431142097596</v>
      </c>
      <c r="J15" s="32">
        <v>-0.15279660351538285</v>
      </c>
      <c r="K15" s="32">
        <v>0.4113436551680331</v>
      </c>
      <c r="L15" s="32">
        <v>2.166357129075405</v>
      </c>
      <c r="M15" s="32">
        <v>-1.3132599238368716</v>
      </c>
      <c r="N15" s="32">
        <v>-0.78334794633997</v>
      </c>
      <c r="O15" s="34" t="s">
        <v>69</v>
      </c>
      <c r="P15" s="34" t="s">
        <v>69</v>
      </c>
      <c r="Q15" s="34" t="s">
        <v>69</v>
      </c>
      <c r="R15" s="34" t="s">
        <v>69</v>
      </c>
    </row>
    <row r="16">
      <c r="A16" s="27" t="s">
        <v>39</v>
      </c>
      <c r="B16" s="35">
        <v>81.17970588235295</v>
      </c>
      <c r="C16" s="36">
        <v>23.0</v>
      </c>
      <c r="D16" s="36">
        <v>7.0</v>
      </c>
      <c r="E16" s="37">
        <v>1.1673638199477454</v>
      </c>
      <c r="F16" s="37">
        <v>1.3958380047183043</v>
      </c>
      <c r="G16" s="37">
        <v>1.0907935618130793</v>
      </c>
      <c r="H16" s="37">
        <v>-0.26209697635497686</v>
      </c>
      <c r="I16" s="37">
        <v>1.3562781800937798</v>
      </c>
      <c r="J16" s="37">
        <v>2.226895324454266</v>
      </c>
      <c r="K16" s="37">
        <v>0.8419864989545881</v>
      </c>
      <c r="L16" s="37">
        <v>1.7068544890038784</v>
      </c>
      <c r="M16" s="37">
        <v>-1.4046397134335726</v>
      </c>
      <c r="N16" s="37">
        <v>-1.91979746115489</v>
      </c>
      <c r="O16" s="34" t="s">
        <v>69</v>
      </c>
      <c r="P16" s="34" t="s">
        <v>69</v>
      </c>
      <c r="Q16" s="34" t="s">
        <v>69</v>
      </c>
      <c r="R16" s="34" t="s">
        <v>69</v>
      </c>
    </row>
    <row r="17">
      <c r="A17" s="27" t="s">
        <v>40</v>
      </c>
      <c r="B17" s="29">
        <v>58.4</v>
      </c>
      <c r="C17" s="31">
        <v>16.0</v>
      </c>
      <c r="D17" s="31">
        <v>6.0</v>
      </c>
      <c r="E17" s="32" t="s">
        <v>69</v>
      </c>
      <c r="F17" s="32" t="s">
        <v>69</v>
      </c>
      <c r="G17" s="32" t="s">
        <v>69</v>
      </c>
      <c r="H17" s="32" t="s">
        <v>69</v>
      </c>
      <c r="I17" s="32" t="s">
        <v>69</v>
      </c>
      <c r="J17" s="32" t="s">
        <v>69</v>
      </c>
      <c r="K17" s="32" t="s">
        <v>69</v>
      </c>
      <c r="L17" s="32" t="s">
        <v>69</v>
      </c>
      <c r="M17" s="32" t="s">
        <v>69</v>
      </c>
      <c r="N17" s="32" t="s">
        <v>69</v>
      </c>
      <c r="O17" s="34">
        <v>2.263725149771413</v>
      </c>
      <c r="P17" s="34">
        <v>1.892873184212281</v>
      </c>
      <c r="Q17" s="34">
        <v>1.464949802235589</v>
      </c>
      <c r="R17" s="34">
        <v>0.5297594671832909</v>
      </c>
    </row>
    <row r="18">
      <c r="A18" s="27" t="s">
        <v>42</v>
      </c>
      <c r="B18" s="35">
        <v>79.35014705882352</v>
      </c>
      <c r="C18" s="36">
        <v>33.0</v>
      </c>
      <c r="D18" s="36">
        <v>8.0</v>
      </c>
      <c r="E18" s="37">
        <v>0.8997908370613434</v>
      </c>
      <c r="F18" s="37">
        <v>-0.1303145489440652</v>
      </c>
      <c r="G18" s="37">
        <v>0.3570391780859479</v>
      </c>
      <c r="H18" s="37">
        <v>3.510963538740614</v>
      </c>
      <c r="I18" s="37">
        <v>-0.10904605866479396</v>
      </c>
      <c r="J18" s="37">
        <v>0.6569050631233003</v>
      </c>
      <c r="K18" s="37">
        <v>0.01937679281654085</v>
      </c>
      <c r="L18" s="37">
        <v>0.0</v>
      </c>
      <c r="M18" s="37">
        <v>1.5292630673218774</v>
      </c>
      <c r="N18" s="37">
        <v>-0.7032250538184504</v>
      </c>
      <c r="O18" s="34" t="s">
        <v>69</v>
      </c>
      <c r="P18" s="34" t="s">
        <v>69</v>
      </c>
      <c r="Q18" s="34" t="s">
        <v>69</v>
      </c>
      <c r="R18" s="34" t="s">
        <v>69</v>
      </c>
    </row>
    <row r="19">
      <c r="A19" s="27" t="s">
        <v>43</v>
      </c>
      <c r="B19" s="29">
        <v>81.84867647058823</v>
      </c>
      <c r="C19" s="31">
        <v>23.0</v>
      </c>
      <c r="D19" s="31">
        <v>6.0</v>
      </c>
      <c r="E19" s="32">
        <v>2.0272754580946004</v>
      </c>
      <c r="F19" s="32">
        <v>2.6135822018070636</v>
      </c>
      <c r="G19" s="32">
        <v>-0.5800188207589102</v>
      </c>
      <c r="H19" s="32">
        <v>0.3090169442169672</v>
      </c>
      <c r="I19" s="32">
        <v>1.9016144306570215</v>
      </c>
      <c r="J19" s="32">
        <v>-0.7811265356766948</v>
      </c>
      <c r="K19" s="32">
        <v>3.035803072873275</v>
      </c>
      <c r="L19" s="32">
        <v>0.0</v>
      </c>
      <c r="M19" s="32">
        <v>-1.0967532725519107</v>
      </c>
      <c r="N19" s="32">
        <v>-1.8404605686414064</v>
      </c>
      <c r="O19" s="34" t="s">
        <v>69</v>
      </c>
      <c r="P19" s="34" t="s">
        <v>69</v>
      </c>
      <c r="Q19" s="34" t="s">
        <v>69</v>
      </c>
      <c r="R19" s="34" t="s">
        <v>69</v>
      </c>
    </row>
    <row r="20">
      <c r="A20" s="27" t="s">
        <v>44</v>
      </c>
      <c r="B20" s="35">
        <v>81.75264705882353</v>
      </c>
      <c r="C20" s="36">
        <v>24.0</v>
      </c>
      <c r="D20" s="36">
        <v>7.0</v>
      </c>
      <c r="E20" s="37">
        <v>2.1412889800588863</v>
      </c>
      <c r="F20" s="37">
        <v>1.1200099372032926</v>
      </c>
      <c r="G20" s="37">
        <v>0.4199669291978956</v>
      </c>
      <c r="H20" s="37">
        <v>-0.36865007151273604</v>
      </c>
      <c r="I20" s="37">
        <v>1.6873594414902606</v>
      </c>
      <c r="J20" s="37">
        <v>0.4983677221430908</v>
      </c>
      <c r="K20" s="37">
        <v>2.2738524530256883</v>
      </c>
      <c r="L20" s="37">
        <v>0.0</v>
      </c>
      <c r="M20" s="37">
        <v>-1.431935548358198</v>
      </c>
      <c r="N20" s="37">
        <v>-0.8570584772355305</v>
      </c>
      <c r="O20" s="34" t="s">
        <v>69</v>
      </c>
      <c r="P20" s="34" t="s">
        <v>69</v>
      </c>
      <c r="Q20" s="34" t="s">
        <v>69</v>
      </c>
      <c r="R20" s="34" t="s">
        <v>69</v>
      </c>
    </row>
    <row r="21">
      <c r="A21" s="27" t="s">
        <v>45</v>
      </c>
      <c r="B21" s="29">
        <v>76.61235294117648</v>
      </c>
      <c r="C21" s="31">
        <v>29.0</v>
      </c>
      <c r="D21" s="31">
        <v>7.0</v>
      </c>
      <c r="E21" s="32">
        <v>0.2762276745253235</v>
      </c>
      <c r="F21" s="32">
        <v>2.00460002734181</v>
      </c>
      <c r="G21" s="32">
        <v>1.4298323069024117</v>
      </c>
      <c r="H21" s="32">
        <v>-1.5662078626074325</v>
      </c>
      <c r="I21" s="32">
        <v>1.7573102117041943</v>
      </c>
      <c r="J21" s="32">
        <v>1.0584344805790047</v>
      </c>
      <c r="K21" s="32">
        <v>0.3472736323779487</v>
      </c>
      <c r="L21" s="32">
        <v>1.8915001886106475</v>
      </c>
      <c r="M21" s="32">
        <v>-0.7847673165523907</v>
      </c>
      <c r="N21" s="32">
        <v>-0.9542006316390259</v>
      </c>
      <c r="O21" s="34" t="s">
        <v>69</v>
      </c>
      <c r="P21" s="34" t="s">
        <v>69</v>
      </c>
      <c r="Q21" s="34" t="s">
        <v>69</v>
      </c>
      <c r="R21" s="34" t="s">
        <v>69</v>
      </c>
    </row>
    <row r="22">
      <c r="A22" s="27" t="s">
        <v>46</v>
      </c>
      <c r="B22" s="35">
        <v>78.93808823529412</v>
      </c>
      <c r="C22" s="36">
        <v>24.0</v>
      </c>
      <c r="D22" s="36">
        <v>7.0</v>
      </c>
      <c r="E22" s="37">
        <v>3.0832591303252808</v>
      </c>
      <c r="F22" s="37">
        <v>1.499507151892531</v>
      </c>
      <c r="G22" s="37">
        <v>1.176681052544302</v>
      </c>
      <c r="H22" s="37">
        <v>-0.8771352085755438</v>
      </c>
      <c r="I22" s="37">
        <v>2.1319001105783864</v>
      </c>
      <c r="J22" s="37">
        <v>-0.7856387537723395</v>
      </c>
      <c r="K22" s="37">
        <v>2.37632554495066</v>
      </c>
      <c r="L22" s="37">
        <v>0.0</v>
      </c>
      <c r="M22" s="37">
        <v>-1.5922660557317543</v>
      </c>
      <c r="N22" s="37">
        <v>-1.7529009647620601</v>
      </c>
      <c r="O22" s="34" t="s">
        <v>69</v>
      </c>
      <c r="P22" s="34" t="s">
        <v>69</v>
      </c>
      <c r="Q22" s="34" t="s">
        <v>69</v>
      </c>
      <c r="R22" s="34" t="s">
        <v>69</v>
      </c>
    </row>
    <row r="23">
      <c r="A23" s="27" t="s">
        <v>47</v>
      </c>
      <c r="B23" s="29">
        <v>60.0</v>
      </c>
      <c r="C23" s="31">
        <v>26.0</v>
      </c>
      <c r="D23" s="31">
        <v>5.0</v>
      </c>
      <c r="E23" s="32" t="s">
        <v>69</v>
      </c>
      <c r="F23" s="32" t="s">
        <v>69</v>
      </c>
      <c r="G23" s="32" t="s">
        <v>69</v>
      </c>
      <c r="H23" s="32" t="s">
        <v>69</v>
      </c>
      <c r="I23" s="32" t="s">
        <v>69</v>
      </c>
      <c r="J23" s="32" t="s">
        <v>69</v>
      </c>
      <c r="K23" s="32" t="s">
        <v>69</v>
      </c>
      <c r="L23" s="32" t="s">
        <v>69</v>
      </c>
      <c r="M23" s="32" t="s">
        <v>69</v>
      </c>
      <c r="N23" s="32" t="s">
        <v>69</v>
      </c>
      <c r="O23" s="34">
        <v>1.6023352367632702</v>
      </c>
      <c r="P23" s="34">
        <v>2.1258159690476184</v>
      </c>
      <c r="Q23" s="34">
        <v>0.6928793911411105</v>
      </c>
      <c r="R23" s="34">
        <v>0.8223602735388716</v>
      </c>
    </row>
    <row r="24">
      <c r="A24" s="27" t="s">
        <v>49</v>
      </c>
      <c r="B24" s="35">
        <v>83.53470588235294</v>
      </c>
      <c r="C24" s="36">
        <v>25.0</v>
      </c>
      <c r="D24" s="36">
        <v>6.0</v>
      </c>
      <c r="E24" s="37">
        <v>2.522060097898771</v>
      </c>
      <c r="F24" s="37">
        <v>1.5533556711052852</v>
      </c>
      <c r="G24" s="37">
        <v>1.439764168594793</v>
      </c>
      <c r="H24" s="37">
        <v>-1.2270994282675765</v>
      </c>
      <c r="I24" s="37">
        <v>2.328955844531936</v>
      </c>
      <c r="J24" s="37">
        <v>-0.7823979023029072</v>
      </c>
      <c r="K24" s="37">
        <v>2.4084522054515265</v>
      </c>
      <c r="L24" s="37">
        <v>0.0</v>
      </c>
      <c r="M24" s="37">
        <v>-1.4953475863929684</v>
      </c>
      <c r="N24" s="37">
        <v>-1.556178567918682</v>
      </c>
      <c r="O24" s="34" t="s">
        <v>69</v>
      </c>
      <c r="P24" s="34" t="s">
        <v>69</v>
      </c>
      <c r="Q24" s="34" t="s">
        <v>69</v>
      </c>
      <c r="R24" s="34" t="s">
        <v>69</v>
      </c>
    </row>
    <row r="25">
      <c r="A25" s="27" t="s">
        <v>50</v>
      </c>
      <c r="B25" s="29">
        <v>41.8</v>
      </c>
      <c r="C25" s="31">
        <v>34.0</v>
      </c>
      <c r="D25" s="31">
        <v>7.0</v>
      </c>
      <c r="E25" s="32" t="s">
        <v>69</v>
      </c>
      <c r="F25" s="32" t="s">
        <v>69</v>
      </c>
      <c r="G25" s="32" t="s">
        <v>69</v>
      </c>
      <c r="H25" s="32" t="s">
        <v>69</v>
      </c>
      <c r="I25" s="32" t="s">
        <v>69</v>
      </c>
      <c r="J25" s="32" t="s">
        <v>69</v>
      </c>
      <c r="K25" s="32" t="s">
        <v>69</v>
      </c>
      <c r="L25" s="32" t="s">
        <v>69</v>
      </c>
      <c r="M25" s="32" t="s">
        <v>69</v>
      </c>
      <c r="N25" s="32" t="s">
        <v>69</v>
      </c>
      <c r="O25" s="34">
        <v>0.231666607230594</v>
      </c>
      <c r="P25" s="34">
        <v>2.32964090577854</v>
      </c>
      <c r="Q25" s="34">
        <v>2.512759645863766</v>
      </c>
      <c r="R25" s="34">
        <v>0.06661277478457615</v>
      </c>
    </row>
    <row r="26">
      <c r="A26" s="27" t="s">
        <v>52</v>
      </c>
      <c r="B26" s="35">
        <v>57.3</v>
      </c>
      <c r="C26" s="36">
        <v>33.0</v>
      </c>
      <c r="D26" s="36">
        <v>6.0</v>
      </c>
      <c r="E26" s="37" t="s">
        <v>69</v>
      </c>
      <c r="F26" s="37" t="s">
        <v>69</v>
      </c>
      <c r="G26" s="37" t="s">
        <v>69</v>
      </c>
      <c r="H26" s="37" t="s">
        <v>69</v>
      </c>
      <c r="I26" s="37" t="s">
        <v>69</v>
      </c>
      <c r="J26" s="37" t="s">
        <v>69</v>
      </c>
      <c r="K26" s="37" t="s">
        <v>69</v>
      </c>
      <c r="L26" s="37" t="s">
        <v>69</v>
      </c>
      <c r="M26" s="37" t="s">
        <v>69</v>
      </c>
      <c r="N26" s="37" t="s">
        <v>69</v>
      </c>
      <c r="O26" s="34">
        <v>1.0053222056340791</v>
      </c>
      <c r="P26" s="34">
        <v>1.3687519183327665</v>
      </c>
      <c r="Q26" s="34">
        <v>1.5200976887423285</v>
      </c>
      <c r="R26" s="34">
        <v>0.5595319820068041</v>
      </c>
    </row>
    <row r="27">
      <c r="A27" s="27" t="s">
        <v>53</v>
      </c>
      <c r="B27" s="29">
        <v>81.18955882352941</v>
      </c>
      <c r="C27" s="31">
        <v>34.0</v>
      </c>
      <c r="D27" s="31">
        <v>7.0</v>
      </c>
      <c r="E27" s="32">
        <v>1.6810272381303522</v>
      </c>
      <c r="F27" s="32">
        <v>2.1570630959115866</v>
      </c>
      <c r="G27" s="32">
        <v>2.2858842671571873</v>
      </c>
      <c r="H27" s="32">
        <v>-1.0314795837521369</v>
      </c>
      <c r="I27" s="32">
        <v>1.5257207163361832</v>
      </c>
      <c r="J27" s="32">
        <v>-0.7860729240019204</v>
      </c>
      <c r="K27" s="32">
        <v>1.2714880433378988</v>
      </c>
      <c r="L27" s="32">
        <v>0.0</v>
      </c>
      <c r="M27" s="32">
        <v>-0.9795534468928643</v>
      </c>
      <c r="N27" s="32">
        <v>-1.8481855977589694</v>
      </c>
      <c r="O27" s="34" t="s">
        <v>69</v>
      </c>
      <c r="P27" s="34" t="s">
        <v>69</v>
      </c>
      <c r="Q27" s="34" t="s">
        <v>69</v>
      </c>
      <c r="R27" s="34" t="s">
        <v>69</v>
      </c>
    </row>
    <row r="28">
      <c r="A28" s="27" t="s">
        <v>54</v>
      </c>
      <c r="B28" s="35">
        <v>78.87676470588235</v>
      </c>
      <c r="C28" s="36">
        <v>25.0</v>
      </c>
      <c r="D28" s="36">
        <v>6.0</v>
      </c>
      <c r="E28" s="37">
        <v>1.1058843822494866</v>
      </c>
      <c r="F28" s="37">
        <v>2.076946546056948</v>
      </c>
      <c r="G28" s="37">
        <v>0.4737688487227533</v>
      </c>
      <c r="H28" s="37">
        <v>1.4228477572699052</v>
      </c>
      <c r="I28" s="37">
        <v>2.3461838690983443</v>
      </c>
      <c r="J28" s="37">
        <v>-0.7850865681419781</v>
      </c>
      <c r="K28" s="37">
        <v>0.5092602424763873</v>
      </c>
      <c r="L28" s="37">
        <v>0.0</v>
      </c>
      <c r="M28" s="37">
        <v>-1.5580198162678303</v>
      </c>
      <c r="N28" s="37">
        <v>-1.488906970708328</v>
      </c>
      <c r="O28" s="34" t="s">
        <v>69</v>
      </c>
      <c r="P28" s="34" t="s">
        <v>69</v>
      </c>
      <c r="Q28" s="34" t="s">
        <v>69</v>
      </c>
      <c r="R28" s="34" t="s">
        <v>69</v>
      </c>
    </row>
    <row r="29">
      <c r="A29" s="27" t="s">
        <v>56</v>
      </c>
      <c r="B29" s="29">
        <v>83.4170588235294</v>
      </c>
      <c r="C29" s="31">
        <v>29.0</v>
      </c>
      <c r="D29" s="31">
        <v>7.0</v>
      </c>
      <c r="E29" s="32">
        <v>-1.4067301533208691</v>
      </c>
      <c r="F29" s="32">
        <v>1.0178430173571718</v>
      </c>
      <c r="G29" s="32">
        <v>-0.24702923036737204</v>
      </c>
      <c r="H29" s="32">
        <v>0.23865673430634587</v>
      </c>
      <c r="I29" s="32">
        <v>1.262821732864935</v>
      </c>
      <c r="J29" s="32">
        <v>-0.7072834098004751</v>
      </c>
      <c r="K29" s="32">
        <v>0.24664825688318937</v>
      </c>
      <c r="L29" s="32">
        <v>0.0</v>
      </c>
      <c r="M29" s="32">
        <v>0.6207178107148751</v>
      </c>
      <c r="N29" s="32">
        <v>2.8773702514872768</v>
      </c>
      <c r="O29" s="34" t="s">
        <v>69</v>
      </c>
      <c r="P29" s="34" t="s">
        <v>69</v>
      </c>
      <c r="Q29" s="34" t="s">
        <v>69</v>
      </c>
      <c r="R29" s="34" t="s">
        <v>69</v>
      </c>
    </row>
    <row r="30">
      <c r="A30" s="27" t="s">
        <v>57</v>
      </c>
      <c r="B30" s="35">
        <v>80.7814705882353</v>
      </c>
      <c r="C30" s="36">
        <v>25.0</v>
      </c>
      <c r="D30" s="36">
        <v>6.0</v>
      </c>
      <c r="E30" s="37">
        <v>-0.23666196634422546</v>
      </c>
      <c r="F30" s="37">
        <v>1.7559533740516127</v>
      </c>
      <c r="G30" s="37">
        <v>0.3499794716505902</v>
      </c>
      <c r="H30" s="37">
        <v>1.2339458792632376</v>
      </c>
      <c r="I30" s="37">
        <v>1.0255114049541996</v>
      </c>
      <c r="J30" s="37">
        <v>-0.6761825812211225</v>
      </c>
      <c r="K30" s="37">
        <v>0.9421964738598575</v>
      </c>
      <c r="L30" s="37">
        <v>0.0</v>
      </c>
      <c r="M30" s="37">
        <v>-0.7573541950740018</v>
      </c>
      <c r="N30" s="37">
        <v>0.234662310749381</v>
      </c>
      <c r="O30" s="34" t="s">
        <v>69</v>
      </c>
      <c r="P30" s="34" t="s">
        <v>69</v>
      </c>
      <c r="Q30" s="34" t="s">
        <v>69</v>
      </c>
      <c r="R30" s="34" t="s">
        <v>69</v>
      </c>
    </row>
    <row r="31">
      <c r="A31" s="27" t="s">
        <v>58</v>
      </c>
      <c r="B31" s="29">
        <v>75.68205882352942</v>
      </c>
      <c r="C31" s="31">
        <v>29.0</v>
      </c>
      <c r="D31" s="31">
        <v>7.0</v>
      </c>
      <c r="E31" s="32">
        <v>1.0146777255025046</v>
      </c>
      <c r="F31" s="32">
        <v>1.527936414499926</v>
      </c>
      <c r="G31" s="32">
        <v>-0.04820361500060045</v>
      </c>
      <c r="H31" s="32">
        <v>1.786490087801849</v>
      </c>
      <c r="I31" s="32">
        <v>1.6477929071282995</v>
      </c>
      <c r="J31" s="32">
        <v>-0.7689461889438562</v>
      </c>
      <c r="K31" s="32">
        <v>1.3419767269752467</v>
      </c>
      <c r="L31" s="32">
        <v>0.0</v>
      </c>
      <c r="M31" s="32">
        <v>-0.6640936309890483</v>
      </c>
      <c r="N31" s="32">
        <v>-2.078178227292976</v>
      </c>
      <c r="O31" s="34" t="s">
        <v>69</v>
      </c>
      <c r="P31" s="34" t="s">
        <v>69</v>
      </c>
      <c r="Q31" s="34" t="s">
        <v>69</v>
      </c>
      <c r="R31" s="34" t="s">
        <v>69</v>
      </c>
    </row>
    <row r="32">
      <c r="A32" s="27" t="s">
        <v>60</v>
      </c>
      <c r="B32" s="35">
        <v>83.4170588235294</v>
      </c>
      <c r="C32" s="36">
        <v>25.0</v>
      </c>
      <c r="D32" s="36">
        <v>6.0</v>
      </c>
      <c r="E32" s="37">
        <v>2.447692659511293</v>
      </c>
      <c r="F32" s="37">
        <v>0.8697807960840092</v>
      </c>
      <c r="G32" s="37">
        <v>-0.31244479973079964</v>
      </c>
      <c r="H32" s="37">
        <v>-0.9636996893966187</v>
      </c>
      <c r="I32" s="37">
        <v>2.300947918725916</v>
      </c>
      <c r="J32" s="37">
        <v>-0.3856893362317885</v>
      </c>
      <c r="K32" s="37">
        <v>1.2442560327873105</v>
      </c>
      <c r="L32" s="37">
        <v>0.8402765818690755</v>
      </c>
      <c r="M32" s="37">
        <v>-1.529289169738301</v>
      </c>
      <c r="N32" s="37">
        <v>-1.0859287159760678</v>
      </c>
      <c r="O32" s="34" t="s">
        <v>69</v>
      </c>
      <c r="P32" s="34" t="s">
        <v>69</v>
      </c>
      <c r="Q32" s="34" t="s">
        <v>69</v>
      </c>
      <c r="R32" s="34" t="s">
        <v>69</v>
      </c>
    </row>
    <row r="33">
      <c r="A33" s="27" t="s">
        <v>62</v>
      </c>
      <c r="B33" s="29">
        <v>80.37352941176471</v>
      </c>
      <c r="C33" s="31">
        <v>23.0</v>
      </c>
      <c r="D33" s="31">
        <v>6.0</v>
      </c>
      <c r="E33" s="32">
        <v>0.0342075849108795</v>
      </c>
      <c r="F33" s="32">
        <v>2.247744604158418</v>
      </c>
      <c r="G33" s="32">
        <v>0.22019606472230427</v>
      </c>
      <c r="H33" s="32">
        <v>-1.2658753935787583</v>
      </c>
      <c r="I33" s="32">
        <v>1.0056457604036504</v>
      </c>
      <c r="J33" s="32">
        <v>-0.08352472785992249</v>
      </c>
      <c r="K33" s="32">
        <v>2.4413467296151734</v>
      </c>
      <c r="L33" s="32">
        <v>0.0</v>
      </c>
      <c r="M33" s="32">
        <v>-2.051948548969422</v>
      </c>
      <c r="N33" s="32">
        <v>0.7822363673365187</v>
      </c>
      <c r="O33" s="34" t="s">
        <v>69</v>
      </c>
      <c r="P33" s="34" t="s">
        <v>69</v>
      </c>
      <c r="Q33" s="34" t="s">
        <v>69</v>
      </c>
      <c r="R33" s="34" t="s">
        <v>69</v>
      </c>
    </row>
    <row r="34">
      <c r="A34" s="27" t="s">
        <v>63</v>
      </c>
      <c r="B34" s="35">
        <v>80.81779411764705</v>
      </c>
      <c r="C34" s="36">
        <v>24.0</v>
      </c>
      <c r="D34" s="36">
        <v>7.0</v>
      </c>
      <c r="E34" s="37">
        <v>1.259164110488489</v>
      </c>
      <c r="F34" s="37">
        <v>0.6514500092093112</v>
      </c>
      <c r="G34" s="37">
        <v>-0.3864792192826405</v>
      </c>
      <c r="H34" s="37">
        <v>-1.4333792455973282</v>
      </c>
      <c r="I34" s="37">
        <v>1.1715801622613506</v>
      </c>
      <c r="J34" s="37">
        <v>0.2969591383376394</v>
      </c>
      <c r="K34" s="37">
        <v>0.8615317961728224</v>
      </c>
      <c r="L34" s="37">
        <v>3.333518309688799</v>
      </c>
      <c r="M34" s="37">
        <v>-1.5782920358699597</v>
      </c>
      <c r="N34" s="37">
        <v>-0.8831376541496676</v>
      </c>
      <c r="O34" s="34" t="s">
        <v>69</v>
      </c>
      <c r="P34" s="34" t="s">
        <v>69</v>
      </c>
      <c r="Q34" s="34" t="s">
        <v>69</v>
      </c>
      <c r="R34" s="34" t="s">
        <v>69</v>
      </c>
    </row>
    <row r="35">
      <c r="A35" s="27" t="s">
        <v>65</v>
      </c>
      <c r="B35" s="29">
        <v>81.19014705882353</v>
      </c>
      <c r="C35" s="31">
        <v>16.0</v>
      </c>
      <c r="D35" s="31">
        <v>6.0</v>
      </c>
      <c r="E35" s="32">
        <v>1.8365365995546712</v>
      </c>
      <c r="F35" s="32">
        <v>1.1370602607853688</v>
      </c>
      <c r="G35" s="32">
        <v>1.6478511382852685</v>
      </c>
      <c r="H35" s="32">
        <v>-0.5979118022238747</v>
      </c>
      <c r="I35" s="32">
        <v>1.575174203429822</v>
      </c>
      <c r="J35" s="32">
        <v>-0.36723617933370095</v>
      </c>
      <c r="K35" s="32">
        <v>1.1314502818117107</v>
      </c>
      <c r="L35" s="32">
        <v>0.0</v>
      </c>
      <c r="M35" s="32">
        <v>-1.8680486607826816</v>
      </c>
      <c r="N35" s="32">
        <v>-1.4034771842682292</v>
      </c>
      <c r="O35" s="34" t="s">
        <v>69</v>
      </c>
      <c r="P35" s="34" t="s">
        <v>69</v>
      </c>
      <c r="Q35" s="34" t="s">
        <v>69</v>
      </c>
      <c r="R35" s="34" t="s">
        <v>69</v>
      </c>
    </row>
    <row r="36">
      <c r="A36" s="27" t="s">
        <v>66</v>
      </c>
      <c r="B36" s="35">
        <v>80.19220588235294</v>
      </c>
      <c r="C36" s="36">
        <v>29.0</v>
      </c>
      <c r="D36" s="36">
        <v>7.0</v>
      </c>
      <c r="E36" s="37">
        <v>2.3133389328862095</v>
      </c>
      <c r="F36" s="37">
        <v>0.5056186425851618</v>
      </c>
      <c r="G36" s="37">
        <v>-0.5644177498637016</v>
      </c>
      <c r="H36" s="37">
        <v>-1.5491103523188527</v>
      </c>
      <c r="I36" s="37">
        <v>1.6151260308864468</v>
      </c>
      <c r="J36" s="37">
        <v>1.699643339631382</v>
      </c>
      <c r="K36" s="37">
        <v>0.9999007310131535</v>
      </c>
      <c r="L36" s="37">
        <v>0.0</v>
      </c>
      <c r="M36" s="37">
        <v>-0.9817727080538414</v>
      </c>
      <c r="N36" s="37">
        <v>-1.0662972999705602</v>
      </c>
      <c r="O36" s="34" t="s">
        <v>69</v>
      </c>
      <c r="P36" s="34" t="s">
        <v>69</v>
      </c>
      <c r="Q36" s="34" t="s">
        <v>69</v>
      </c>
      <c r="R36" s="34" t="s">
        <v>69</v>
      </c>
    </row>
    <row r="37">
      <c r="A37" s="27" t="s">
        <v>68</v>
      </c>
      <c r="B37" s="29">
        <v>81.43485294117647</v>
      </c>
      <c r="C37" s="31">
        <v>33.0</v>
      </c>
      <c r="D37" s="31">
        <v>8.0</v>
      </c>
      <c r="E37" s="32">
        <v>1.1231609105952134</v>
      </c>
      <c r="F37" s="32">
        <v>0.008673092640809503</v>
      </c>
      <c r="G37" s="32">
        <v>0.6513881887805258</v>
      </c>
      <c r="H37" s="32">
        <v>0.20175644574181456</v>
      </c>
      <c r="I37" s="32">
        <v>-0.5381384398754413</v>
      </c>
      <c r="J37" s="32">
        <v>1.8552575118204164</v>
      </c>
      <c r="K37" s="32">
        <v>0.627634749188296</v>
      </c>
      <c r="L37" s="32">
        <v>0.0</v>
      </c>
      <c r="M37" s="32">
        <v>-1.059661985900353</v>
      </c>
      <c r="N37" s="32">
        <v>0.0796956204776864</v>
      </c>
      <c r="O37" s="34" t="s">
        <v>69</v>
      </c>
      <c r="P37" s="34" t="s">
        <v>69</v>
      </c>
      <c r="Q37" s="34" t="s">
        <v>69</v>
      </c>
      <c r="R37" s="34" t="s">
        <v>69</v>
      </c>
    </row>
    <row r="38">
      <c r="A38" s="27" t="s">
        <v>70</v>
      </c>
      <c r="B38" s="35">
        <v>58.0</v>
      </c>
      <c r="C38" s="36">
        <v>25.0</v>
      </c>
      <c r="D38" s="36">
        <v>6.0</v>
      </c>
      <c r="E38" s="37" t="s">
        <v>69</v>
      </c>
      <c r="F38" s="37" t="s">
        <v>69</v>
      </c>
      <c r="G38" s="37" t="s">
        <v>69</v>
      </c>
      <c r="H38" s="37" t="s">
        <v>69</v>
      </c>
      <c r="I38" s="37" t="s">
        <v>69</v>
      </c>
      <c r="J38" s="37" t="s">
        <v>69</v>
      </c>
      <c r="K38" s="37" t="s">
        <v>69</v>
      </c>
      <c r="L38" s="37" t="s">
        <v>69</v>
      </c>
      <c r="M38" s="37" t="s">
        <v>69</v>
      </c>
      <c r="N38" s="37" t="s">
        <v>69</v>
      </c>
      <c r="O38" s="34">
        <v>0.8474553296888792</v>
      </c>
      <c r="P38" s="34">
        <v>-0.20361187930576785</v>
      </c>
      <c r="Q38" s="34">
        <v>0.9134709371681305</v>
      </c>
      <c r="R38" s="34">
        <v>1.3806745794623307</v>
      </c>
    </row>
    <row r="39">
      <c r="A39" s="27" t="s">
        <v>72</v>
      </c>
      <c r="B39" s="29">
        <v>56.2</v>
      </c>
      <c r="C39" s="31">
        <v>23.0</v>
      </c>
      <c r="D39" s="31">
        <v>6.0</v>
      </c>
      <c r="E39" s="32" t="s">
        <v>69</v>
      </c>
      <c r="F39" s="32" t="s">
        <v>69</v>
      </c>
      <c r="G39" s="32" t="s">
        <v>69</v>
      </c>
      <c r="H39" s="32" t="s">
        <v>69</v>
      </c>
      <c r="I39" s="32" t="s">
        <v>69</v>
      </c>
      <c r="J39" s="32" t="s">
        <v>69</v>
      </c>
      <c r="K39" s="32" t="s">
        <v>69</v>
      </c>
      <c r="L39" s="32" t="s">
        <v>69</v>
      </c>
      <c r="M39" s="32" t="s">
        <v>69</v>
      </c>
      <c r="N39" s="32" t="s">
        <v>69</v>
      </c>
      <c r="O39" s="34">
        <v>0.823392231031477</v>
      </c>
      <c r="P39" s="34">
        <v>0.5534521714090794</v>
      </c>
      <c r="Q39" s="34">
        <v>0.9410448804215005</v>
      </c>
      <c r="R39" s="34">
        <v>0.5332818990797707</v>
      </c>
    </row>
    <row r="40">
      <c r="A40" s="27" t="s">
        <v>73</v>
      </c>
      <c r="B40" s="35">
        <v>74.97985294117647</v>
      </c>
      <c r="C40" s="36">
        <v>24.0</v>
      </c>
      <c r="D40" s="36">
        <v>7.0</v>
      </c>
      <c r="E40" s="37">
        <v>1.761291498184038</v>
      </c>
      <c r="F40" s="37">
        <v>2.0763488092402365</v>
      </c>
      <c r="G40" s="37">
        <v>0.3170093506768935</v>
      </c>
      <c r="H40" s="37">
        <v>-1.8118963182759293</v>
      </c>
      <c r="I40" s="37">
        <v>1.8832229718450886</v>
      </c>
      <c r="J40" s="37">
        <v>-0.13646455901025217</v>
      </c>
      <c r="K40" s="37">
        <v>2.724255452880507</v>
      </c>
      <c r="L40" s="37">
        <v>0.0</v>
      </c>
      <c r="M40" s="37">
        <v>-2.462099166155166</v>
      </c>
      <c r="N40" s="37">
        <v>-1.5845824471982606</v>
      </c>
      <c r="O40" s="34" t="s">
        <v>69</v>
      </c>
      <c r="P40" s="34" t="s">
        <v>69</v>
      </c>
      <c r="Q40" s="34" t="s">
        <v>69</v>
      </c>
      <c r="R40" s="34" t="s">
        <v>69</v>
      </c>
    </row>
    <row r="41">
      <c r="A41" s="27" t="s">
        <v>75</v>
      </c>
      <c r="B41" s="29">
        <v>79.53264705882353</v>
      </c>
      <c r="C41" s="31">
        <v>24.0</v>
      </c>
      <c r="D41" s="31">
        <v>7.0</v>
      </c>
      <c r="E41" s="32">
        <v>-0.8615209473863136</v>
      </c>
      <c r="F41" s="32">
        <v>3.4844266523248897</v>
      </c>
      <c r="G41" s="32">
        <v>0.49758507244961764</v>
      </c>
      <c r="H41" s="32">
        <v>-0.6596500383983602</v>
      </c>
      <c r="I41" s="32">
        <v>2.667140153050326</v>
      </c>
      <c r="J41" s="32">
        <v>-0.7846959897962925</v>
      </c>
      <c r="K41" s="32">
        <v>0.8541211243216247</v>
      </c>
      <c r="L41" s="32">
        <v>0.0</v>
      </c>
      <c r="M41" s="32">
        <v>-2.3720170625178025</v>
      </c>
      <c r="N41" s="32">
        <v>-0.12029461213734756</v>
      </c>
      <c r="O41" s="34" t="s">
        <v>69</v>
      </c>
      <c r="P41" s="34" t="s">
        <v>69</v>
      </c>
      <c r="Q41" s="34" t="s">
        <v>69</v>
      </c>
      <c r="R41" s="34" t="s">
        <v>69</v>
      </c>
    </row>
    <row r="42">
      <c r="A42" s="27" t="s">
        <v>76</v>
      </c>
      <c r="B42" s="35">
        <v>82.52499999999999</v>
      </c>
      <c r="C42" s="36">
        <v>27.0</v>
      </c>
      <c r="D42" s="36">
        <v>6.0</v>
      </c>
      <c r="E42" s="37">
        <v>1.0764032976705655</v>
      </c>
      <c r="F42" s="37">
        <v>1.5182533384126096</v>
      </c>
      <c r="G42" s="37">
        <v>-0.6020814578982474</v>
      </c>
      <c r="H42" s="37">
        <v>-0.5586913485049537</v>
      </c>
      <c r="I42" s="37">
        <v>1.5909973279277585</v>
      </c>
      <c r="J42" s="37">
        <v>0.14707655945520595</v>
      </c>
      <c r="K42" s="37">
        <v>0.5986959010627652</v>
      </c>
      <c r="L42" s="37">
        <v>0.33195327377803735</v>
      </c>
      <c r="M42" s="37">
        <v>-0.13387566972638887</v>
      </c>
      <c r="N42" s="37">
        <v>-1.327026380671881</v>
      </c>
      <c r="O42" s="34" t="s">
        <v>69</v>
      </c>
      <c r="P42" s="34" t="s">
        <v>69</v>
      </c>
      <c r="Q42" s="34" t="s">
        <v>69</v>
      </c>
      <c r="R42" s="34" t="s">
        <v>69</v>
      </c>
    </row>
    <row r="43">
      <c r="A43" s="27" t="s">
        <v>77</v>
      </c>
      <c r="B43" s="29">
        <v>79.86058823529413</v>
      </c>
      <c r="C43" s="31">
        <v>29.0</v>
      </c>
      <c r="D43" s="31">
        <v>7.0</v>
      </c>
      <c r="E43" s="32">
        <v>1.5539246101680637</v>
      </c>
      <c r="F43" s="32">
        <v>0.3420158757229263</v>
      </c>
      <c r="G43" s="32">
        <v>-1.431320507615519</v>
      </c>
      <c r="H43" s="32">
        <v>-0.24365850213948867</v>
      </c>
      <c r="I43" s="32">
        <v>1.2373475879185212</v>
      </c>
      <c r="J43" s="32">
        <v>0.1356486972714865</v>
      </c>
      <c r="K43" s="32">
        <v>1.5757981864979032</v>
      </c>
      <c r="L43" s="32">
        <v>2.6709435776033055</v>
      </c>
      <c r="M43" s="32">
        <v>-1.6467336174417786</v>
      </c>
      <c r="N43" s="32">
        <v>-1.6207818354662233</v>
      </c>
      <c r="O43" s="34" t="s">
        <v>69</v>
      </c>
      <c r="P43" s="34" t="s">
        <v>69</v>
      </c>
      <c r="Q43" s="34" t="s">
        <v>69</v>
      </c>
      <c r="R43" s="34" t="s">
        <v>69</v>
      </c>
    </row>
    <row r="44">
      <c r="A44" s="27" t="s">
        <v>78</v>
      </c>
      <c r="B44" s="35">
        <v>77.02058823529411</v>
      </c>
      <c r="C44" s="36">
        <v>24.0</v>
      </c>
      <c r="D44" s="36">
        <v>7.0</v>
      </c>
      <c r="E44" s="37">
        <v>0.38820434950812494</v>
      </c>
      <c r="F44" s="37">
        <v>-0.1028107516759541</v>
      </c>
      <c r="G44" s="37">
        <v>0.6137108877284114</v>
      </c>
      <c r="H44" s="37">
        <v>-0.47761383047460654</v>
      </c>
      <c r="I44" s="37">
        <v>0.3472826773112743</v>
      </c>
      <c r="J44" s="37">
        <v>-0.3530960675525055</v>
      </c>
      <c r="K44" s="37">
        <v>1.2220797784791495</v>
      </c>
      <c r="L44" s="37">
        <v>2.2407560738063776</v>
      </c>
      <c r="M44" s="37">
        <v>-0.06844100653932148</v>
      </c>
      <c r="N44" s="37">
        <v>-1.2564783965874047</v>
      </c>
      <c r="O44" s="34" t="s">
        <v>69</v>
      </c>
      <c r="P44" s="34" t="s">
        <v>69</v>
      </c>
      <c r="Q44" s="34" t="s">
        <v>69</v>
      </c>
      <c r="R44" s="34" t="s">
        <v>69</v>
      </c>
    </row>
    <row r="45">
      <c r="A45" s="27" t="s">
        <v>79</v>
      </c>
      <c r="B45" s="29">
        <v>82.33205882352941</v>
      </c>
      <c r="C45" s="31">
        <v>28.0</v>
      </c>
      <c r="D45" s="31">
        <v>7.0</v>
      </c>
      <c r="E45" s="32">
        <v>1.7168250620759324</v>
      </c>
      <c r="F45" s="32">
        <v>0.47500089205101953</v>
      </c>
      <c r="G45" s="32">
        <v>0.20409583592434485</v>
      </c>
      <c r="H45" s="32">
        <v>0.27009773244645063</v>
      </c>
      <c r="I45" s="32">
        <v>0.4690421766926004</v>
      </c>
      <c r="J45" s="32">
        <v>-0.30232016561950775</v>
      </c>
      <c r="K45" s="32">
        <v>1.5557401601331307</v>
      </c>
      <c r="L45" s="32">
        <v>0.0</v>
      </c>
      <c r="M45" s="32">
        <v>-0.27689201336420577</v>
      </c>
      <c r="N45" s="32">
        <v>-1.584261331049392</v>
      </c>
      <c r="O45" s="34" t="s">
        <v>69</v>
      </c>
      <c r="P45" s="34" t="s">
        <v>69</v>
      </c>
      <c r="Q45" s="34" t="s">
        <v>69</v>
      </c>
      <c r="R45" s="34" t="s">
        <v>69</v>
      </c>
    </row>
    <row r="46">
      <c r="A46" s="27" t="s">
        <v>80</v>
      </c>
      <c r="B46" s="35">
        <v>54.8</v>
      </c>
      <c r="C46" s="36">
        <v>23.0</v>
      </c>
      <c r="D46" s="36">
        <v>6.0</v>
      </c>
      <c r="E46" s="37" t="s">
        <v>69</v>
      </c>
      <c r="F46" s="37" t="s">
        <v>69</v>
      </c>
      <c r="G46" s="37" t="s">
        <v>69</v>
      </c>
      <c r="H46" s="37" t="s">
        <v>69</v>
      </c>
      <c r="I46" s="37" t="s">
        <v>69</v>
      </c>
      <c r="J46" s="37" t="s">
        <v>69</v>
      </c>
      <c r="K46" s="37" t="s">
        <v>69</v>
      </c>
      <c r="L46" s="37" t="s">
        <v>69</v>
      </c>
      <c r="M46" s="37" t="s">
        <v>69</v>
      </c>
      <c r="N46" s="37" t="s">
        <v>69</v>
      </c>
      <c r="O46" s="34">
        <v>0.7601483650085913</v>
      </c>
      <c r="P46" s="34">
        <v>0.23315584226048217</v>
      </c>
      <c r="Q46" s="34">
        <v>1.2443582562085689</v>
      </c>
      <c r="R46" s="34">
        <v>0.2812421615220976</v>
      </c>
    </row>
    <row r="47">
      <c r="A47" s="27" t="s">
        <v>81</v>
      </c>
      <c r="B47" s="29">
        <v>79.18882352941176</v>
      </c>
      <c r="C47" s="31">
        <v>33.0</v>
      </c>
      <c r="D47" s="31">
        <v>6.0</v>
      </c>
      <c r="E47" s="32">
        <v>0.3222377313636004</v>
      </c>
      <c r="F47" s="32">
        <v>1.2360214130515068</v>
      </c>
      <c r="G47" s="32">
        <v>-2.0908471077752133</v>
      </c>
      <c r="H47" s="32">
        <v>-0.07240163988735847</v>
      </c>
      <c r="I47" s="32">
        <v>1.2609146823947732</v>
      </c>
      <c r="J47" s="32">
        <v>0.5198771405722935</v>
      </c>
      <c r="K47" s="32">
        <v>-0.018844806111358896</v>
      </c>
      <c r="L47" s="32">
        <v>1.9297656987628187</v>
      </c>
      <c r="M47" s="32">
        <v>0.6081575587706305</v>
      </c>
      <c r="N47" s="32">
        <v>-1.2522965481914856</v>
      </c>
      <c r="O47" s="34" t="s">
        <v>69</v>
      </c>
      <c r="P47" s="34" t="s">
        <v>69</v>
      </c>
      <c r="Q47" s="34" t="s">
        <v>69</v>
      </c>
      <c r="R47" s="34" t="s">
        <v>69</v>
      </c>
    </row>
    <row r="48">
      <c r="A48" s="27" t="s">
        <v>82</v>
      </c>
      <c r="B48" s="35">
        <v>79.0275</v>
      </c>
      <c r="C48" s="36">
        <v>23.0</v>
      </c>
      <c r="D48" s="36">
        <v>7.0</v>
      </c>
      <c r="E48" s="37">
        <v>0.9208719747331372</v>
      </c>
      <c r="F48" s="37">
        <v>0.5251000985687259</v>
      </c>
      <c r="G48" s="37">
        <v>-0.03028886521236131</v>
      </c>
      <c r="H48" s="37">
        <v>1.158081979328005</v>
      </c>
      <c r="I48" s="37">
        <v>1.2291566930335014</v>
      </c>
      <c r="J48" s="37">
        <v>-0.7865002374699135</v>
      </c>
      <c r="K48" s="37">
        <v>0.8323798497704833</v>
      </c>
      <c r="L48" s="37">
        <v>0.0</v>
      </c>
      <c r="M48" s="37">
        <v>0.5372119663336444</v>
      </c>
      <c r="N48" s="37">
        <v>-2.0528366292492684</v>
      </c>
      <c r="O48" s="34" t="s">
        <v>69</v>
      </c>
      <c r="P48" s="34" t="s">
        <v>69</v>
      </c>
      <c r="Q48" s="34" t="s">
        <v>69</v>
      </c>
      <c r="R48" s="34" t="s">
        <v>69</v>
      </c>
    </row>
    <row r="49">
      <c r="A49" s="27" t="s">
        <v>83</v>
      </c>
      <c r="B49" s="29">
        <v>79.28294117647059</v>
      </c>
      <c r="C49" s="31">
        <v>28.0</v>
      </c>
      <c r="D49" s="31">
        <v>7.0</v>
      </c>
      <c r="E49" s="32">
        <v>1.2857819542158624</v>
      </c>
      <c r="F49" s="32">
        <v>1.4870860200969263</v>
      </c>
      <c r="G49" s="32">
        <v>-1.2681430780963825</v>
      </c>
      <c r="H49" s="32">
        <v>-0.5669688264292484</v>
      </c>
      <c r="I49" s="32">
        <v>1.2180016303470846</v>
      </c>
      <c r="J49" s="32">
        <v>-0.7792667268761306</v>
      </c>
      <c r="K49" s="32">
        <v>0.7856221553606751</v>
      </c>
      <c r="L49" s="32">
        <v>3.013795163110811</v>
      </c>
      <c r="M49" s="32">
        <v>-1.216399366334957</v>
      </c>
      <c r="N49" s="32">
        <v>-1.634897127807346</v>
      </c>
      <c r="O49" s="34" t="s">
        <v>69</v>
      </c>
      <c r="P49" s="34" t="s">
        <v>69</v>
      </c>
      <c r="Q49" s="34" t="s">
        <v>69</v>
      </c>
      <c r="R49" s="34" t="s">
        <v>69</v>
      </c>
    </row>
    <row r="50">
      <c r="A50" s="27" t="s">
        <v>84</v>
      </c>
      <c r="B50" s="35">
        <v>79.87823529411764</v>
      </c>
      <c r="C50" s="36">
        <v>25.0</v>
      </c>
      <c r="D50" s="36">
        <v>6.0</v>
      </c>
      <c r="E50" s="37">
        <v>1.6006041173924268</v>
      </c>
      <c r="F50" s="37">
        <v>-0.07728555442524199</v>
      </c>
      <c r="G50" s="37">
        <v>-0.8835321786469682</v>
      </c>
      <c r="H50" s="37">
        <v>-0.8697114389799956</v>
      </c>
      <c r="I50" s="37">
        <v>0.21279328580786366</v>
      </c>
      <c r="J50" s="37">
        <v>0.523220587877682</v>
      </c>
      <c r="K50" s="37">
        <v>1.905932230841571</v>
      </c>
      <c r="L50" s="37">
        <v>2.496721519983146</v>
      </c>
      <c r="M50" s="37">
        <v>-1.2327109745718408</v>
      </c>
      <c r="N50" s="37">
        <v>-1.4051380279449384</v>
      </c>
      <c r="O50" s="34" t="s">
        <v>69</v>
      </c>
      <c r="P50" s="34" t="s">
        <v>69</v>
      </c>
      <c r="Q50" s="34" t="s">
        <v>69</v>
      </c>
      <c r="R50" s="34" t="s">
        <v>69</v>
      </c>
    </row>
    <row r="51">
      <c r="A51" s="27" t="s">
        <v>85</v>
      </c>
      <c r="B51" s="29">
        <v>54.8</v>
      </c>
      <c r="C51" s="31">
        <v>25.0</v>
      </c>
      <c r="D51" s="31">
        <v>6.0</v>
      </c>
      <c r="E51" s="32" t="s">
        <v>69</v>
      </c>
      <c r="F51" s="32" t="s">
        <v>69</v>
      </c>
      <c r="G51" s="32" t="s">
        <v>69</v>
      </c>
      <c r="H51" s="32" t="s">
        <v>69</v>
      </c>
      <c r="I51" s="32" t="s">
        <v>69</v>
      </c>
      <c r="J51" s="32" t="s">
        <v>69</v>
      </c>
      <c r="K51" s="32" t="s">
        <v>69</v>
      </c>
      <c r="L51" s="32" t="s">
        <v>69</v>
      </c>
      <c r="M51" s="32" t="s">
        <v>69</v>
      </c>
      <c r="N51" s="32" t="s">
        <v>69</v>
      </c>
      <c r="O51" s="34">
        <v>1.6061551187922931</v>
      </c>
      <c r="P51" s="34">
        <v>0.6553646397745425</v>
      </c>
      <c r="Q51" s="34">
        <v>-0.43765228224717595</v>
      </c>
      <c r="R51" s="34">
        <v>0.4378841769386738</v>
      </c>
    </row>
    <row r="52">
      <c r="A52" s="27" t="s">
        <v>86</v>
      </c>
      <c r="B52" s="35">
        <v>80.30014705882353</v>
      </c>
      <c r="C52" s="36">
        <v>30.0</v>
      </c>
      <c r="D52" s="36">
        <v>5.0</v>
      </c>
      <c r="E52" s="37">
        <v>0.05087036722907708</v>
      </c>
      <c r="F52" s="37">
        <v>0.21765597675017914</v>
      </c>
      <c r="G52" s="37">
        <v>-2.1903843341452487</v>
      </c>
      <c r="H52" s="37">
        <v>0.33844982758312</v>
      </c>
      <c r="I52" s="37">
        <v>-0.0929229453901155</v>
      </c>
      <c r="J52" s="37">
        <v>1.1175387144507614</v>
      </c>
      <c r="K52" s="37">
        <v>-0.12149530159988255</v>
      </c>
      <c r="L52" s="37">
        <v>2.2605512585100866</v>
      </c>
      <c r="M52" s="37">
        <v>1.3807172770486846</v>
      </c>
      <c r="N52" s="37">
        <v>-0.8216994369330735</v>
      </c>
      <c r="O52" s="34" t="s">
        <v>69</v>
      </c>
      <c r="P52" s="34" t="s">
        <v>69</v>
      </c>
      <c r="Q52" s="34" t="s">
        <v>69</v>
      </c>
      <c r="R52" s="34" t="s">
        <v>69</v>
      </c>
    </row>
    <row r="53">
      <c r="A53" s="27" t="s">
        <v>87</v>
      </c>
      <c r="B53" s="29">
        <v>81.0460294117647</v>
      </c>
      <c r="C53" s="31">
        <v>25.0</v>
      </c>
      <c r="D53" s="31">
        <v>6.0</v>
      </c>
      <c r="E53" s="32">
        <v>2.5099486570421643</v>
      </c>
      <c r="F53" s="32">
        <v>0.39120781460210163</v>
      </c>
      <c r="G53" s="32">
        <v>-0.973617486486971</v>
      </c>
      <c r="H53" s="32">
        <v>-0.7101293199931432</v>
      </c>
      <c r="I53" s="32">
        <v>0.9679585349646889</v>
      </c>
      <c r="J53" s="32">
        <v>-0.7720702840223116</v>
      </c>
      <c r="K53" s="32">
        <v>2.317086688556868</v>
      </c>
      <c r="L53" s="32">
        <v>0.6517096670026431</v>
      </c>
      <c r="M53" s="32">
        <v>-0.9660301361239518</v>
      </c>
      <c r="N53" s="32">
        <v>-1.4573585658859352</v>
      </c>
      <c r="O53" s="34" t="s">
        <v>69</v>
      </c>
      <c r="P53" s="34" t="s">
        <v>69</v>
      </c>
      <c r="Q53" s="34" t="s">
        <v>69</v>
      </c>
      <c r="R53" s="34" t="s">
        <v>69</v>
      </c>
    </row>
    <row r="54">
      <c r="A54" s="27" t="s">
        <v>88</v>
      </c>
      <c r="B54" s="35">
        <v>82.33470588235295</v>
      </c>
      <c r="C54" s="36">
        <v>26.0</v>
      </c>
      <c r="D54" s="36">
        <v>5.0</v>
      </c>
      <c r="E54" s="37">
        <v>1.629587854767929</v>
      </c>
      <c r="F54" s="37">
        <v>1.7668350668231827</v>
      </c>
      <c r="G54" s="37">
        <v>-0.6539282702603096</v>
      </c>
      <c r="H54" s="37">
        <v>0.06726449050102051</v>
      </c>
      <c r="I54" s="37">
        <v>0.8473937481024244</v>
      </c>
      <c r="J54" s="37">
        <v>-0.6631190660726449</v>
      </c>
      <c r="K54" s="37">
        <v>0.1725849921792552</v>
      </c>
      <c r="L54" s="37">
        <v>1.6490097829074246</v>
      </c>
      <c r="M54" s="37">
        <v>-1.694790225552029</v>
      </c>
      <c r="N54" s="37">
        <v>-1.1863048893040367</v>
      </c>
      <c r="O54" s="34" t="s">
        <v>69</v>
      </c>
      <c r="P54" s="34" t="s">
        <v>69</v>
      </c>
      <c r="Q54" s="34" t="s">
        <v>69</v>
      </c>
      <c r="R54" s="34" t="s">
        <v>69</v>
      </c>
    </row>
    <row r="55">
      <c r="A55" s="27" t="s">
        <v>89</v>
      </c>
      <c r="B55" s="29">
        <v>46.1</v>
      </c>
      <c r="C55" s="31">
        <v>21.0</v>
      </c>
      <c r="D55" s="31">
        <v>7.0</v>
      </c>
      <c r="E55" s="32" t="s">
        <v>69</v>
      </c>
      <c r="F55" s="32" t="s">
        <v>69</v>
      </c>
      <c r="G55" s="32" t="s">
        <v>69</v>
      </c>
      <c r="H55" s="32" t="s">
        <v>69</v>
      </c>
      <c r="I55" s="32" t="s">
        <v>69</v>
      </c>
      <c r="J55" s="32" t="s">
        <v>69</v>
      </c>
      <c r="K55" s="32" t="s">
        <v>69</v>
      </c>
      <c r="L55" s="32" t="s">
        <v>69</v>
      </c>
      <c r="M55" s="32" t="s">
        <v>69</v>
      </c>
      <c r="N55" s="32" t="s">
        <v>69</v>
      </c>
      <c r="O55" s="34">
        <v>-0.21139654562722587</v>
      </c>
      <c r="P55" s="34">
        <v>0.2331558422604867</v>
      </c>
      <c r="Q55" s="34">
        <v>0.9961927669282096</v>
      </c>
      <c r="R55" s="34">
        <v>0.5225375967623672</v>
      </c>
    </row>
    <row r="56">
      <c r="A56" s="27" t="s">
        <v>90</v>
      </c>
      <c r="B56" s="35">
        <v>46.6</v>
      </c>
      <c r="C56" s="36">
        <v>24.0</v>
      </c>
      <c r="D56" s="36">
        <v>7.0</v>
      </c>
      <c r="E56" s="37" t="s">
        <v>69</v>
      </c>
      <c r="F56" s="37" t="s">
        <v>69</v>
      </c>
      <c r="G56" s="37" t="s">
        <v>69</v>
      </c>
      <c r="H56" s="37" t="s">
        <v>69</v>
      </c>
      <c r="I56" s="37" t="s">
        <v>69</v>
      </c>
      <c r="J56" s="37" t="s">
        <v>69</v>
      </c>
      <c r="K56" s="37" t="s">
        <v>69</v>
      </c>
      <c r="L56" s="37" t="s">
        <v>69</v>
      </c>
      <c r="M56" s="37" t="s">
        <v>69</v>
      </c>
      <c r="N56" s="37" t="s">
        <v>69</v>
      </c>
      <c r="O56" s="34">
        <v>0.0326766510237973</v>
      </c>
      <c r="P56" s="34">
        <v>-0.6403796008720314</v>
      </c>
      <c r="Q56" s="34">
        <v>1.1340624831950894</v>
      </c>
      <c r="R56" s="34">
        <v>0.9031903501985471</v>
      </c>
    </row>
    <row r="57">
      <c r="A57" s="27" t="s">
        <v>91</v>
      </c>
      <c r="B57" s="29">
        <v>83.24058823529411</v>
      </c>
      <c r="C57" s="31">
        <v>18.0</v>
      </c>
      <c r="D57" s="31">
        <v>6.0</v>
      </c>
      <c r="E57" s="32">
        <v>2.028220911182664</v>
      </c>
      <c r="F57" s="32">
        <v>0.5923851262418822</v>
      </c>
      <c r="G57" s="32">
        <v>-1.9891405901405526</v>
      </c>
      <c r="H57" s="32">
        <v>-0.5246662732284052</v>
      </c>
      <c r="I57" s="32">
        <v>1.3857490154696466</v>
      </c>
      <c r="J57" s="32">
        <v>-0.7842820576034868</v>
      </c>
      <c r="K57" s="32">
        <v>2.1994274781835963</v>
      </c>
      <c r="L57" s="32">
        <v>0.0</v>
      </c>
      <c r="M57" s="32">
        <v>-0.027162763809926015</v>
      </c>
      <c r="N57" s="32">
        <v>-1.483382848251718</v>
      </c>
      <c r="O57" s="34" t="s">
        <v>69</v>
      </c>
      <c r="P57" s="34" t="s">
        <v>69</v>
      </c>
      <c r="Q57" s="34" t="s">
        <v>69</v>
      </c>
      <c r="R57" s="34" t="s">
        <v>69</v>
      </c>
    </row>
    <row r="58">
      <c r="A58" s="27" t="s">
        <v>92</v>
      </c>
      <c r="B58" s="35">
        <v>81.89676470588235</v>
      </c>
      <c r="C58" s="36">
        <v>28.0</v>
      </c>
      <c r="D58" s="36">
        <v>6.0</v>
      </c>
      <c r="E58" s="37">
        <v>0.5555698976633721</v>
      </c>
      <c r="F58" s="37">
        <v>2.4593009324280692</v>
      </c>
      <c r="G58" s="37">
        <v>1.5656189716872602</v>
      </c>
      <c r="H58" s="37">
        <v>-1.578565823233193</v>
      </c>
      <c r="I58" s="37">
        <v>1.7563905793269101</v>
      </c>
      <c r="J58" s="37">
        <v>-0.18965002924607893</v>
      </c>
      <c r="K58" s="37">
        <v>0.07419099739658877</v>
      </c>
      <c r="L58" s="37">
        <v>0.0</v>
      </c>
      <c r="M58" s="37">
        <v>-1.944528697057411</v>
      </c>
      <c r="N58" s="37">
        <v>-1.316551480377986</v>
      </c>
      <c r="O58" s="34" t="s">
        <v>69</v>
      </c>
      <c r="P58" s="34" t="s">
        <v>69</v>
      </c>
      <c r="Q58" s="34" t="s">
        <v>69</v>
      </c>
      <c r="R58" s="34" t="s">
        <v>69</v>
      </c>
    </row>
    <row r="59">
      <c r="A59" s="27" t="s">
        <v>93</v>
      </c>
      <c r="B59" s="29">
        <v>83.42294117647059</v>
      </c>
      <c r="C59" s="31">
        <v>27.0</v>
      </c>
      <c r="D59" s="31">
        <v>6.0</v>
      </c>
      <c r="E59" s="32">
        <v>0.5280253208416691</v>
      </c>
      <c r="F59" s="32">
        <v>0.13889273019370857</v>
      </c>
      <c r="G59" s="32">
        <v>-1.213032992504888</v>
      </c>
      <c r="H59" s="32">
        <v>0.2147709784043543</v>
      </c>
      <c r="I59" s="32">
        <v>0.8816826448729407</v>
      </c>
      <c r="J59" s="32">
        <v>-0.7582287813787105</v>
      </c>
      <c r="K59" s="32">
        <v>0.8219978726991892</v>
      </c>
      <c r="L59" s="32">
        <v>1.1070163083752154</v>
      </c>
      <c r="M59" s="32">
        <v>1.411114194490463</v>
      </c>
      <c r="N59" s="32">
        <v>-1.7891139623259658</v>
      </c>
      <c r="O59" s="34" t="s">
        <v>69</v>
      </c>
      <c r="P59" s="34" t="s">
        <v>69</v>
      </c>
      <c r="Q59" s="34" t="s">
        <v>69</v>
      </c>
      <c r="R59" s="34" t="s">
        <v>69</v>
      </c>
    </row>
    <row r="60">
      <c r="A60" s="27" t="s">
        <v>94</v>
      </c>
      <c r="B60" s="35">
        <v>82.81485294117647</v>
      </c>
      <c r="C60" s="36">
        <v>29.0</v>
      </c>
      <c r="D60" s="36">
        <v>7.0</v>
      </c>
      <c r="E60" s="37">
        <v>0.8781978602157154</v>
      </c>
      <c r="F60" s="37">
        <v>0.7468764577187642</v>
      </c>
      <c r="G60" s="37">
        <v>-0.5676275607433448</v>
      </c>
      <c r="H60" s="37">
        <v>0.17167530988450802</v>
      </c>
      <c r="I60" s="37">
        <v>0.9540346298527145</v>
      </c>
      <c r="J60" s="37">
        <v>-0.7817502624695462</v>
      </c>
      <c r="K60" s="37">
        <v>0.2862900008699688</v>
      </c>
      <c r="L60" s="37">
        <v>0.0</v>
      </c>
      <c r="M60" s="37">
        <v>0.06710456817586784</v>
      </c>
      <c r="N60" s="37">
        <v>-0.4430434642033738</v>
      </c>
      <c r="O60" s="34" t="s">
        <v>69</v>
      </c>
      <c r="P60" s="34" t="s">
        <v>69</v>
      </c>
      <c r="Q60" s="34" t="s">
        <v>69</v>
      </c>
      <c r="R60" s="34" t="s">
        <v>69</v>
      </c>
    </row>
    <row r="61">
      <c r="A61" s="27" t="s">
        <v>95</v>
      </c>
      <c r="B61" s="29">
        <v>47.4</v>
      </c>
      <c r="C61" s="31">
        <v>28.0</v>
      </c>
      <c r="D61" s="31">
        <v>7.0</v>
      </c>
      <c r="E61" s="32" t="s">
        <v>69</v>
      </c>
      <c r="F61" s="32" t="s">
        <v>69</v>
      </c>
      <c r="G61" s="32" t="s">
        <v>69</v>
      </c>
      <c r="H61" s="32" t="s">
        <v>69</v>
      </c>
      <c r="I61" s="32" t="s">
        <v>69</v>
      </c>
      <c r="J61" s="32" t="s">
        <v>69</v>
      </c>
      <c r="K61" s="32" t="s">
        <v>69</v>
      </c>
      <c r="L61" s="32" t="s">
        <v>69</v>
      </c>
      <c r="M61" s="32" t="s">
        <v>69</v>
      </c>
      <c r="N61" s="32" t="s">
        <v>69</v>
      </c>
      <c r="O61" s="34">
        <v>-0.09368159349556622</v>
      </c>
      <c r="P61" s="34">
        <v>0.8009538802966244</v>
      </c>
      <c r="Q61" s="34">
        <v>0.22412235583376178</v>
      </c>
      <c r="R61" s="34">
        <v>0.30984643260104977</v>
      </c>
    </row>
    <row r="62">
      <c r="A62" s="27" t="s">
        <v>96</v>
      </c>
      <c r="B62" s="35">
        <v>77.85720588235294</v>
      </c>
      <c r="C62" s="36">
        <v>25.0</v>
      </c>
      <c r="D62" s="36">
        <v>6.0</v>
      </c>
      <c r="E62" s="37">
        <v>0.6979321777366981</v>
      </c>
      <c r="F62" s="37">
        <v>0.4396579448054329</v>
      </c>
      <c r="G62" s="37">
        <v>1.603887945303541</v>
      </c>
      <c r="H62" s="37">
        <v>-1.1923924247377353</v>
      </c>
      <c r="I62" s="37">
        <v>1.0141356976560283</v>
      </c>
      <c r="J62" s="37">
        <v>-0.30425665824902687</v>
      </c>
      <c r="K62" s="37">
        <v>0.2082438698224738</v>
      </c>
      <c r="L62" s="37">
        <v>1.3897783037728721</v>
      </c>
      <c r="M62" s="37">
        <v>-1.2032944505257246</v>
      </c>
      <c r="N62" s="37">
        <v>-1.6374541879791038</v>
      </c>
      <c r="O62" s="34" t="s">
        <v>69</v>
      </c>
      <c r="P62" s="34" t="s">
        <v>69</v>
      </c>
      <c r="Q62" s="34" t="s">
        <v>69</v>
      </c>
      <c r="R62" s="34" t="s">
        <v>69</v>
      </c>
    </row>
    <row r="63">
      <c r="A63" s="27" t="s">
        <v>97</v>
      </c>
      <c r="B63" s="29">
        <v>78.50117647058823</v>
      </c>
      <c r="C63" s="31">
        <v>29.0</v>
      </c>
      <c r="D63" s="31">
        <v>7.0</v>
      </c>
      <c r="E63" s="32">
        <v>0.42255318787612084</v>
      </c>
      <c r="F63" s="32">
        <v>-0.382327581155261</v>
      </c>
      <c r="G63" s="32">
        <v>-0.899327598030639</v>
      </c>
      <c r="H63" s="32">
        <v>1.966003915462466</v>
      </c>
      <c r="I63" s="32">
        <v>-0.38652581239682315</v>
      </c>
      <c r="J63" s="32">
        <v>-0.4367978731247028</v>
      </c>
      <c r="K63" s="32">
        <v>0.8791425678838223</v>
      </c>
      <c r="L63" s="32">
        <v>1.114794290235542</v>
      </c>
      <c r="M63" s="32">
        <v>0.09463074141162778</v>
      </c>
      <c r="N63" s="32">
        <v>-1.4916284232657895</v>
      </c>
      <c r="O63" s="34" t="s">
        <v>69</v>
      </c>
      <c r="P63" s="34" t="s">
        <v>69</v>
      </c>
      <c r="Q63" s="34" t="s">
        <v>69</v>
      </c>
      <c r="R63" s="34" t="s">
        <v>69</v>
      </c>
    </row>
    <row r="64">
      <c r="A64" s="27" t="s">
        <v>98</v>
      </c>
      <c r="B64" s="35">
        <v>41.9</v>
      </c>
      <c r="C64" s="36">
        <v>34.0</v>
      </c>
      <c r="D64" s="36">
        <v>7.0</v>
      </c>
      <c r="E64" s="37" t="s">
        <v>69</v>
      </c>
      <c r="F64" s="37" t="s">
        <v>69</v>
      </c>
      <c r="G64" s="37" t="s">
        <v>69</v>
      </c>
      <c r="H64" s="37" t="s">
        <v>69</v>
      </c>
      <c r="I64" s="37" t="s">
        <v>69</v>
      </c>
      <c r="J64" s="37" t="s">
        <v>69</v>
      </c>
      <c r="K64" s="37" t="s">
        <v>69</v>
      </c>
      <c r="L64" s="37" t="s">
        <v>69</v>
      </c>
      <c r="M64" s="37" t="s">
        <v>69</v>
      </c>
      <c r="N64" s="37" t="s">
        <v>69</v>
      </c>
      <c r="O64" s="34">
        <v>-0.1355923895428083</v>
      </c>
      <c r="P64" s="34">
        <v>0.3350683106259544</v>
      </c>
      <c r="Q64" s="34">
        <v>0.4447139018607512</v>
      </c>
      <c r="R64" s="34">
        <v>0.21808619666460916</v>
      </c>
    </row>
    <row r="65">
      <c r="A65" s="27" t="s">
        <v>99</v>
      </c>
      <c r="B65" s="29">
        <v>82.73867647058823</v>
      </c>
      <c r="C65" s="31">
        <v>29.0</v>
      </c>
      <c r="D65" s="31">
        <v>7.0</v>
      </c>
      <c r="E65" s="32">
        <v>2.6539652851117244</v>
      </c>
      <c r="F65" s="32">
        <v>0.28504492901745965</v>
      </c>
      <c r="G65" s="32">
        <v>0.7086984258263843</v>
      </c>
      <c r="H65" s="32">
        <v>-1.9358508845995495</v>
      </c>
      <c r="I65" s="32">
        <v>1.1806951295990673</v>
      </c>
      <c r="J65" s="32">
        <v>-0.7857286228022013</v>
      </c>
      <c r="K65" s="32">
        <v>2.1385479056260506</v>
      </c>
      <c r="L65" s="32">
        <v>0.0</v>
      </c>
      <c r="M65" s="32">
        <v>-1.5472203499628934</v>
      </c>
      <c r="N65" s="32">
        <v>-1.9475761484673946</v>
      </c>
      <c r="O65" s="34" t="s">
        <v>69</v>
      </c>
      <c r="P65" s="34" t="s">
        <v>69</v>
      </c>
      <c r="Q65" s="34" t="s">
        <v>69</v>
      </c>
      <c r="R65" s="34" t="s">
        <v>69</v>
      </c>
    </row>
    <row r="66">
      <c r="A66" s="27" t="s">
        <v>100</v>
      </c>
      <c r="B66" s="35">
        <v>79.79455882352941</v>
      </c>
      <c r="C66" s="36">
        <v>16.0</v>
      </c>
      <c r="D66" s="36">
        <v>6.0</v>
      </c>
      <c r="E66" s="37">
        <v>0.2767483422340359</v>
      </c>
      <c r="F66" s="37">
        <v>-0.24087370166307</v>
      </c>
      <c r="G66" s="37">
        <v>2.270618916093653</v>
      </c>
      <c r="H66" s="37">
        <v>-0.5652583320348665</v>
      </c>
      <c r="I66" s="37">
        <v>-1.081217384896489</v>
      </c>
      <c r="J66" s="37">
        <v>1.7146193457856778</v>
      </c>
      <c r="K66" s="37">
        <v>-0.6060959448356815</v>
      </c>
      <c r="L66" s="37">
        <v>1.4681762383450365</v>
      </c>
      <c r="M66" s="37">
        <v>-1.6085903308042966</v>
      </c>
      <c r="N66" s="37">
        <v>-0.8824550762121496</v>
      </c>
      <c r="O66" s="34" t="s">
        <v>69</v>
      </c>
      <c r="P66" s="34" t="s">
        <v>69</v>
      </c>
      <c r="Q66" s="34" t="s">
        <v>69</v>
      </c>
      <c r="R66" s="34" t="s">
        <v>69</v>
      </c>
    </row>
    <row r="67">
      <c r="A67" s="27" t="s">
        <v>101</v>
      </c>
      <c r="B67" s="29">
        <v>82.95632352941176</v>
      </c>
      <c r="C67" s="31">
        <v>33.0</v>
      </c>
      <c r="D67" s="31">
        <v>6.0</v>
      </c>
      <c r="E67" s="32">
        <v>0.9126804958265988</v>
      </c>
      <c r="F67" s="32">
        <v>0.9488824124296555</v>
      </c>
      <c r="G67" s="32">
        <v>-2.7066464158871057</v>
      </c>
      <c r="H67" s="32">
        <v>-1.6045745768436361</v>
      </c>
      <c r="I67" s="32">
        <v>1.7083667505372124</v>
      </c>
      <c r="J67" s="32">
        <v>1.028383449786687</v>
      </c>
      <c r="K67" s="32">
        <v>1.0838604308718893</v>
      </c>
      <c r="L67" s="32">
        <v>1.5362843976222802</v>
      </c>
      <c r="M67" s="32">
        <v>-0.9783668754338706</v>
      </c>
      <c r="N67" s="32">
        <v>-1.189065233986643</v>
      </c>
      <c r="O67" s="34" t="s">
        <v>69</v>
      </c>
      <c r="P67" s="34" t="s">
        <v>69</v>
      </c>
      <c r="Q67" s="34" t="s">
        <v>69</v>
      </c>
      <c r="R67" s="34" t="s">
        <v>69</v>
      </c>
    </row>
    <row r="68">
      <c r="A68" s="27" t="s">
        <v>102</v>
      </c>
      <c r="B68" s="35">
        <v>82.33720588235295</v>
      </c>
      <c r="C68" s="36">
        <v>34.0</v>
      </c>
      <c r="D68" s="36">
        <v>7.0</v>
      </c>
      <c r="E68" s="37">
        <v>0.9697471648093171</v>
      </c>
      <c r="F68" s="37">
        <v>-0.13963459524438693</v>
      </c>
      <c r="G68" s="37">
        <v>1.2006727837704267</v>
      </c>
      <c r="H68" s="37">
        <v>-1.1418113630700384</v>
      </c>
      <c r="I68" s="37">
        <v>-0.10545418691424131</v>
      </c>
      <c r="J68" s="37">
        <v>0.4857721881154842</v>
      </c>
      <c r="K68" s="37">
        <v>0.5359470315153151</v>
      </c>
      <c r="L68" s="37">
        <v>1.8102105585575403</v>
      </c>
      <c r="M68" s="37">
        <v>-1.8887640608364364</v>
      </c>
      <c r="N68" s="37">
        <v>-0.9943603671995225</v>
      </c>
      <c r="O68" s="34" t="s">
        <v>69</v>
      </c>
      <c r="P68" s="34" t="s">
        <v>69</v>
      </c>
      <c r="Q68" s="34" t="s">
        <v>69</v>
      </c>
      <c r="R68" s="34" t="s">
        <v>69</v>
      </c>
    </row>
    <row r="69">
      <c r="A69" s="27" t="s">
        <v>103</v>
      </c>
      <c r="B69" s="29">
        <v>77.2939705882353</v>
      </c>
      <c r="C69" s="31">
        <v>29.0</v>
      </c>
      <c r="D69" s="31">
        <v>6.0</v>
      </c>
      <c r="E69" s="32">
        <v>1.9939543577643664</v>
      </c>
      <c r="F69" s="32">
        <v>-0.5516712866452239</v>
      </c>
      <c r="G69" s="32">
        <v>1.842303565347325</v>
      </c>
      <c r="H69" s="32">
        <v>-0.5771353916725699</v>
      </c>
      <c r="I69" s="32">
        <v>0.4768251813756792</v>
      </c>
      <c r="J69" s="32">
        <v>-0.727941020871087</v>
      </c>
      <c r="K69" s="32">
        <v>1.249522206564463</v>
      </c>
      <c r="L69" s="32">
        <v>0.0</v>
      </c>
      <c r="M69" s="32">
        <v>-1.1790162821751937</v>
      </c>
      <c r="N69" s="32">
        <v>-1.8187730417708614</v>
      </c>
      <c r="O69" s="34" t="s">
        <v>69</v>
      </c>
      <c r="P69" s="34" t="s">
        <v>69</v>
      </c>
      <c r="Q69" s="34" t="s">
        <v>69</v>
      </c>
      <c r="R69" s="34" t="s">
        <v>69</v>
      </c>
    </row>
    <row r="70">
      <c r="A70" s="27" t="s">
        <v>104</v>
      </c>
      <c r="B70" s="35">
        <v>77.0914705882353</v>
      </c>
      <c r="C70" s="36">
        <v>21.0</v>
      </c>
      <c r="D70" s="36">
        <v>7.0</v>
      </c>
      <c r="E70" s="37">
        <v>0.41097741030345525</v>
      </c>
      <c r="F70" s="37">
        <v>1.7921178044801256</v>
      </c>
      <c r="G70" s="37">
        <v>0.6157003148921241</v>
      </c>
      <c r="H70" s="37">
        <v>-1.0662490152135724</v>
      </c>
      <c r="I70" s="37">
        <v>0.7597567797852631</v>
      </c>
      <c r="J70" s="37">
        <v>0.39165913478127234</v>
      </c>
      <c r="K70" s="37">
        <v>-0.6085879781111928</v>
      </c>
      <c r="L70" s="37">
        <v>2.0326860805405853</v>
      </c>
      <c r="M70" s="37">
        <v>-2.3535235554563236</v>
      </c>
      <c r="N70" s="37">
        <v>-1.2713142557659254</v>
      </c>
      <c r="O70" s="34" t="s">
        <v>69</v>
      </c>
      <c r="P70" s="34" t="s">
        <v>69</v>
      </c>
      <c r="Q70" s="34" t="s">
        <v>69</v>
      </c>
      <c r="R70" s="34" t="s">
        <v>69</v>
      </c>
    </row>
    <row r="71">
      <c r="A71" s="27" t="s">
        <v>105</v>
      </c>
      <c r="B71" s="29">
        <v>81.39558823529411</v>
      </c>
      <c r="C71" s="31">
        <v>33.0</v>
      </c>
      <c r="D71" s="31">
        <v>8.0</v>
      </c>
      <c r="E71" s="32">
        <v>0.015310595714807087</v>
      </c>
      <c r="F71" s="32">
        <v>0.05668924336959405</v>
      </c>
      <c r="G71" s="32">
        <v>-0.018608861082816</v>
      </c>
      <c r="H71" s="32">
        <v>0.6591981505687489</v>
      </c>
      <c r="I71" s="32">
        <v>0.2899142962099241</v>
      </c>
      <c r="J71" s="32">
        <v>-0.7680417757410438</v>
      </c>
      <c r="K71" s="32">
        <v>1.0377120286776993</v>
      </c>
      <c r="L71" s="32">
        <v>0.0</v>
      </c>
      <c r="M71" s="32">
        <v>-1.3822513118938458</v>
      </c>
      <c r="N71" s="32">
        <v>0.7689922068971646</v>
      </c>
      <c r="O71" s="34" t="s">
        <v>69</v>
      </c>
      <c r="P71" s="34" t="s">
        <v>69</v>
      </c>
      <c r="Q71" s="34" t="s">
        <v>69</v>
      </c>
      <c r="R71" s="34" t="s">
        <v>69</v>
      </c>
    </row>
    <row r="72">
      <c r="A72" s="27" t="s">
        <v>106</v>
      </c>
      <c r="B72" s="35">
        <v>81.635</v>
      </c>
      <c r="C72" s="36">
        <v>34.0</v>
      </c>
      <c r="D72" s="36">
        <v>7.0</v>
      </c>
      <c r="E72" s="37">
        <v>2.3683937845255656</v>
      </c>
      <c r="F72" s="37">
        <v>0.027267201010578314</v>
      </c>
      <c r="G72" s="37">
        <v>-0.8408580265641024</v>
      </c>
      <c r="H72" s="37">
        <v>-1.1462235864140469</v>
      </c>
      <c r="I72" s="37">
        <v>0.7421069912788509</v>
      </c>
      <c r="J72" s="37">
        <v>-0.7403936195364321</v>
      </c>
      <c r="K72" s="37">
        <v>3.011858018163013</v>
      </c>
      <c r="L72" s="37">
        <v>0.0</v>
      </c>
      <c r="M72" s="37">
        <v>-1.1348641234539352</v>
      </c>
      <c r="N72" s="37">
        <v>-1.695315182853561</v>
      </c>
      <c r="O72" s="34" t="s">
        <v>69</v>
      </c>
      <c r="P72" s="34" t="s">
        <v>69</v>
      </c>
      <c r="Q72" s="34" t="s">
        <v>69</v>
      </c>
      <c r="R72" s="34" t="s">
        <v>69</v>
      </c>
    </row>
    <row r="73">
      <c r="A73" s="27" t="s">
        <v>107</v>
      </c>
      <c r="B73" s="29">
        <v>75.20985294117648</v>
      </c>
      <c r="C73" s="31">
        <v>23.0</v>
      </c>
      <c r="D73" s="31">
        <v>6.0</v>
      </c>
      <c r="E73" s="32">
        <v>-1.299547573479034</v>
      </c>
      <c r="F73" s="32">
        <v>0.8670035567504395</v>
      </c>
      <c r="G73" s="32">
        <v>-0.5263697237704624</v>
      </c>
      <c r="H73" s="32">
        <v>1.2704012554685957</v>
      </c>
      <c r="I73" s="32">
        <v>0.45245858220610224</v>
      </c>
      <c r="J73" s="32">
        <v>-0.33427872387702906</v>
      </c>
      <c r="K73" s="32">
        <v>-0.8188866107440639</v>
      </c>
      <c r="L73" s="32">
        <v>0.0</v>
      </c>
      <c r="M73" s="32">
        <v>-0.5429621417736178</v>
      </c>
      <c r="N73" s="32">
        <v>1.5235569836326956</v>
      </c>
      <c r="O73" s="34" t="s">
        <v>69</v>
      </c>
      <c r="P73" s="34" t="s">
        <v>69</v>
      </c>
      <c r="Q73" s="34" t="s">
        <v>69</v>
      </c>
      <c r="R73" s="34" t="s">
        <v>69</v>
      </c>
    </row>
    <row r="74">
      <c r="A74" s="27" t="s">
        <v>108</v>
      </c>
      <c r="B74" s="35">
        <v>76.97529411764705</v>
      </c>
      <c r="C74" s="36">
        <v>21.0</v>
      </c>
      <c r="D74" s="36">
        <v>7.0</v>
      </c>
      <c r="E74" s="37">
        <v>1.1207413185066115</v>
      </c>
      <c r="F74" s="37">
        <v>0.46819360193247955</v>
      </c>
      <c r="G74" s="37">
        <v>0.2203725995778473</v>
      </c>
      <c r="H74" s="37">
        <v>-1.3073257822118407</v>
      </c>
      <c r="I74" s="37">
        <v>0.028758670205442535</v>
      </c>
      <c r="J74" s="37">
        <v>-0.720758883302037</v>
      </c>
      <c r="K74" s="37">
        <v>0.9816901217125126</v>
      </c>
      <c r="L74" s="37">
        <v>0.0</v>
      </c>
      <c r="M74" s="37">
        <v>0.8685252138184595</v>
      </c>
      <c r="N74" s="37">
        <v>-1.0963679647881355</v>
      </c>
      <c r="O74" s="34" t="s">
        <v>69</v>
      </c>
      <c r="P74" s="34" t="s">
        <v>69</v>
      </c>
      <c r="Q74" s="34" t="s">
        <v>69</v>
      </c>
      <c r="R74" s="34" t="s">
        <v>69</v>
      </c>
    </row>
    <row r="75">
      <c r="A75" s="27" t="s">
        <v>109</v>
      </c>
      <c r="B75" s="29">
        <v>79.30147058823529</v>
      </c>
      <c r="C75" s="31">
        <v>34.0</v>
      </c>
      <c r="D75" s="31">
        <v>7.0</v>
      </c>
      <c r="E75" s="32">
        <v>1.5732672237604883</v>
      </c>
      <c r="F75" s="32">
        <v>0.8420844849556299</v>
      </c>
      <c r="G75" s="32">
        <v>-0.7887746250936967</v>
      </c>
      <c r="H75" s="32">
        <v>-1.3399089077999617</v>
      </c>
      <c r="I75" s="32">
        <v>0.8229233587526049</v>
      </c>
      <c r="J75" s="32">
        <v>1.1335095146264762</v>
      </c>
      <c r="K75" s="32">
        <v>1.0297671825289851</v>
      </c>
      <c r="L75" s="32">
        <v>1.0396094842902424</v>
      </c>
      <c r="M75" s="32">
        <v>-2.2278808287354144</v>
      </c>
      <c r="N75" s="32">
        <v>-1.5330582775011972</v>
      </c>
      <c r="O75" s="34" t="s">
        <v>69</v>
      </c>
      <c r="P75" s="34" t="s">
        <v>69</v>
      </c>
      <c r="Q75" s="34" t="s">
        <v>69</v>
      </c>
      <c r="R75" s="34" t="s">
        <v>69</v>
      </c>
    </row>
    <row r="76">
      <c r="A76" s="27" t="s">
        <v>110</v>
      </c>
      <c r="B76" s="35">
        <v>70.29411764705883</v>
      </c>
      <c r="C76" s="36">
        <v>28.0</v>
      </c>
      <c r="D76" s="36">
        <v>6.0</v>
      </c>
      <c r="E76" s="37">
        <v>0.5714861100199897</v>
      </c>
      <c r="F76" s="37">
        <v>1.4757672469718641</v>
      </c>
      <c r="G76" s="37">
        <v>1.6046440982200678</v>
      </c>
      <c r="H76" s="37">
        <v>-1.891444694877929</v>
      </c>
      <c r="I76" s="37">
        <v>1.5250811185042281</v>
      </c>
      <c r="J76" s="37">
        <v>0.582436421652921</v>
      </c>
      <c r="K76" s="37">
        <v>-0.33144096188045247</v>
      </c>
      <c r="L76" s="37">
        <v>0.0</v>
      </c>
      <c r="M76" s="37">
        <v>-1.8682541030037951</v>
      </c>
      <c r="N76" s="37">
        <v>-1.1440899500284005</v>
      </c>
      <c r="O76" s="34" t="s">
        <v>69</v>
      </c>
      <c r="P76" s="34" t="s">
        <v>69</v>
      </c>
      <c r="Q76" s="34" t="s">
        <v>69</v>
      </c>
      <c r="R76" s="34" t="s">
        <v>69</v>
      </c>
    </row>
    <row r="77">
      <c r="A77" s="27" t="s">
        <v>111</v>
      </c>
      <c r="B77" s="29">
        <v>58.5</v>
      </c>
      <c r="C77" s="31">
        <v>30.0</v>
      </c>
      <c r="D77" s="31">
        <v>5.0</v>
      </c>
      <c r="E77" s="32" t="s">
        <v>69</v>
      </c>
      <c r="F77" s="32" t="s">
        <v>69</v>
      </c>
      <c r="G77" s="32" t="s">
        <v>69</v>
      </c>
      <c r="H77" s="32" t="s">
        <v>69</v>
      </c>
      <c r="I77" s="32" t="s">
        <v>69</v>
      </c>
      <c r="J77" s="32" t="s">
        <v>69</v>
      </c>
      <c r="K77" s="32" t="s">
        <v>69</v>
      </c>
      <c r="L77" s="32" t="s">
        <v>69</v>
      </c>
      <c r="M77" s="32" t="s">
        <v>69</v>
      </c>
      <c r="N77" s="32" t="s">
        <v>69</v>
      </c>
      <c r="O77" s="34">
        <v>1.2331986708569582</v>
      </c>
      <c r="P77" s="34">
        <v>0.4806575511480362</v>
      </c>
      <c r="Q77" s="34">
        <v>-1.2097226933416236</v>
      </c>
      <c r="R77" s="34">
        <v>0.0</v>
      </c>
    </row>
    <row r="78">
      <c r="A78" s="27" t="s">
        <v>112</v>
      </c>
      <c r="B78" s="35">
        <v>81.88176470588235</v>
      </c>
      <c r="C78" s="36">
        <v>26.0</v>
      </c>
      <c r="D78" s="36">
        <v>5.0</v>
      </c>
      <c r="E78" s="37">
        <v>2.2559519988824945</v>
      </c>
      <c r="F78" s="37">
        <v>1.3582419667982881</v>
      </c>
      <c r="G78" s="37">
        <v>-0.9593069390004249</v>
      </c>
      <c r="H78" s="37">
        <v>-1.743230688632272</v>
      </c>
      <c r="I78" s="37">
        <v>0.9454866990603159</v>
      </c>
      <c r="J78" s="37">
        <v>0.267625086946641</v>
      </c>
      <c r="K78" s="37">
        <v>2.2814810282773</v>
      </c>
      <c r="L78" s="37">
        <v>0.0</v>
      </c>
      <c r="M78" s="37">
        <v>-2.058417889136541</v>
      </c>
      <c r="N78" s="37">
        <v>-1.877084702347378</v>
      </c>
      <c r="O78" s="34" t="s">
        <v>69</v>
      </c>
      <c r="P78" s="34" t="s">
        <v>69</v>
      </c>
      <c r="Q78" s="34" t="s">
        <v>69</v>
      </c>
      <c r="R78" s="34" t="s">
        <v>69</v>
      </c>
    </row>
    <row r="79">
      <c r="A79" s="27" t="s">
        <v>113</v>
      </c>
      <c r="B79" s="29">
        <v>49.4</v>
      </c>
      <c r="C79" s="31">
        <v>29.0</v>
      </c>
      <c r="D79" s="31">
        <v>6.0</v>
      </c>
      <c r="E79" s="32" t="s">
        <v>69</v>
      </c>
      <c r="F79" s="32" t="s">
        <v>69</v>
      </c>
      <c r="G79" s="32" t="s">
        <v>69</v>
      </c>
      <c r="H79" s="32" t="s">
        <v>69</v>
      </c>
      <c r="I79" s="32" t="s">
        <v>69</v>
      </c>
      <c r="J79" s="32" t="s">
        <v>69</v>
      </c>
      <c r="K79" s="32" t="s">
        <v>69</v>
      </c>
      <c r="L79" s="32" t="s">
        <v>69</v>
      </c>
      <c r="M79" s="32" t="s">
        <v>69</v>
      </c>
      <c r="N79" s="32" t="s">
        <v>69</v>
      </c>
      <c r="O79" s="34">
        <v>0.2435902502872891</v>
      </c>
      <c r="P79" s="34">
        <v>0.24771476631269895</v>
      </c>
      <c r="Q79" s="34">
        <v>-0.18948679296681664</v>
      </c>
      <c r="R79" s="34">
        <v>0.0</v>
      </c>
    </row>
    <row r="80">
      <c r="A80" s="27" t="s">
        <v>114</v>
      </c>
      <c r="B80" s="35">
        <v>28.9</v>
      </c>
      <c r="C80" s="36">
        <v>25.0</v>
      </c>
      <c r="D80" s="36">
        <v>6.0</v>
      </c>
      <c r="E80" s="37" t="s">
        <v>69</v>
      </c>
      <c r="F80" s="37" t="s">
        <v>69</v>
      </c>
      <c r="G80" s="37" t="s">
        <v>69</v>
      </c>
      <c r="H80" s="37" t="s">
        <v>69</v>
      </c>
      <c r="I80" s="37" t="s">
        <v>69</v>
      </c>
      <c r="J80" s="37" t="s">
        <v>69</v>
      </c>
      <c r="K80" s="37" t="s">
        <v>69</v>
      </c>
      <c r="L80" s="37" t="s">
        <v>69</v>
      </c>
      <c r="M80" s="37" t="s">
        <v>69</v>
      </c>
      <c r="N80" s="37" t="s">
        <v>69</v>
      </c>
      <c r="O80" s="34">
        <v>-1.9979467380993379</v>
      </c>
      <c r="P80" s="34">
        <v>1.3250751461761434</v>
      </c>
      <c r="Q80" s="34">
        <v>0.9410448804215005</v>
      </c>
      <c r="R80" s="34">
        <v>0.0</v>
      </c>
    </row>
    <row r="81">
      <c r="A81" s="27" t="s">
        <v>115</v>
      </c>
      <c r="B81" s="29">
        <v>83.3229411764706</v>
      </c>
      <c r="C81" s="31">
        <v>29.0</v>
      </c>
      <c r="D81" s="31">
        <v>7.0</v>
      </c>
      <c r="E81" s="32">
        <v>-1.399220183776361</v>
      </c>
      <c r="F81" s="32">
        <v>2.629551504424939</v>
      </c>
      <c r="G81" s="32">
        <v>1.2121782029910186</v>
      </c>
      <c r="H81" s="32">
        <v>-0.6796170007154356</v>
      </c>
      <c r="I81" s="32">
        <v>1.045267351167679</v>
      </c>
      <c r="J81" s="32">
        <v>-0.775567863377378</v>
      </c>
      <c r="K81" s="32">
        <v>-1.0384474926284049</v>
      </c>
      <c r="L81" s="32">
        <v>0.0</v>
      </c>
      <c r="M81" s="32">
        <v>-1.9284084572494609</v>
      </c>
      <c r="N81" s="32">
        <v>1.200811694254633</v>
      </c>
      <c r="O81" s="34" t="s">
        <v>69</v>
      </c>
      <c r="P81" s="34" t="s">
        <v>69</v>
      </c>
      <c r="Q81" s="34" t="s">
        <v>69</v>
      </c>
      <c r="R81" s="34" t="s">
        <v>69</v>
      </c>
    </row>
    <row r="82">
      <c r="A82" s="27" t="s">
        <v>116</v>
      </c>
      <c r="B82" s="35">
        <v>82.59941176470589</v>
      </c>
      <c r="C82" s="36">
        <v>23.0</v>
      </c>
      <c r="D82" s="36">
        <v>6.0</v>
      </c>
      <c r="E82" s="37">
        <v>1.2318975945269406</v>
      </c>
      <c r="F82" s="37">
        <v>0.25232995317998785</v>
      </c>
      <c r="G82" s="37">
        <v>-1.4818229126355213</v>
      </c>
      <c r="H82" s="37">
        <v>-0.8861159463039137</v>
      </c>
      <c r="I82" s="37">
        <v>0.08874808894880211</v>
      </c>
      <c r="J82" s="37">
        <v>-0.6852006122094005</v>
      </c>
      <c r="K82" s="37">
        <v>1.3597892366152868</v>
      </c>
      <c r="L82" s="37">
        <v>1.2350963644528576</v>
      </c>
      <c r="M82" s="37">
        <v>0.06122004716214873</v>
      </c>
      <c r="N82" s="37">
        <v>-1.0826639841701176</v>
      </c>
      <c r="O82" s="34" t="s">
        <v>69</v>
      </c>
      <c r="P82" s="34" t="s">
        <v>69</v>
      </c>
      <c r="Q82" s="34" t="s">
        <v>69</v>
      </c>
      <c r="R82" s="34" t="s">
        <v>69</v>
      </c>
    </row>
    <row r="83">
      <c r="A83" s="27" t="s">
        <v>117</v>
      </c>
      <c r="B83" s="29">
        <v>79.0</v>
      </c>
      <c r="C83" s="31">
        <v>29.0</v>
      </c>
      <c r="D83" s="31">
        <v>6.0</v>
      </c>
      <c r="E83" s="32">
        <v>0.8697627604277086</v>
      </c>
      <c r="F83" s="32">
        <v>0.1037087287272912</v>
      </c>
      <c r="G83" s="32">
        <v>-0.01813104301641975</v>
      </c>
      <c r="H83" s="32">
        <v>-0.22725396124618444</v>
      </c>
      <c r="I83" s="32">
        <v>0.630891069807456</v>
      </c>
      <c r="J83" s="32">
        <v>-0.7718804183819034</v>
      </c>
      <c r="K83" s="32">
        <v>1.1170277374544288</v>
      </c>
      <c r="L83" s="32">
        <v>0.0</v>
      </c>
      <c r="M83" s="32">
        <v>0.1993013758047185</v>
      </c>
      <c r="N83" s="32">
        <v>-1.869487873864585</v>
      </c>
      <c r="O83" s="34" t="s">
        <v>69</v>
      </c>
      <c r="P83" s="34" t="s">
        <v>69</v>
      </c>
      <c r="Q83" s="34" t="s">
        <v>69</v>
      </c>
      <c r="R83" s="34" t="s">
        <v>69</v>
      </c>
    </row>
    <row r="84">
      <c r="A84" s="27" t="s">
        <v>118</v>
      </c>
      <c r="B84" s="35">
        <v>81.57142857142857</v>
      </c>
      <c r="C84" s="36">
        <v>23.0</v>
      </c>
      <c r="D84" s="36">
        <v>6.0</v>
      </c>
      <c r="E84" s="37">
        <v>-2.0731297503520176</v>
      </c>
      <c r="F84" s="37">
        <v>-1.1752150925695464</v>
      </c>
      <c r="G84" s="37">
        <v>-0.5315128580585066</v>
      </c>
      <c r="H84" s="37">
        <v>5.494338386162001</v>
      </c>
      <c r="I84" s="37">
        <v>-1.7187766367581552</v>
      </c>
      <c r="J84" s="37">
        <v>-0.16952108464970286</v>
      </c>
      <c r="K84" s="37">
        <v>-1.4602850009664787</v>
      </c>
      <c r="L84" s="37">
        <v>0.0</v>
      </c>
      <c r="M84" s="37">
        <v>1.3767406963324555</v>
      </c>
      <c r="N84" s="37">
        <v>0.2879418141694116</v>
      </c>
      <c r="O84" s="34" t="s">
        <v>69</v>
      </c>
      <c r="P84" s="34" t="s">
        <v>69</v>
      </c>
      <c r="Q84" s="34" t="s">
        <v>69</v>
      </c>
      <c r="R84" s="34" t="s">
        <v>69</v>
      </c>
    </row>
    <row r="85">
      <c r="A85" s="27" t="s">
        <v>119</v>
      </c>
      <c r="B85" s="29">
        <v>79.44617647058824</v>
      </c>
      <c r="C85" s="31">
        <v>25.0</v>
      </c>
      <c r="D85" s="31">
        <v>7.0</v>
      </c>
      <c r="E85" s="32">
        <v>-0.8364428893178245</v>
      </c>
      <c r="F85" s="32">
        <v>1.0258648824778667</v>
      </c>
      <c r="G85" s="32">
        <v>0.7425526391958864</v>
      </c>
      <c r="H85" s="32">
        <v>-0.2536389022917508</v>
      </c>
      <c r="I85" s="32">
        <v>0.8750941088308397</v>
      </c>
      <c r="J85" s="32">
        <v>-0.7558155041366712</v>
      </c>
      <c r="K85" s="32">
        <v>0.5198426317116094</v>
      </c>
      <c r="L85" s="32">
        <v>0.0</v>
      </c>
      <c r="M85" s="32">
        <v>-1.26462810301239</v>
      </c>
      <c r="N85" s="32">
        <v>-0.033331568925832424</v>
      </c>
      <c r="O85" s="34" t="s">
        <v>69</v>
      </c>
      <c r="P85" s="34" t="s">
        <v>69</v>
      </c>
      <c r="Q85" s="34" t="s">
        <v>69</v>
      </c>
      <c r="R85" s="34" t="s">
        <v>69</v>
      </c>
    </row>
    <row r="86">
      <c r="A86" s="27" t="s">
        <v>120</v>
      </c>
      <c r="B86" s="35">
        <v>81.27220588235295</v>
      </c>
      <c r="C86" s="36">
        <v>29.0</v>
      </c>
      <c r="D86" s="36">
        <v>6.0</v>
      </c>
      <c r="E86" s="37">
        <v>0.7366159203551441</v>
      </c>
      <c r="F86" s="37">
        <v>0.8809329701361673</v>
      </c>
      <c r="G86" s="37">
        <v>-0.7667583284545</v>
      </c>
      <c r="H86" s="37">
        <v>0.4710473620700685</v>
      </c>
      <c r="I86" s="37">
        <v>0.11243102213783254</v>
      </c>
      <c r="J86" s="37">
        <v>0.24012233431464167</v>
      </c>
      <c r="K86" s="37">
        <v>0.45824652912972763</v>
      </c>
      <c r="L86" s="37">
        <v>0.0</v>
      </c>
      <c r="M86" s="37">
        <v>-0.5695198765891788</v>
      </c>
      <c r="N86" s="37">
        <v>-1.5477482595966994</v>
      </c>
      <c r="O86" s="34" t="s">
        <v>69</v>
      </c>
      <c r="P86" s="34" t="s">
        <v>69</v>
      </c>
      <c r="Q86" s="34" t="s">
        <v>69</v>
      </c>
      <c r="R86" s="34" t="s">
        <v>69</v>
      </c>
    </row>
    <row r="87">
      <c r="A87" s="27" t="s">
        <v>121</v>
      </c>
      <c r="B87" s="29">
        <v>82.06264705882353</v>
      </c>
      <c r="C87" s="31">
        <v>25.0</v>
      </c>
      <c r="D87" s="31">
        <v>6.0</v>
      </c>
      <c r="E87" s="32">
        <v>0.07529467833558569</v>
      </c>
      <c r="F87" s="32">
        <v>0.7440460018265885</v>
      </c>
      <c r="G87" s="32">
        <v>-0.6602542638503928</v>
      </c>
      <c r="H87" s="32">
        <v>-0.5569998753738945</v>
      </c>
      <c r="I87" s="32">
        <v>0.5466490362021161</v>
      </c>
      <c r="J87" s="32">
        <v>-0.44429093157799027</v>
      </c>
      <c r="K87" s="32">
        <v>1.4620490280528797</v>
      </c>
      <c r="L87" s="32">
        <v>0.0</v>
      </c>
      <c r="M87" s="32">
        <v>-1.7644377118003642</v>
      </c>
      <c r="N87" s="32">
        <v>0.6058739028773544</v>
      </c>
      <c r="O87" s="34" t="s">
        <v>69</v>
      </c>
      <c r="P87" s="34" t="s">
        <v>69</v>
      </c>
      <c r="Q87" s="34" t="s">
        <v>69</v>
      </c>
      <c r="R87" s="34" t="s">
        <v>69</v>
      </c>
    </row>
    <row r="88">
      <c r="A88" s="27" t="s">
        <v>122</v>
      </c>
      <c r="B88" s="35">
        <v>79.46720588235294</v>
      </c>
      <c r="C88" s="36">
        <v>30.0</v>
      </c>
      <c r="D88" s="36">
        <v>5.0</v>
      </c>
      <c r="E88" s="37">
        <v>2.0635974780046236</v>
      </c>
      <c r="F88" s="37">
        <v>0.2283999673965036</v>
      </c>
      <c r="G88" s="37">
        <v>-0.7687067846669382</v>
      </c>
      <c r="H88" s="37">
        <v>-1.107097441684772</v>
      </c>
      <c r="I88" s="37">
        <v>1.3420165323366908</v>
      </c>
      <c r="J88" s="37">
        <v>-0.6966163669193637</v>
      </c>
      <c r="K88" s="37">
        <v>1.8495976721291538</v>
      </c>
      <c r="L88" s="37">
        <v>0.0</v>
      </c>
      <c r="M88" s="37">
        <v>-1.284799053175518</v>
      </c>
      <c r="N88" s="37">
        <v>-1.6196670138981466</v>
      </c>
      <c r="O88" s="34" t="s">
        <v>69</v>
      </c>
      <c r="P88" s="34" t="s">
        <v>69</v>
      </c>
      <c r="Q88" s="34" t="s">
        <v>69</v>
      </c>
      <c r="R88" s="34" t="s">
        <v>69</v>
      </c>
    </row>
    <row r="89">
      <c r="A89" s="27" t="s">
        <v>123</v>
      </c>
      <c r="B89" s="29">
        <v>80.37514705882353</v>
      </c>
      <c r="C89" s="31">
        <v>27.0</v>
      </c>
      <c r="D89" s="31">
        <v>6.0</v>
      </c>
      <c r="E89" s="32">
        <v>-0.8827626347094446</v>
      </c>
      <c r="F89" s="32">
        <v>0.9410081455363407</v>
      </c>
      <c r="G89" s="32">
        <v>0.18644447853510793</v>
      </c>
      <c r="H89" s="32">
        <v>-1.9171037923950816</v>
      </c>
      <c r="I89" s="32">
        <v>1.0681576601634273</v>
      </c>
      <c r="J89" s="32">
        <v>0.25298503610759165</v>
      </c>
      <c r="K89" s="32">
        <v>0.2991498736246316</v>
      </c>
      <c r="L89" s="32">
        <v>0.0</v>
      </c>
      <c r="M89" s="32">
        <v>-1.8418181251070591</v>
      </c>
      <c r="N89" s="32">
        <v>1.849894002500394</v>
      </c>
      <c r="O89" s="34" t="s">
        <v>69</v>
      </c>
      <c r="P89" s="34" t="s">
        <v>69</v>
      </c>
      <c r="Q89" s="34" t="s">
        <v>69</v>
      </c>
      <c r="R89" s="34" t="s">
        <v>69</v>
      </c>
    </row>
    <row r="90">
      <c r="A90" s="27" t="s">
        <v>124</v>
      </c>
      <c r="B90" s="35">
        <v>79.39339285714286</v>
      </c>
      <c r="C90" s="36">
        <v>23.0</v>
      </c>
      <c r="D90" s="36">
        <v>6.0</v>
      </c>
      <c r="E90" s="37">
        <v>-0.6761794571761074</v>
      </c>
      <c r="F90" s="37">
        <v>-1.4774522542173922</v>
      </c>
      <c r="G90" s="37">
        <v>-0.7601174578497899</v>
      </c>
      <c r="H90" s="37">
        <v>3.946023507990198</v>
      </c>
      <c r="I90" s="37">
        <v>-1.6840916209342962</v>
      </c>
      <c r="J90" s="37">
        <v>-0.0833319932277364</v>
      </c>
      <c r="K90" s="37">
        <v>-1.270521904266268</v>
      </c>
      <c r="L90" s="37">
        <v>0.0</v>
      </c>
      <c r="M90" s="37">
        <v>2.812566263990335</v>
      </c>
      <c r="N90" s="37">
        <v>-0.8540705313302747</v>
      </c>
      <c r="O90" s="34" t="s">
        <v>69</v>
      </c>
      <c r="P90" s="34" t="s">
        <v>69</v>
      </c>
      <c r="Q90" s="34" t="s">
        <v>69</v>
      </c>
      <c r="R90" s="34" t="s">
        <v>69</v>
      </c>
    </row>
    <row r="91">
      <c r="A91" s="27" t="s">
        <v>125</v>
      </c>
      <c r="B91" s="29">
        <v>82.32220588235293</v>
      </c>
      <c r="C91" s="31">
        <v>30.0</v>
      </c>
      <c r="D91" s="31">
        <v>5.0</v>
      </c>
      <c r="E91" s="32">
        <v>0.9201775292894442</v>
      </c>
      <c r="F91" s="32">
        <v>2.015469465095786</v>
      </c>
      <c r="G91" s="32">
        <v>-0.200283116860632</v>
      </c>
      <c r="H91" s="32">
        <v>-0.8117751396423776</v>
      </c>
      <c r="I91" s="32">
        <v>1.710270139294864</v>
      </c>
      <c r="J91" s="32">
        <v>-0.7843413831348669</v>
      </c>
      <c r="K91" s="32">
        <v>1.2542696090540137</v>
      </c>
      <c r="L91" s="32">
        <v>0.0</v>
      </c>
      <c r="M91" s="32">
        <v>-2.411353083079649</v>
      </c>
      <c r="N91" s="32">
        <v>-1.7742759551254557</v>
      </c>
      <c r="O91" s="34" t="s">
        <v>69</v>
      </c>
      <c r="P91" s="34" t="s">
        <v>69</v>
      </c>
      <c r="Q91" s="34" t="s">
        <v>69</v>
      </c>
      <c r="R91" s="34" t="s">
        <v>69</v>
      </c>
    </row>
    <row r="92">
      <c r="A92" s="27" t="s">
        <v>126</v>
      </c>
      <c r="B92" s="35">
        <v>37.7</v>
      </c>
      <c r="C92" s="36">
        <v>23.0</v>
      </c>
      <c r="D92" s="36">
        <v>7.0</v>
      </c>
      <c r="E92" s="37" t="s">
        <v>69</v>
      </c>
      <c r="F92" s="37" t="s">
        <v>69</v>
      </c>
      <c r="G92" s="37" t="s">
        <v>69</v>
      </c>
      <c r="H92" s="37" t="s">
        <v>69</v>
      </c>
      <c r="I92" s="37" t="s">
        <v>69</v>
      </c>
      <c r="J92" s="37" t="s">
        <v>69</v>
      </c>
      <c r="K92" s="37" t="s">
        <v>69</v>
      </c>
      <c r="L92" s="37" t="s">
        <v>69</v>
      </c>
      <c r="M92" s="37" t="s">
        <v>69</v>
      </c>
      <c r="N92" s="37" t="s">
        <v>69</v>
      </c>
      <c r="O92" s="34">
        <v>-0.6569954958771934</v>
      </c>
      <c r="P92" s="34">
        <v>0.6553646397745425</v>
      </c>
      <c r="Q92" s="34">
        <v>-0.3825043957404056</v>
      </c>
      <c r="R92" s="34">
        <v>0.130246657537567</v>
      </c>
    </row>
    <row r="93">
      <c r="A93" s="27" t="s">
        <v>127</v>
      </c>
      <c r="B93" s="29">
        <v>81.28470588235294</v>
      </c>
      <c r="C93" s="31">
        <v>28.0</v>
      </c>
      <c r="D93" s="31">
        <v>7.0</v>
      </c>
      <c r="E93" s="32">
        <v>-1.4479925898354766</v>
      </c>
      <c r="F93" s="32">
        <v>0.4817992074284344</v>
      </c>
      <c r="G93" s="32">
        <v>-0.03446218028918555</v>
      </c>
      <c r="H93" s="32">
        <v>0.7445927244376763</v>
      </c>
      <c r="I93" s="32">
        <v>0.284932986266326</v>
      </c>
      <c r="J93" s="32">
        <v>-0.7847619844259663</v>
      </c>
      <c r="K93" s="32">
        <v>0.13703760950811147</v>
      </c>
      <c r="L93" s="32">
        <v>0.0</v>
      </c>
      <c r="M93" s="32">
        <v>-1.975475333520583</v>
      </c>
      <c r="N93" s="32">
        <v>2.2960842971253657</v>
      </c>
      <c r="O93" s="34" t="s">
        <v>69</v>
      </c>
      <c r="P93" s="34" t="s">
        <v>69</v>
      </c>
      <c r="Q93" s="34" t="s">
        <v>69</v>
      </c>
      <c r="R93" s="34" t="s">
        <v>69</v>
      </c>
    </row>
    <row r="94">
      <c r="A94" s="27" t="s">
        <v>128</v>
      </c>
      <c r="B94" s="35">
        <v>81.96941176470588</v>
      </c>
      <c r="C94" s="36">
        <v>28.0</v>
      </c>
      <c r="D94" s="36">
        <v>7.0</v>
      </c>
      <c r="E94" s="37">
        <v>0.7106427450795609</v>
      </c>
      <c r="F94" s="37">
        <v>0.184386645355398</v>
      </c>
      <c r="G94" s="37">
        <v>0.15673322663017694</v>
      </c>
      <c r="H94" s="37">
        <v>-0.05893149574544745</v>
      </c>
      <c r="I94" s="37">
        <v>0.08711029480719053</v>
      </c>
      <c r="J94" s="37">
        <v>-0.13548133712409702</v>
      </c>
      <c r="K94" s="37">
        <v>0.5059549068329101</v>
      </c>
      <c r="L94" s="37">
        <v>0.9143374583181731</v>
      </c>
      <c r="M94" s="37">
        <v>-1.1755105874273604</v>
      </c>
      <c r="N94" s="37">
        <v>-1.4991627359459274</v>
      </c>
      <c r="O94" s="34" t="s">
        <v>69</v>
      </c>
      <c r="P94" s="34" t="s">
        <v>69</v>
      </c>
      <c r="Q94" s="34" t="s">
        <v>69</v>
      </c>
      <c r="R94" s="34" t="s">
        <v>69</v>
      </c>
    </row>
    <row r="95">
      <c r="A95" s="27" t="s">
        <v>129</v>
      </c>
      <c r="B95" s="29">
        <v>52.3</v>
      </c>
      <c r="C95" s="31">
        <v>26.0</v>
      </c>
      <c r="D95" s="31">
        <v>6.0</v>
      </c>
      <c r="E95" s="32" t="s">
        <v>69</v>
      </c>
      <c r="F95" s="32" t="s">
        <v>69</v>
      </c>
      <c r="G95" s="32" t="s">
        <v>69</v>
      </c>
      <c r="H95" s="32" t="s">
        <v>69</v>
      </c>
      <c r="I95" s="32" t="s">
        <v>69</v>
      </c>
      <c r="J95" s="32" t="s">
        <v>69</v>
      </c>
      <c r="K95" s="32" t="s">
        <v>69</v>
      </c>
      <c r="L95" s="32" t="s">
        <v>69</v>
      </c>
      <c r="M95" s="32" t="s">
        <v>69</v>
      </c>
      <c r="N95" s="32" t="s">
        <v>69</v>
      </c>
      <c r="O95" s="34">
        <v>-0.23178004040921416</v>
      </c>
      <c r="P95" s="34">
        <v>0.40786293088699305</v>
      </c>
      <c r="Q95" s="34">
        <v>-0.5203741120072854</v>
      </c>
      <c r="R95" s="34">
        <v>0.0</v>
      </c>
    </row>
    <row r="96">
      <c r="A96" s="27" t="s">
        <v>130</v>
      </c>
      <c r="B96" s="35">
        <v>83.35823529411765</v>
      </c>
      <c r="C96" s="36">
        <v>29.0</v>
      </c>
      <c r="D96" s="36">
        <v>7.0</v>
      </c>
      <c r="E96" s="37">
        <v>2.0091410846513478</v>
      </c>
      <c r="F96" s="37">
        <v>0.45866321318120706</v>
      </c>
      <c r="G96" s="37">
        <v>-0.7735441766074268</v>
      </c>
      <c r="H96" s="37">
        <v>-1.2871493493696955</v>
      </c>
      <c r="I96" s="37">
        <v>1.133544563522638</v>
      </c>
      <c r="J96" s="37">
        <v>-0.777705067920755</v>
      </c>
      <c r="K96" s="37">
        <v>2.1845803537001434</v>
      </c>
      <c r="L96" s="37">
        <v>0.0</v>
      </c>
      <c r="M96" s="37">
        <v>-1.774047096089446</v>
      </c>
      <c r="N96" s="37">
        <v>-1.5452668169657786</v>
      </c>
      <c r="O96" s="34" t="s">
        <v>69</v>
      </c>
      <c r="P96" s="34" t="s">
        <v>69</v>
      </c>
      <c r="Q96" s="34" t="s">
        <v>69</v>
      </c>
      <c r="R96" s="34" t="s">
        <v>69</v>
      </c>
    </row>
    <row r="97">
      <c r="A97" s="27" t="s">
        <v>131</v>
      </c>
      <c r="B97" s="29">
        <v>80.79161764705883</v>
      </c>
      <c r="C97" s="31">
        <v>23.0</v>
      </c>
      <c r="D97" s="31">
        <v>6.0</v>
      </c>
      <c r="E97" s="32">
        <v>1.1403744017458914</v>
      </c>
      <c r="F97" s="32">
        <v>0.6333364275579744</v>
      </c>
      <c r="G97" s="32">
        <v>0.45490940575080874</v>
      </c>
      <c r="H97" s="32">
        <v>-1.2183445353469728</v>
      </c>
      <c r="I97" s="32">
        <v>0.9299385552947923</v>
      </c>
      <c r="J97" s="32">
        <v>-0.7416441084451734</v>
      </c>
      <c r="K97" s="32">
        <v>1.269604518261763</v>
      </c>
      <c r="L97" s="32">
        <v>0.0</v>
      </c>
      <c r="M97" s="32">
        <v>-1.3979768337750662</v>
      </c>
      <c r="N97" s="32">
        <v>-1.4647680430341696</v>
      </c>
      <c r="O97" s="34" t="s">
        <v>69</v>
      </c>
      <c r="P97" s="34" t="s">
        <v>69</v>
      </c>
      <c r="Q97" s="34" t="s">
        <v>69</v>
      </c>
      <c r="R97" s="34" t="s">
        <v>69</v>
      </c>
    </row>
    <row r="98">
      <c r="A98" s="27" t="s">
        <v>132</v>
      </c>
      <c r="B98" s="35">
        <v>32.6</v>
      </c>
      <c r="C98" s="36">
        <v>25.0</v>
      </c>
      <c r="D98" s="36">
        <v>7.0</v>
      </c>
      <c r="E98" s="37" t="s">
        <v>69</v>
      </c>
      <c r="F98" s="37" t="s">
        <v>69</v>
      </c>
      <c r="G98" s="37" t="s">
        <v>69</v>
      </c>
      <c r="H98" s="37" t="s">
        <v>69</v>
      </c>
      <c r="I98" s="37" t="s">
        <v>69</v>
      </c>
      <c r="J98" s="37" t="s">
        <v>69</v>
      </c>
      <c r="K98" s="37" t="s">
        <v>69</v>
      </c>
      <c r="L98" s="37" t="s">
        <v>69</v>
      </c>
      <c r="M98" s="37" t="s">
        <v>69</v>
      </c>
      <c r="N98" s="37" t="s">
        <v>69</v>
      </c>
      <c r="O98" s="34">
        <v>-1.5301730489520782</v>
      </c>
      <c r="P98" s="34">
        <v>0.13124337389503257</v>
      </c>
      <c r="Q98" s="34">
        <v>0.9686188236748396</v>
      </c>
      <c r="R98" s="34">
        <v>0.0</v>
      </c>
    </row>
    <row r="99">
      <c r="A99" s="27" t="s">
        <v>133</v>
      </c>
      <c r="B99" s="29">
        <v>79.76279411764706</v>
      </c>
      <c r="C99" s="31">
        <v>24.0</v>
      </c>
      <c r="D99" s="31">
        <v>7.0</v>
      </c>
      <c r="E99" s="32">
        <v>-0.09365450900582364</v>
      </c>
      <c r="F99" s="32">
        <v>-0.9756714972552026</v>
      </c>
      <c r="G99" s="32">
        <v>0.5611518768905123</v>
      </c>
      <c r="H99" s="32">
        <v>0.1799780726087089</v>
      </c>
      <c r="I99" s="32">
        <v>-1.273004973926128</v>
      </c>
      <c r="J99" s="32">
        <v>1.126768028181064</v>
      </c>
      <c r="K99" s="32">
        <v>0.45204455274293226</v>
      </c>
      <c r="L99" s="32">
        <v>0.0</v>
      </c>
      <c r="M99" s="32">
        <v>0.5712712677656325</v>
      </c>
      <c r="N99" s="32">
        <v>-1.0144093226605397</v>
      </c>
      <c r="O99" s="34" t="s">
        <v>69</v>
      </c>
      <c r="P99" s="34" t="s">
        <v>69</v>
      </c>
      <c r="Q99" s="34" t="s">
        <v>69</v>
      </c>
      <c r="R99" s="34" t="s">
        <v>69</v>
      </c>
    </row>
    <row r="100">
      <c r="A100" s="27" t="s">
        <v>134</v>
      </c>
      <c r="B100" s="35">
        <v>53.3</v>
      </c>
      <c r="C100" s="36">
        <v>29.0</v>
      </c>
      <c r="D100" s="36">
        <v>7.0</v>
      </c>
      <c r="E100" s="37" t="s">
        <v>69</v>
      </c>
      <c r="F100" s="37" t="s">
        <v>69</v>
      </c>
      <c r="G100" s="37" t="s">
        <v>69</v>
      </c>
      <c r="H100" s="37" t="s">
        <v>69</v>
      </c>
      <c r="I100" s="37" t="s">
        <v>69</v>
      </c>
      <c r="J100" s="37" t="s">
        <v>69</v>
      </c>
      <c r="K100" s="37" t="s">
        <v>69</v>
      </c>
      <c r="L100" s="37" t="s">
        <v>69</v>
      </c>
      <c r="M100" s="37" t="s">
        <v>69</v>
      </c>
      <c r="N100" s="37" t="s">
        <v>69</v>
      </c>
      <c r="O100" s="34">
        <v>0.17787533063545855</v>
      </c>
      <c r="P100" s="34">
        <v>-0.33464219577564647</v>
      </c>
      <c r="Q100" s="34">
        <v>-0.35493045248700517</v>
      </c>
      <c r="R100" s="34">
        <v>0.0</v>
      </c>
    </row>
    <row r="101">
      <c r="A101" s="27" t="s">
        <v>135</v>
      </c>
      <c r="B101" s="29">
        <v>81.13485294117648</v>
      </c>
      <c r="C101" s="31">
        <v>30.0</v>
      </c>
      <c r="D101" s="31">
        <v>5.0</v>
      </c>
      <c r="E101" s="32">
        <v>1.244573248423122</v>
      </c>
      <c r="F101" s="32">
        <v>0.6006295729305479</v>
      </c>
      <c r="G101" s="32">
        <v>-0.9931848378448571</v>
      </c>
      <c r="H101" s="32">
        <v>-0.27439983869583584</v>
      </c>
      <c r="I101" s="32">
        <v>0.8351152720819361</v>
      </c>
      <c r="J101" s="32">
        <v>-0.25705144978465116</v>
      </c>
      <c r="K101" s="32">
        <v>0.13532243122456422</v>
      </c>
      <c r="L101" s="32">
        <v>0.7668454921715265</v>
      </c>
      <c r="M101" s="32">
        <v>-1.1039951117329374</v>
      </c>
      <c r="N101" s="32">
        <v>-1.5023623835931845</v>
      </c>
      <c r="O101" s="34" t="s">
        <v>69</v>
      </c>
      <c r="P101" s="34" t="s">
        <v>69</v>
      </c>
      <c r="Q101" s="34" t="s">
        <v>69</v>
      </c>
      <c r="R101" s="34" t="s">
        <v>69</v>
      </c>
    </row>
    <row r="102">
      <c r="A102" s="27" t="s">
        <v>136</v>
      </c>
      <c r="B102" s="35">
        <v>83.75235294117647</v>
      </c>
      <c r="C102" s="36">
        <v>33.0</v>
      </c>
      <c r="D102" s="36">
        <v>6.0</v>
      </c>
      <c r="E102" s="37">
        <v>0.027694957052003772</v>
      </c>
      <c r="F102" s="37">
        <v>-0.9558907741761794</v>
      </c>
      <c r="G102" s="37">
        <v>-1.7475682443807499</v>
      </c>
      <c r="H102" s="37">
        <v>0.5900101741952144</v>
      </c>
      <c r="I102" s="37">
        <v>-0.860573817540287</v>
      </c>
      <c r="J102" s="37">
        <v>-0.08799980745209766</v>
      </c>
      <c r="K102" s="37">
        <v>-0.19152538631873417</v>
      </c>
      <c r="L102" s="37">
        <v>0.0</v>
      </c>
      <c r="M102" s="37">
        <v>3.479134301812327</v>
      </c>
      <c r="N102" s="37">
        <v>-0.8088792027313572</v>
      </c>
      <c r="O102" s="34" t="s">
        <v>69</v>
      </c>
      <c r="P102" s="34" t="s">
        <v>69</v>
      </c>
      <c r="Q102" s="34" t="s">
        <v>69</v>
      </c>
      <c r="R102" s="34" t="s">
        <v>69</v>
      </c>
    </row>
    <row r="103">
      <c r="A103" s="27" t="s">
        <v>137</v>
      </c>
      <c r="B103" s="29">
        <v>78.31838235294117</v>
      </c>
      <c r="C103" s="31">
        <v>33.0</v>
      </c>
      <c r="D103" s="31">
        <v>6.0</v>
      </c>
      <c r="E103" s="32">
        <v>-1.088172753526799</v>
      </c>
      <c r="F103" s="32">
        <v>2.1481629851327275</v>
      </c>
      <c r="G103" s="32">
        <v>-0.1619396369556945</v>
      </c>
      <c r="H103" s="32">
        <v>-0.8503299739024239</v>
      </c>
      <c r="I103" s="32">
        <v>1.6671826738063567</v>
      </c>
      <c r="J103" s="32">
        <v>-0.3097182488341184</v>
      </c>
      <c r="K103" s="32">
        <v>-0.7127200445326756</v>
      </c>
      <c r="L103" s="32">
        <v>0.0</v>
      </c>
      <c r="M103" s="32">
        <v>-1.8697331374931272</v>
      </c>
      <c r="N103" s="32">
        <v>0.6150786089521357</v>
      </c>
      <c r="O103" s="34" t="s">
        <v>69</v>
      </c>
      <c r="P103" s="34" t="s">
        <v>69</v>
      </c>
      <c r="Q103" s="34" t="s">
        <v>69</v>
      </c>
      <c r="R103" s="34" t="s">
        <v>69</v>
      </c>
    </row>
    <row r="104">
      <c r="A104" s="27" t="s">
        <v>138</v>
      </c>
      <c r="B104" s="35">
        <v>49.2</v>
      </c>
      <c r="C104" s="36">
        <v>27.0</v>
      </c>
      <c r="D104" s="36">
        <v>6.0</v>
      </c>
      <c r="E104" s="37" t="s">
        <v>69</v>
      </c>
      <c r="F104" s="37" t="s">
        <v>69</v>
      </c>
      <c r="G104" s="37" t="s">
        <v>69</v>
      </c>
      <c r="H104" s="37" t="s">
        <v>69</v>
      </c>
      <c r="I104" s="37" t="s">
        <v>69</v>
      </c>
      <c r="J104" s="37" t="s">
        <v>69</v>
      </c>
      <c r="K104" s="37" t="s">
        <v>69</v>
      </c>
      <c r="L104" s="37" t="s">
        <v>69</v>
      </c>
      <c r="M104" s="37" t="s">
        <v>69</v>
      </c>
      <c r="N104" s="37" t="s">
        <v>69</v>
      </c>
      <c r="O104" s="34">
        <v>0.37182606393956225</v>
      </c>
      <c r="P104" s="34">
        <v>-0.4219957400889019</v>
      </c>
      <c r="Q104" s="34">
        <v>-0.906409317554494</v>
      </c>
      <c r="R104" s="34">
        <v>0.3283259245604715</v>
      </c>
    </row>
    <row r="105">
      <c r="A105" s="27" t="s">
        <v>139</v>
      </c>
      <c r="B105" s="29">
        <v>80.35514705882352</v>
      </c>
      <c r="C105" s="31">
        <v>25.0</v>
      </c>
      <c r="D105" s="31">
        <v>7.0</v>
      </c>
      <c r="E105" s="32">
        <v>2.191390915228144</v>
      </c>
      <c r="F105" s="32">
        <v>1.485652118904191</v>
      </c>
      <c r="G105" s="32">
        <v>-1.0734996827825938</v>
      </c>
      <c r="H105" s="32">
        <v>-1.4799800715580065</v>
      </c>
      <c r="I105" s="32">
        <v>1.5463739070803004</v>
      </c>
      <c r="J105" s="32">
        <v>-0.7369248296919009</v>
      </c>
      <c r="K105" s="32">
        <v>1.5352795608172078</v>
      </c>
      <c r="L105" s="32">
        <v>0.0</v>
      </c>
      <c r="M105" s="32">
        <v>-2.2716225648091655</v>
      </c>
      <c r="N105" s="32">
        <v>-1.8266683183703334</v>
      </c>
      <c r="O105" s="34" t="s">
        <v>69</v>
      </c>
      <c r="P105" s="34" t="s">
        <v>69</v>
      </c>
      <c r="Q105" s="34" t="s">
        <v>69</v>
      </c>
      <c r="R105" s="34" t="s">
        <v>69</v>
      </c>
    </row>
    <row r="106">
      <c r="A106" s="27" t="s">
        <v>140</v>
      </c>
      <c r="B106" s="35">
        <v>79.41044117647058</v>
      </c>
      <c r="C106" s="36">
        <v>28.0</v>
      </c>
      <c r="D106" s="36">
        <v>6.0</v>
      </c>
      <c r="E106" s="37">
        <v>0.8283882267814708</v>
      </c>
      <c r="F106" s="37">
        <v>-0.21025612808953412</v>
      </c>
      <c r="G106" s="37">
        <v>-1.275548403745039</v>
      </c>
      <c r="H106" s="37">
        <v>-1.1896780887586835</v>
      </c>
      <c r="I106" s="37">
        <v>1.0865176884047796</v>
      </c>
      <c r="J106" s="37">
        <v>-0.7377469896849131</v>
      </c>
      <c r="K106" s="37">
        <v>0.5431419658800476</v>
      </c>
      <c r="L106" s="37">
        <v>1.9568913573177689</v>
      </c>
      <c r="M106" s="37">
        <v>-0.5087505878379069</v>
      </c>
      <c r="N106" s="37">
        <v>-1.1901147351894374</v>
      </c>
      <c r="O106" s="34" t="s">
        <v>69</v>
      </c>
      <c r="P106" s="34" t="s">
        <v>69</v>
      </c>
      <c r="Q106" s="34" t="s">
        <v>69</v>
      </c>
      <c r="R106" s="34" t="s">
        <v>69</v>
      </c>
    </row>
    <row r="107">
      <c r="A107" s="27" t="s">
        <v>141</v>
      </c>
      <c r="B107" s="29">
        <v>78.11338235294117</v>
      </c>
      <c r="C107" s="31">
        <v>25.0</v>
      </c>
      <c r="D107" s="31">
        <v>6.0</v>
      </c>
      <c r="E107" s="32">
        <v>-1.527692156470921</v>
      </c>
      <c r="F107" s="32">
        <v>1.2794693565075117</v>
      </c>
      <c r="G107" s="32">
        <v>0.8777299804623195</v>
      </c>
      <c r="H107" s="32">
        <v>-1.0409931519324713</v>
      </c>
      <c r="I107" s="32">
        <v>1.0513479967565682</v>
      </c>
      <c r="J107" s="32">
        <v>-0.244669308717869</v>
      </c>
      <c r="K107" s="32">
        <v>-0.25484447621412964</v>
      </c>
      <c r="L107" s="32">
        <v>0.0</v>
      </c>
      <c r="M107" s="32">
        <v>-2.0496366626269733</v>
      </c>
      <c r="N107" s="32">
        <v>1.1486292828440787</v>
      </c>
      <c r="O107" s="34" t="s">
        <v>69</v>
      </c>
      <c r="P107" s="34" t="s">
        <v>69</v>
      </c>
      <c r="Q107" s="34" t="s">
        <v>69</v>
      </c>
      <c r="R107" s="34" t="s">
        <v>69</v>
      </c>
    </row>
    <row r="108">
      <c r="A108" s="27" t="s">
        <v>142</v>
      </c>
      <c r="B108" s="35">
        <v>81.44720588235293</v>
      </c>
      <c r="C108" s="36">
        <v>25.0</v>
      </c>
      <c r="D108" s="36">
        <v>7.0</v>
      </c>
      <c r="E108" s="37">
        <v>1.2321011458402016</v>
      </c>
      <c r="F108" s="37">
        <v>0.2808134006375198</v>
      </c>
      <c r="G108" s="37">
        <v>-1.5666282807601564</v>
      </c>
      <c r="H108" s="37">
        <v>-0.8707588594381243</v>
      </c>
      <c r="I108" s="37">
        <v>0.3003291573617288</v>
      </c>
      <c r="J108" s="37">
        <v>-0.7824918860706556</v>
      </c>
      <c r="K108" s="37">
        <v>0.8649693747760198</v>
      </c>
      <c r="L108" s="37">
        <v>2.430555421510304</v>
      </c>
      <c r="M108" s="37">
        <v>-0.932814849666905</v>
      </c>
      <c r="N108" s="37">
        <v>-1.7174971222440678</v>
      </c>
      <c r="O108" s="34" t="s">
        <v>69</v>
      </c>
      <c r="P108" s="34" t="s">
        <v>69</v>
      </c>
      <c r="Q108" s="34" t="s">
        <v>69</v>
      </c>
      <c r="R108" s="34" t="s">
        <v>69</v>
      </c>
    </row>
    <row r="109">
      <c r="A109" s="27" t="s">
        <v>143</v>
      </c>
      <c r="B109" s="29">
        <v>83.74573529411765</v>
      </c>
      <c r="C109" s="31">
        <v>24.0</v>
      </c>
      <c r="D109" s="31">
        <v>7.0</v>
      </c>
      <c r="E109" s="32">
        <v>0.26940750690212784</v>
      </c>
      <c r="F109" s="32">
        <v>2.0397810856279674</v>
      </c>
      <c r="G109" s="32">
        <v>-0.4720283733006378</v>
      </c>
      <c r="H109" s="32">
        <v>-1.9482087992591193</v>
      </c>
      <c r="I109" s="32">
        <v>1.4043394336000934</v>
      </c>
      <c r="J109" s="32">
        <v>0.2783171278274757</v>
      </c>
      <c r="K109" s="32">
        <v>0.4674348793507773</v>
      </c>
      <c r="L109" s="32">
        <v>0.0</v>
      </c>
      <c r="M109" s="32">
        <v>-1.070907401013565</v>
      </c>
      <c r="N109" s="32">
        <v>-1.7436739420180205</v>
      </c>
      <c r="O109" s="34" t="s">
        <v>69</v>
      </c>
      <c r="P109" s="34" t="s">
        <v>69</v>
      </c>
      <c r="Q109" s="34" t="s">
        <v>69</v>
      </c>
      <c r="R109" s="34" t="s">
        <v>69</v>
      </c>
    </row>
    <row r="110">
      <c r="A110" s="27" t="s">
        <v>144</v>
      </c>
      <c r="B110" s="35">
        <v>43.3</v>
      </c>
      <c r="C110" s="36">
        <v>23.0</v>
      </c>
      <c r="D110" s="36">
        <v>7.0</v>
      </c>
      <c r="E110" s="37" t="s">
        <v>69</v>
      </c>
      <c r="F110" s="37" t="s">
        <v>69</v>
      </c>
      <c r="G110" s="37" t="s">
        <v>69</v>
      </c>
      <c r="H110" s="37" t="s">
        <v>69</v>
      </c>
      <c r="I110" s="37" t="s">
        <v>69</v>
      </c>
      <c r="J110" s="37" t="s">
        <v>69</v>
      </c>
      <c r="K110" s="37" t="s">
        <v>69</v>
      </c>
      <c r="L110" s="37" t="s">
        <v>69</v>
      </c>
      <c r="M110" s="37" t="s">
        <v>69</v>
      </c>
      <c r="N110" s="37" t="s">
        <v>69</v>
      </c>
      <c r="O110" s="34">
        <v>0.38159158155613043</v>
      </c>
      <c r="P110" s="34">
        <v>0.961102044870923</v>
      </c>
      <c r="Q110" s="34">
        <v>-2.25753253696977</v>
      </c>
      <c r="R110" s="34">
        <v>0.0</v>
      </c>
    </row>
    <row r="111">
      <c r="A111" s="27" t="s">
        <v>145</v>
      </c>
      <c r="B111" s="29">
        <v>81.36088235294118</v>
      </c>
      <c r="C111" s="31">
        <v>28.0</v>
      </c>
      <c r="D111" s="31">
        <v>7.0</v>
      </c>
      <c r="E111" s="32">
        <v>1.5911839208258953</v>
      </c>
      <c r="F111" s="32">
        <v>1.905977619350029</v>
      </c>
      <c r="G111" s="32">
        <v>-0.806654494471928</v>
      </c>
      <c r="H111" s="32">
        <v>-1.6034094995062045</v>
      </c>
      <c r="I111" s="32">
        <v>1.6095052331780066</v>
      </c>
      <c r="J111" s="32">
        <v>-0.7862713445091395</v>
      </c>
      <c r="K111" s="32">
        <v>1.6903212611562588</v>
      </c>
      <c r="L111" s="32">
        <v>0.0</v>
      </c>
      <c r="M111" s="32">
        <v>-2.3465371875945147</v>
      </c>
      <c r="N111" s="32">
        <v>-2.2420525340049844</v>
      </c>
      <c r="O111" s="34" t="s">
        <v>69</v>
      </c>
      <c r="P111" s="34" t="s">
        <v>69</v>
      </c>
      <c r="Q111" s="34" t="s">
        <v>69</v>
      </c>
      <c r="R111" s="34" t="s">
        <v>69</v>
      </c>
    </row>
    <row r="112">
      <c r="A112" s="27" t="s">
        <v>146</v>
      </c>
      <c r="B112" s="35">
        <v>82.00470588235294</v>
      </c>
      <c r="C112" s="36">
        <v>30.0</v>
      </c>
      <c r="D112" s="36">
        <v>5.0</v>
      </c>
      <c r="E112" s="37">
        <v>-1.7580155106170257</v>
      </c>
      <c r="F112" s="37">
        <v>-0.4516827404294686</v>
      </c>
      <c r="G112" s="37">
        <v>-1.9782064665304018</v>
      </c>
      <c r="H112" s="37">
        <v>0.7391221724174525</v>
      </c>
      <c r="I112" s="37">
        <v>-0.8304754465569636</v>
      </c>
      <c r="J112" s="37">
        <v>-0.03769740043325992</v>
      </c>
      <c r="K112" s="37">
        <v>-0.2409819461686203</v>
      </c>
      <c r="L112" s="37">
        <v>0.0</v>
      </c>
      <c r="M112" s="37">
        <v>0.9048242577876249</v>
      </c>
      <c r="N112" s="37">
        <v>2.541972965036804</v>
      </c>
      <c r="O112" s="34" t="s">
        <v>69</v>
      </c>
      <c r="P112" s="34" t="s">
        <v>69</v>
      </c>
      <c r="Q112" s="34" t="s">
        <v>69</v>
      </c>
      <c r="R112" s="34" t="s">
        <v>69</v>
      </c>
    </row>
    <row r="113">
      <c r="A113" s="27" t="s">
        <v>147</v>
      </c>
      <c r="B113" s="29">
        <v>78.08911764705881</v>
      </c>
      <c r="C113" s="31">
        <v>27.0</v>
      </c>
      <c r="D113" s="31">
        <v>6.0</v>
      </c>
      <c r="E113" s="32">
        <v>0.3654984814257637</v>
      </c>
      <c r="F113" s="32">
        <v>-0.695604738587279</v>
      </c>
      <c r="G113" s="32">
        <v>0.013752490107534546</v>
      </c>
      <c r="H113" s="32">
        <v>-0.609337961331079</v>
      </c>
      <c r="I113" s="32">
        <v>-0.8943785815631995</v>
      </c>
      <c r="J113" s="32">
        <v>1.4022913158730546</v>
      </c>
      <c r="K113" s="32">
        <v>0.032812365900262506</v>
      </c>
      <c r="L113" s="32">
        <v>0.9628196371975923</v>
      </c>
      <c r="M113" s="32">
        <v>-0.7693674545776715</v>
      </c>
      <c r="N113" s="32">
        <v>-0.9574783162351477</v>
      </c>
      <c r="O113" s="34" t="s">
        <v>69</v>
      </c>
      <c r="P113" s="34" t="s">
        <v>69</v>
      </c>
      <c r="Q113" s="34" t="s">
        <v>69</v>
      </c>
      <c r="R113" s="34" t="s">
        <v>69</v>
      </c>
    </row>
    <row r="114">
      <c r="A114" s="27" t="s">
        <v>148</v>
      </c>
      <c r="B114" s="35">
        <v>81.04132352941176</v>
      </c>
      <c r="C114" s="36">
        <v>24.0</v>
      </c>
      <c r="D114" s="36">
        <v>7.0</v>
      </c>
      <c r="E114" s="37">
        <v>0.8847196848612887</v>
      </c>
      <c r="F114" s="37">
        <v>-0.5756031111640423</v>
      </c>
      <c r="G114" s="37">
        <v>-1.2682819819479407</v>
      </c>
      <c r="H114" s="37">
        <v>-0.5760725118800423</v>
      </c>
      <c r="I114" s="37">
        <v>-0.051573740204606255</v>
      </c>
      <c r="J114" s="37">
        <v>-0.7681255832936559</v>
      </c>
      <c r="K114" s="37">
        <v>2.0939470264090456</v>
      </c>
      <c r="L114" s="37">
        <v>0.0</v>
      </c>
      <c r="M114" s="37">
        <v>0.05059012220352344</v>
      </c>
      <c r="N114" s="37">
        <v>-0.949992675395311</v>
      </c>
      <c r="O114" s="34" t="s">
        <v>69</v>
      </c>
      <c r="P114" s="34" t="s">
        <v>69</v>
      </c>
      <c r="Q114" s="34" t="s">
        <v>69</v>
      </c>
      <c r="R114" s="34" t="s">
        <v>69</v>
      </c>
    </row>
    <row r="115">
      <c r="A115" s="27" t="s">
        <v>149</v>
      </c>
      <c r="B115" s="29">
        <v>78.52441176470587</v>
      </c>
      <c r="C115" s="31">
        <v>31.0</v>
      </c>
      <c r="D115" s="31">
        <v>7.0</v>
      </c>
      <c r="E115" s="32">
        <v>-0.16226459633553544</v>
      </c>
      <c r="F115" s="32">
        <v>-1.2234401428458728</v>
      </c>
      <c r="G115" s="32">
        <v>-1.842090340806534</v>
      </c>
      <c r="H115" s="32">
        <v>-0.02837157589405755</v>
      </c>
      <c r="I115" s="32">
        <v>-1.0825315467990992</v>
      </c>
      <c r="J115" s="32">
        <v>0.22710287637376947</v>
      </c>
      <c r="K115" s="32">
        <v>-0.05964183639875013</v>
      </c>
      <c r="L115" s="32">
        <v>0.0</v>
      </c>
      <c r="M115" s="32">
        <v>4.727577544683814</v>
      </c>
      <c r="N115" s="32">
        <v>-1.7174424746168928</v>
      </c>
      <c r="O115" s="34" t="s">
        <v>69</v>
      </c>
      <c r="P115" s="34" t="s">
        <v>69</v>
      </c>
      <c r="Q115" s="34" t="s">
        <v>69</v>
      </c>
      <c r="R115" s="34" t="s">
        <v>69</v>
      </c>
    </row>
    <row r="116">
      <c r="A116" s="27" t="s">
        <v>150</v>
      </c>
      <c r="B116" s="35">
        <v>79.22229166666666</v>
      </c>
      <c r="C116" s="36">
        <v>34.0</v>
      </c>
      <c r="D116" s="36">
        <v>7.0</v>
      </c>
      <c r="E116" s="37">
        <v>-2.0528450094022728</v>
      </c>
      <c r="F116" s="37">
        <v>-0.8940168004814047</v>
      </c>
      <c r="G116" s="37">
        <v>1.957250587909617</v>
      </c>
      <c r="H116" s="37">
        <v>1.7902011969988125</v>
      </c>
      <c r="I116" s="37">
        <v>-1.712003390146099</v>
      </c>
      <c r="J116" s="37">
        <v>-0.3069116123608059</v>
      </c>
      <c r="K116" s="37">
        <v>-1.1123222060198847</v>
      </c>
      <c r="L116" s="37">
        <v>0.0</v>
      </c>
      <c r="M116" s="37">
        <v>0.7650516199323092</v>
      </c>
      <c r="N116" s="37">
        <v>0.3577303377894242</v>
      </c>
      <c r="O116" s="34" t="s">
        <v>69</v>
      </c>
      <c r="P116" s="34" t="s">
        <v>69</v>
      </c>
      <c r="Q116" s="34" t="s">
        <v>69</v>
      </c>
      <c r="R116" s="34" t="s">
        <v>69</v>
      </c>
    </row>
    <row r="117">
      <c r="A117" s="27" t="s">
        <v>151</v>
      </c>
      <c r="B117" s="29">
        <v>80.4410294117647</v>
      </c>
      <c r="C117" s="31">
        <v>30.0</v>
      </c>
      <c r="D117" s="31">
        <v>5.0</v>
      </c>
      <c r="E117" s="32">
        <v>-1.2293517551570412</v>
      </c>
      <c r="F117" s="32">
        <v>1.221354688253384</v>
      </c>
      <c r="G117" s="32">
        <v>-1.4115645694352428</v>
      </c>
      <c r="H117" s="32">
        <v>-0.4032886348644207</v>
      </c>
      <c r="I117" s="32">
        <v>1.2355682138634867</v>
      </c>
      <c r="J117" s="32">
        <v>-0.1368367156551586</v>
      </c>
      <c r="K117" s="32">
        <v>-0.3407648046979832</v>
      </c>
      <c r="L117" s="32">
        <v>0.0</v>
      </c>
      <c r="M117" s="32">
        <v>-1.5417080857635037</v>
      </c>
      <c r="N117" s="32">
        <v>1.3679940686714858</v>
      </c>
      <c r="O117" s="34" t="s">
        <v>69</v>
      </c>
      <c r="P117" s="34" t="s">
        <v>69</v>
      </c>
      <c r="Q117" s="34" t="s">
        <v>69</v>
      </c>
      <c r="R117" s="34" t="s">
        <v>69</v>
      </c>
    </row>
    <row r="118">
      <c r="A118" s="27" t="s">
        <v>152</v>
      </c>
      <c r="B118" s="35">
        <v>79.8820588235294</v>
      </c>
      <c r="C118" s="36">
        <v>16.0</v>
      </c>
      <c r="D118" s="36">
        <v>6.0</v>
      </c>
      <c r="E118" s="37">
        <v>-1.2292977668128466</v>
      </c>
      <c r="F118" s="37">
        <v>1.1295114336950822</v>
      </c>
      <c r="G118" s="37">
        <v>0.6952243216295227</v>
      </c>
      <c r="H118" s="37">
        <v>-1.028530136047758</v>
      </c>
      <c r="I118" s="37">
        <v>0.3224079807410616</v>
      </c>
      <c r="J118" s="37">
        <v>-0.4703974531231911</v>
      </c>
      <c r="K118" s="37">
        <v>0.010997961631766926</v>
      </c>
      <c r="L118" s="37">
        <v>0.0</v>
      </c>
      <c r="M118" s="37">
        <v>-1.8350161437604937</v>
      </c>
      <c r="N118" s="37">
        <v>0.9838461821393386</v>
      </c>
      <c r="O118" s="34" t="s">
        <v>69</v>
      </c>
      <c r="P118" s="34" t="s">
        <v>69</v>
      </c>
      <c r="Q118" s="34" t="s">
        <v>69</v>
      </c>
      <c r="R118" s="34" t="s">
        <v>69</v>
      </c>
    </row>
    <row r="119">
      <c r="A119" s="27" t="s">
        <v>153</v>
      </c>
      <c r="B119" s="29">
        <v>82.07735294117647</v>
      </c>
      <c r="C119" s="31">
        <v>31.0</v>
      </c>
      <c r="D119" s="31">
        <v>7.0</v>
      </c>
      <c r="E119" s="32">
        <v>-1.7959582487547703</v>
      </c>
      <c r="F119" s="32">
        <v>-0.9724364715464042</v>
      </c>
      <c r="G119" s="32">
        <v>-1.526909261701922</v>
      </c>
      <c r="H119" s="32">
        <v>1.9765911772455393</v>
      </c>
      <c r="I119" s="32">
        <v>-1.5520129235065456</v>
      </c>
      <c r="J119" s="32">
        <v>-0.047793608205821264</v>
      </c>
      <c r="K119" s="32">
        <v>-0.02271166144475656</v>
      </c>
      <c r="L119" s="32">
        <v>0.0</v>
      </c>
      <c r="M119" s="32">
        <v>0.34875876653420057</v>
      </c>
      <c r="N119" s="32">
        <v>2.122519187938713</v>
      </c>
      <c r="O119" s="34" t="s">
        <v>69</v>
      </c>
      <c r="P119" s="34" t="s">
        <v>69</v>
      </c>
      <c r="Q119" s="34" t="s">
        <v>69</v>
      </c>
      <c r="R119" s="34" t="s">
        <v>69</v>
      </c>
    </row>
    <row r="120">
      <c r="A120" s="27" t="s">
        <v>154</v>
      </c>
      <c r="B120" s="35">
        <v>81.21926470588235</v>
      </c>
      <c r="C120" s="36">
        <v>23.0</v>
      </c>
      <c r="D120" s="36">
        <v>7.0</v>
      </c>
      <c r="E120" s="37">
        <v>0.6428280938797377</v>
      </c>
      <c r="F120" s="37">
        <v>0.9023946660675773</v>
      </c>
      <c r="G120" s="37">
        <v>1.1512977810447234</v>
      </c>
      <c r="H120" s="37">
        <v>-1.7115960798828074</v>
      </c>
      <c r="I120" s="37">
        <v>1.1806862023921447</v>
      </c>
      <c r="J120" s="37">
        <v>-0.7840203840298666</v>
      </c>
      <c r="K120" s="37">
        <v>1.0368450008619847</v>
      </c>
      <c r="L120" s="37">
        <v>0.0</v>
      </c>
      <c r="M120" s="37">
        <v>-2.06570218114351</v>
      </c>
      <c r="N120" s="37">
        <v>-1.8313756830722732</v>
      </c>
      <c r="O120" s="34" t="s">
        <v>69</v>
      </c>
      <c r="P120" s="34" t="s">
        <v>69</v>
      </c>
      <c r="Q120" s="34" t="s">
        <v>69</v>
      </c>
      <c r="R120" s="34" t="s">
        <v>69</v>
      </c>
    </row>
    <row r="121">
      <c r="A121" s="27" t="s">
        <v>155</v>
      </c>
      <c r="B121" s="29">
        <v>36.6</v>
      </c>
      <c r="C121" s="31">
        <v>24.0</v>
      </c>
      <c r="D121" s="31">
        <v>7.0</v>
      </c>
      <c r="E121" s="32" t="s">
        <v>69</v>
      </c>
      <c r="F121" s="32" t="s">
        <v>69</v>
      </c>
      <c r="G121" s="32" t="s">
        <v>69</v>
      </c>
      <c r="H121" s="32" t="s">
        <v>69</v>
      </c>
      <c r="I121" s="32" t="s">
        <v>69</v>
      </c>
      <c r="J121" s="32" t="s">
        <v>69</v>
      </c>
      <c r="K121" s="32" t="s">
        <v>69</v>
      </c>
      <c r="L121" s="32" t="s">
        <v>69</v>
      </c>
      <c r="M121" s="32" t="s">
        <v>69</v>
      </c>
      <c r="N121" s="32" t="s">
        <v>69</v>
      </c>
      <c r="O121" s="34">
        <v>-1.0786932068777682</v>
      </c>
      <c r="P121" s="34">
        <v>-0.4656725122455251</v>
      </c>
      <c r="Q121" s="34">
        <v>0.058678696313542666</v>
      </c>
      <c r="R121" s="34">
        <v>0.0</v>
      </c>
    </row>
    <row r="122">
      <c r="A122" s="27" t="s">
        <v>156</v>
      </c>
      <c r="B122" s="35">
        <v>82.61720588235295</v>
      </c>
      <c r="C122" s="36">
        <v>27.0</v>
      </c>
      <c r="D122" s="36">
        <v>6.0</v>
      </c>
      <c r="E122" s="37">
        <v>0.9717887127383908</v>
      </c>
      <c r="F122" s="37">
        <v>0.5900590872394282</v>
      </c>
      <c r="G122" s="37">
        <v>-1.2061079340791079</v>
      </c>
      <c r="H122" s="37">
        <v>-0.85847284782462</v>
      </c>
      <c r="I122" s="37">
        <v>1.519400434505044</v>
      </c>
      <c r="J122" s="37">
        <v>-0.7842393979202164</v>
      </c>
      <c r="K122" s="37">
        <v>0.28623766923024047</v>
      </c>
      <c r="L122" s="37">
        <v>0.0</v>
      </c>
      <c r="M122" s="37">
        <v>-0.11688969625822604</v>
      </c>
      <c r="N122" s="37">
        <v>-1.89105179171454</v>
      </c>
      <c r="O122" s="34" t="s">
        <v>69</v>
      </c>
      <c r="P122" s="34" t="s">
        <v>69</v>
      </c>
      <c r="Q122" s="34" t="s">
        <v>69</v>
      </c>
      <c r="R122" s="34" t="s">
        <v>69</v>
      </c>
    </row>
    <row r="123">
      <c r="A123" s="27" t="s">
        <v>157</v>
      </c>
      <c r="B123" s="29">
        <v>45.6</v>
      </c>
      <c r="C123" s="31">
        <v>24.0</v>
      </c>
      <c r="D123" s="31">
        <v>7.0</v>
      </c>
      <c r="E123" s="32" t="s">
        <v>69</v>
      </c>
      <c r="F123" s="32" t="s">
        <v>69</v>
      </c>
      <c r="G123" s="32" t="s">
        <v>69</v>
      </c>
      <c r="H123" s="32" t="s">
        <v>69</v>
      </c>
      <c r="I123" s="32" t="s">
        <v>69</v>
      </c>
      <c r="J123" s="32" t="s">
        <v>69</v>
      </c>
      <c r="K123" s="32" t="s">
        <v>69</v>
      </c>
      <c r="L123" s="32" t="s">
        <v>69</v>
      </c>
      <c r="M123" s="32" t="s">
        <v>69</v>
      </c>
      <c r="N123" s="32" t="s">
        <v>69</v>
      </c>
      <c r="O123" s="34">
        <v>-0.437837857432422</v>
      </c>
      <c r="P123" s="34">
        <v>-0.6549385249242392</v>
      </c>
      <c r="Q123" s="34">
        <v>-0.46522622550054576</v>
      </c>
      <c r="R123" s="34">
        <v>0.0</v>
      </c>
    </row>
    <row r="124">
      <c r="A124" s="27" t="s">
        <v>158</v>
      </c>
      <c r="B124" s="35">
        <v>45.6</v>
      </c>
      <c r="C124" s="36">
        <v>29.0</v>
      </c>
      <c r="D124" s="36">
        <v>7.0</v>
      </c>
      <c r="E124" s="37" t="s">
        <v>69</v>
      </c>
      <c r="F124" s="37" t="s">
        <v>69</v>
      </c>
      <c r="G124" s="37" t="s">
        <v>69</v>
      </c>
      <c r="H124" s="37" t="s">
        <v>69</v>
      </c>
      <c r="I124" s="37" t="s">
        <v>69</v>
      </c>
      <c r="J124" s="37" t="s">
        <v>69</v>
      </c>
      <c r="K124" s="37" t="s">
        <v>69</v>
      </c>
      <c r="L124" s="37" t="s">
        <v>69</v>
      </c>
      <c r="M124" s="37" t="s">
        <v>69</v>
      </c>
      <c r="N124" s="37" t="s">
        <v>69</v>
      </c>
      <c r="O124" s="34">
        <v>-0.11241412231585791</v>
      </c>
      <c r="P124" s="34">
        <v>-1.3392079553780432</v>
      </c>
      <c r="Q124" s="34">
        <v>-0.10676496320667646</v>
      </c>
      <c r="R124" s="34">
        <v>0.0</v>
      </c>
    </row>
    <row r="125">
      <c r="A125" s="27" t="s">
        <v>159</v>
      </c>
      <c r="B125" s="29">
        <v>82.70735294117648</v>
      </c>
      <c r="C125" s="31">
        <v>33.0</v>
      </c>
      <c r="D125" s="31">
        <v>8.0</v>
      </c>
      <c r="E125" s="32">
        <v>0.15047569406405928</v>
      </c>
      <c r="F125" s="32">
        <v>0.8809489729459424</v>
      </c>
      <c r="G125" s="32">
        <v>-0.5903427133635357</v>
      </c>
      <c r="H125" s="32">
        <v>-0.7396753394773126</v>
      </c>
      <c r="I125" s="32">
        <v>1.1072480581592965</v>
      </c>
      <c r="J125" s="32">
        <v>-0.777112377955197</v>
      </c>
      <c r="K125" s="32">
        <v>-0.49134897582580583</v>
      </c>
      <c r="L125" s="32">
        <v>2.2609835396809603</v>
      </c>
      <c r="M125" s="32">
        <v>-2.343441441623867</v>
      </c>
      <c r="N125" s="32">
        <v>-1.1066953471008325</v>
      </c>
      <c r="O125" s="34" t="s">
        <v>69</v>
      </c>
      <c r="P125" s="34" t="s">
        <v>69</v>
      </c>
      <c r="Q125" s="34" t="s">
        <v>69</v>
      </c>
      <c r="R125" s="34" t="s">
        <v>69</v>
      </c>
    </row>
    <row r="126">
      <c r="A126" s="27" t="s">
        <v>160</v>
      </c>
      <c r="B126" s="35">
        <v>45.0</v>
      </c>
      <c r="C126" s="36">
        <v>25.0</v>
      </c>
      <c r="D126" s="36">
        <v>6.0</v>
      </c>
      <c r="E126" s="37" t="s">
        <v>69</v>
      </c>
      <c r="F126" s="37" t="s">
        <v>69</v>
      </c>
      <c r="G126" s="37" t="s">
        <v>69</v>
      </c>
      <c r="H126" s="37" t="s">
        <v>69</v>
      </c>
      <c r="I126" s="37" t="s">
        <v>69</v>
      </c>
      <c r="J126" s="37" t="s">
        <v>69</v>
      </c>
      <c r="K126" s="37" t="s">
        <v>69</v>
      </c>
      <c r="L126" s="37" t="s">
        <v>69</v>
      </c>
      <c r="M126" s="37" t="s">
        <v>69</v>
      </c>
      <c r="N126" s="37" t="s">
        <v>69</v>
      </c>
      <c r="O126" s="34">
        <v>-0.17659677290519812</v>
      </c>
      <c r="P126" s="34">
        <v>-1.1499419426993382</v>
      </c>
      <c r="Q126" s="34">
        <v>-0.3825043957404056</v>
      </c>
      <c r="R126" s="34">
        <v>0.0</v>
      </c>
    </row>
    <row r="127">
      <c r="A127" s="27" t="s">
        <v>161</v>
      </c>
      <c r="B127" s="29">
        <v>81.92857142857143</v>
      </c>
      <c r="C127" s="31">
        <v>23.0</v>
      </c>
      <c r="D127" s="31">
        <v>7.0</v>
      </c>
      <c r="E127" s="32">
        <v>-1.57009921502749</v>
      </c>
      <c r="F127" s="32">
        <v>-0.9965783656765738</v>
      </c>
      <c r="G127" s="32">
        <v>1.3154657668816128</v>
      </c>
      <c r="H127" s="32">
        <v>0.4149694139450291</v>
      </c>
      <c r="I127" s="32">
        <v>-1.5320868558648821</v>
      </c>
      <c r="J127" s="32">
        <v>-0.16952108464970286</v>
      </c>
      <c r="K127" s="32">
        <v>-0.011145055808582719</v>
      </c>
      <c r="L127" s="32">
        <v>0.0</v>
      </c>
      <c r="M127" s="32">
        <v>-0.04772864140451803</v>
      </c>
      <c r="N127" s="32">
        <v>0.8856630055109165</v>
      </c>
      <c r="O127" s="34" t="s">
        <v>69</v>
      </c>
      <c r="P127" s="34" t="s">
        <v>69</v>
      </c>
      <c r="Q127" s="34" t="s">
        <v>69</v>
      </c>
      <c r="R127" s="34" t="s">
        <v>69</v>
      </c>
    </row>
    <row r="128">
      <c r="A128" s="27" t="s">
        <v>162</v>
      </c>
      <c r="B128" s="35">
        <v>81.54720588235294</v>
      </c>
      <c r="C128" s="36">
        <v>26.0</v>
      </c>
      <c r="D128" s="36">
        <v>5.0</v>
      </c>
      <c r="E128" s="37">
        <v>-1.107461430952993</v>
      </c>
      <c r="F128" s="37">
        <v>1.1993112634575414</v>
      </c>
      <c r="G128" s="37">
        <v>0.06129092085513806</v>
      </c>
      <c r="H128" s="37">
        <v>-0.8237364011889379</v>
      </c>
      <c r="I128" s="37">
        <v>0.5280849172696424</v>
      </c>
      <c r="J128" s="37">
        <v>-0.7727215873922626</v>
      </c>
      <c r="K128" s="37">
        <v>-0.08106994157611663</v>
      </c>
      <c r="L128" s="37">
        <v>0.0</v>
      </c>
      <c r="M128" s="37">
        <v>-1.6285414849378248</v>
      </c>
      <c r="N128" s="37">
        <v>0.8245970861706562</v>
      </c>
      <c r="O128" s="34" t="s">
        <v>69</v>
      </c>
      <c r="P128" s="34" t="s">
        <v>69</v>
      </c>
      <c r="Q128" s="34" t="s">
        <v>69</v>
      </c>
      <c r="R128" s="34" t="s">
        <v>69</v>
      </c>
    </row>
    <row r="129">
      <c r="A129" s="27" t="s">
        <v>163</v>
      </c>
      <c r="B129" s="29">
        <v>34.8</v>
      </c>
      <c r="C129" s="31">
        <v>28.0</v>
      </c>
      <c r="D129" s="31">
        <v>7.0</v>
      </c>
      <c r="E129" s="32" t="s">
        <v>69</v>
      </c>
      <c r="F129" s="32" t="s">
        <v>69</v>
      </c>
      <c r="G129" s="32" t="s">
        <v>69</v>
      </c>
      <c r="H129" s="32" t="s">
        <v>69</v>
      </c>
      <c r="I129" s="32" t="s">
        <v>69</v>
      </c>
      <c r="J129" s="32" t="s">
        <v>69</v>
      </c>
      <c r="K129" s="32" t="s">
        <v>69</v>
      </c>
      <c r="L129" s="32" t="s">
        <v>69</v>
      </c>
      <c r="M129" s="32" t="s">
        <v>69</v>
      </c>
      <c r="N129" s="32" t="s">
        <v>69</v>
      </c>
      <c r="O129" s="34">
        <v>-1.5415355793943402</v>
      </c>
      <c r="P129" s="34">
        <v>0.3933040068347853</v>
      </c>
      <c r="Q129" s="34">
        <v>-0.7685396012876754</v>
      </c>
      <c r="R129" s="34">
        <v>0.05106274251795527</v>
      </c>
    </row>
    <row r="130">
      <c r="A130" s="27" t="s">
        <v>164</v>
      </c>
      <c r="B130" s="35">
        <v>72.17647058823529</v>
      </c>
      <c r="C130" s="36">
        <v>34.0</v>
      </c>
      <c r="D130" s="36">
        <v>7.0</v>
      </c>
      <c r="E130" s="37">
        <v>-0.2833160306838777</v>
      </c>
      <c r="F130" s="37">
        <v>-0.42805191336630577</v>
      </c>
      <c r="G130" s="37">
        <v>1.8826359220669666</v>
      </c>
      <c r="H130" s="37">
        <v>0.3693705026595607</v>
      </c>
      <c r="I130" s="37">
        <v>-0.7781783106484716</v>
      </c>
      <c r="J130" s="37">
        <v>-0.7789752135329593</v>
      </c>
      <c r="K130" s="37">
        <v>-0.05047639812879604</v>
      </c>
      <c r="L130" s="37">
        <v>0.0</v>
      </c>
      <c r="M130" s="37">
        <v>-0.4742653795634667</v>
      </c>
      <c r="N130" s="37">
        <v>-1.422517567961786</v>
      </c>
      <c r="O130" s="34" t="s">
        <v>69</v>
      </c>
      <c r="P130" s="34" t="s">
        <v>69</v>
      </c>
      <c r="Q130" s="34" t="s">
        <v>69</v>
      </c>
      <c r="R130" s="34" t="s">
        <v>69</v>
      </c>
    </row>
    <row r="131">
      <c r="A131" s="27" t="s">
        <v>165</v>
      </c>
      <c r="B131" s="29">
        <v>76.31779411764705</v>
      </c>
      <c r="C131" s="31">
        <v>24.0</v>
      </c>
      <c r="D131" s="31">
        <v>7.0</v>
      </c>
      <c r="E131" s="32">
        <v>-1.1337981896995741</v>
      </c>
      <c r="F131" s="32">
        <v>-0.1055035115928285</v>
      </c>
      <c r="G131" s="32">
        <v>-0.21033812433465832</v>
      </c>
      <c r="H131" s="32">
        <v>-0.0187408664268335</v>
      </c>
      <c r="I131" s="32">
        <v>0.1287253021566723</v>
      </c>
      <c r="J131" s="32">
        <v>-0.7535842952541609</v>
      </c>
      <c r="K131" s="32">
        <v>1.029322988024719</v>
      </c>
      <c r="L131" s="32">
        <v>0.0</v>
      </c>
      <c r="M131" s="32">
        <v>-0.9565416405599043</v>
      </c>
      <c r="N131" s="32">
        <v>-0.015229316692295453</v>
      </c>
      <c r="O131" s="34" t="s">
        <v>69</v>
      </c>
      <c r="P131" s="34" t="s">
        <v>69</v>
      </c>
      <c r="Q131" s="34" t="s">
        <v>69</v>
      </c>
      <c r="R131" s="34" t="s">
        <v>69</v>
      </c>
    </row>
    <row r="132">
      <c r="A132" s="27" t="s">
        <v>166</v>
      </c>
      <c r="B132" s="35">
        <v>79.99083333333333</v>
      </c>
      <c r="C132" s="36">
        <v>30.0</v>
      </c>
      <c r="D132" s="36">
        <v>5.0</v>
      </c>
      <c r="E132" s="37">
        <v>-1.139536242616884</v>
      </c>
      <c r="F132" s="37">
        <v>-1.3697399986040968</v>
      </c>
      <c r="G132" s="37">
        <v>-0.11567641679339143</v>
      </c>
      <c r="H132" s="37">
        <v>1.5497962866935828</v>
      </c>
      <c r="I132" s="37">
        <v>-1.5686402752660729</v>
      </c>
      <c r="J132" s="37">
        <v>-0.11105105055910078</v>
      </c>
      <c r="K132" s="37">
        <v>-1.5874899913295886</v>
      </c>
      <c r="L132" s="37">
        <v>0.41534598181241156</v>
      </c>
      <c r="M132" s="37">
        <v>3.0578505937669935</v>
      </c>
      <c r="N132" s="37">
        <v>-1.2106143905449689</v>
      </c>
      <c r="O132" s="34" t="s">
        <v>69</v>
      </c>
      <c r="P132" s="34" t="s">
        <v>69</v>
      </c>
      <c r="Q132" s="34" t="s">
        <v>69</v>
      </c>
      <c r="R132" s="34" t="s">
        <v>69</v>
      </c>
    </row>
    <row r="133">
      <c r="A133" s="27" t="s">
        <v>167</v>
      </c>
      <c r="B133" s="29">
        <v>78.23926470588236</v>
      </c>
      <c r="C133" s="31">
        <v>29.0</v>
      </c>
      <c r="D133" s="31">
        <v>7.0</v>
      </c>
      <c r="E133" s="32">
        <v>-0.22073992631725922</v>
      </c>
      <c r="F133" s="32">
        <v>-0.41799344080895473</v>
      </c>
      <c r="G133" s="32">
        <v>-0.34734260711780995</v>
      </c>
      <c r="H133" s="32">
        <v>-0.5584182701693314</v>
      </c>
      <c r="I133" s="32">
        <v>-0.511728383590979</v>
      </c>
      <c r="J133" s="32">
        <v>0.44180393407094964</v>
      </c>
      <c r="K133" s="32">
        <v>-0.1024344243114339</v>
      </c>
      <c r="L133" s="32">
        <v>1.7556110953282402</v>
      </c>
      <c r="M133" s="32">
        <v>-0.7773856519843738</v>
      </c>
      <c r="N133" s="32">
        <v>-1.3439205647415664</v>
      </c>
      <c r="O133" s="34" t="s">
        <v>69</v>
      </c>
      <c r="P133" s="34" t="s">
        <v>69</v>
      </c>
      <c r="Q133" s="34" t="s">
        <v>69</v>
      </c>
      <c r="R133" s="34" t="s">
        <v>69</v>
      </c>
    </row>
    <row r="134">
      <c r="A134" s="27" t="s">
        <v>168</v>
      </c>
      <c r="B134" s="35">
        <v>82.27808823529412</v>
      </c>
      <c r="C134" s="36">
        <v>28.0</v>
      </c>
      <c r="D134" s="36">
        <v>7.0</v>
      </c>
      <c r="E134" s="37">
        <v>0.04852069305486574</v>
      </c>
      <c r="F134" s="37">
        <v>-0.8069650875841575</v>
      </c>
      <c r="G134" s="37">
        <v>-0.22592538564371598</v>
      </c>
      <c r="H134" s="37">
        <v>-1.2237818963830591</v>
      </c>
      <c r="I134" s="37">
        <v>-0.9847271323323904</v>
      </c>
      <c r="J134" s="37">
        <v>0.03492267026600341</v>
      </c>
      <c r="K134" s="37">
        <v>0.8186698268237499</v>
      </c>
      <c r="L134" s="37">
        <v>0.0</v>
      </c>
      <c r="M134" s="37">
        <v>1.5299920044595117</v>
      </c>
      <c r="N134" s="37">
        <v>-1.2786620616902988</v>
      </c>
      <c r="O134" s="34" t="s">
        <v>69</v>
      </c>
      <c r="P134" s="34" t="s">
        <v>69</v>
      </c>
      <c r="Q134" s="34" t="s">
        <v>69</v>
      </c>
      <c r="R134" s="34" t="s">
        <v>69</v>
      </c>
    </row>
    <row r="135">
      <c r="A135" s="27" t="s">
        <v>169</v>
      </c>
      <c r="B135" s="29">
        <v>76.55705882352942</v>
      </c>
      <c r="C135" s="31">
        <v>28.0</v>
      </c>
      <c r="D135" s="31">
        <v>7.0</v>
      </c>
      <c r="E135" s="32">
        <v>0.22678047041451843</v>
      </c>
      <c r="F135" s="32">
        <v>0.9181522140692969</v>
      </c>
      <c r="G135" s="32">
        <v>-0.8681992074029216</v>
      </c>
      <c r="H135" s="32">
        <v>0.8557473686971019</v>
      </c>
      <c r="I135" s="32">
        <v>1.0007253051201541</v>
      </c>
      <c r="J135" s="32">
        <v>-0.7861350067208955</v>
      </c>
      <c r="K135" s="32">
        <v>0.2766920235215683</v>
      </c>
      <c r="L135" s="32">
        <v>0.007397434126359557</v>
      </c>
      <c r="M135" s="32">
        <v>-1.9699729330614364</v>
      </c>
      <c r="N135" s="32">
        <v>-1.752563291825663</v>
      </c>
      <c r="O135" s="34" t="s">
        <v>69</v>
      </c>
      <c r="P135" s="34" t="s">
        <v>69</v>
      </c>
      <c r="Q135" s="34" t="s">
        <v>69</v>
      </c>
      <c r="R135" s="34" t="s">
        <v>69</v>
      </c>
    </row>
    <row r="136">
      <c r="A136" s="27" t="s">
        <v>170</v>
      </c>
      <c r="B136" s="35">
        <v>78.02985294117647</v>
      </c>
      <c r="C136" s="36">
        <v>25.0</v>
      </c>
      <c r="D136" s="36">
        <v>6.0</v>
      </c>
      <c r="E136" s="37">
        <v>-0.08616667087651968</v>
      </c>
      <c r="F136" s="37">
        <v>1.517738591007329</v>
      </c>
      <c r="G136" s="37">
        <v>-0.40441234213969973</v>
      </c>
      <c r="H136" s="37">
        <v>-0.6381308333674465</v>
      </c>
      <c r="I136" s="37">
        <v>0.6818014429336928</v>
      </c>
      <c r="J136" s="37">
        <v>-0.7792167418519466</v>
      </c>
      <c r="K136" s="37">
        <v>0.6067723685851424</v>
      </c>
      <c r="L136" s="37">
        <v>0.0</v>
      </c>
      <c r="M136" s="37">
        <v>-1.8545786511944307</v>
      </c>
      <c r="N136" s="37">
        <v>-1.1444438129117045</v>
      </c>
      <c r="O136" s="34" t="s">
        <v>69</v>
      </c>
      <c r="P136" s="34" t="s">
        <v>69</v>
      </c>
      <c r="Q136" s="34" t="s">
        <v>69</v>
      </c>
      <c r="R136" s="34" t="s">
        <v>69</v>
      </c>
    </row>
    <row r="137">
      <c r="A137" s="27" t="s">
        <v>171</v>
      </c>
      <c r="B137" s="29">
        <v>76.60161764705882</v>
      </c>
      <c r="C137" s="31">
        <v>28.0</v>
      </c>
      <c r="D137" s="31">
        <v>7.0</v>
      </c>
      <c r="E137" s="32">
        <v>1.1732491416584454</v>
      </c>
      <c r="F137" s="32">
        <v>0.2406839893121163</v>
      </c>
      <c r="G137" s="32">
        <v>-1.6066961250283547</v>
      </c>
      <c r="H137" s="32">
        <v>-1.376569857269835</v>
      </c>
      <c r="I137" s="32">
        <v>0.8422141126487116</v>
      </c>
      <c r="J137" s="32">
        <v>0.2553151250796449</v>
      </c>
      <c r="K137" s="32">
        <v>0.7355330713624663</v>
      </c>
      <c r="L137" s="32">
        <v>0.0</v>
      </c>
      <c r="M137" s="32">
        <v>-1.6860989812894467</v>
      </c>
      <c r="N137" s="32">
        <v>-0.6912458797690231</v>
      </c>
      <c r="O137" s="34" t="s">
        <v>69</v>
      </c>
      <c r="P137" s="34" t="s">
        <v>69</v>
      </c>
      <c r="Q137" s="34" t="s">
        <v>69</v>
      </c>
      <c r="R137" s="34" t="s">
        <v>69</v>
      </c>
    </row>
    <row r="138">
      <c r="A138" s="27" t="s">
        <v>172</v>
      </c>
      <c r="B138" s="35">
        <v>78.06661764705882</v>
      </c>
      <c r="C138" s="36">
        <v>24.0</v>
      </c>
      <c r="D138" s="36">
        <v>7.0</v>
      </c>
      <c r="E138" s="37">
        <v>0.04629560960749579</v>
      </c>
      <c r="F138" s="37">
        <v>-0.8464162487870622</v>
      </c>
      <c r="G138" s="37">
        <v>-0.5882245513444795</v>
      </c>
      <c r="H138" s="37">
        <v>0.8328955719156937</v>
      </c>
      <c r="I138" s="37">
        <v>-0.43125125132783754</v>
      </c>
      <c r="J138" s="37">
        <v>-0.7806054907661258</v>
      </c>
      <c r="K138" s="37">
        <v>0.3117206204283912</v>
      </c>
      <c r="L138" s="37">
        <v>0.9495735171215877</v>
      </c>
      <c r="M138" s="37">
        <v>-1.2052802381308536</v>
      </c>
      <c r="N138" s="37">
        <v>-0.43846457991220683</v>
      </c>
      <c r="O138" s="34" t="s">
        <v>69</v>
      </c>
      <c r="P138" s="34" t="s">
        <v>69</v>
      </c>
      <c r="Q138" s="34" t="s">
        <v>69</v>
      </c>
      <c r="R138" s="34" t="s">
        <v>69</v>
      </c>
    </row>
    <row r="139">
      <c r="A139" s="27" t="s">
        <v>173</v>
      </c>
      <c r="B139" s="29">
        <v>81.60705882352941</v>
      </c>
      <c r="C139" s="31">
        <v>18.0</v>
      </c>
      <c r="D139" s="31">
        <v>6.0</v>
      </c>
      <c r="E139" s="32">
        <v>0.19413450439242996</v>
      </c>
      <c r="F139" s="32">
        <v>0.7438237873944127</v>
      </c>
      <c r="G139" s="32">
        <v>-1.3397459576952446</v>
      </c>
      <c r="H139" s="32">
        <v>-1.4539786380542858</v>
      </c>
      <c r="I139" s="32">
        <v>0.6064339513919171</v>
      </c>
      <c r="J139" s="32">
        <v>0.08506149118319198</v>
      </c>
      <c r="K139" s="32">
        <v>-0.31084641037336946</v>
      </c>
      <c r="L139" s="32">
        <v>2.2461263582506805</v>
      </c>
      <c r="M139" s="32">
        <v>-2.2483853619491674</v>
      </c>
      <c r="N139" s="32">
        <v>-0.6982091476559963</v>
      </c>
      <c r="O139" s="34" t="s">
        <v>69</v>
      </c>
      <c r="P139" s="34" t="s">
        <v>69</v>
      </c>
      <c r="Q139" s="34" t="s">
        <v>69</v>
      </c>
      <c r="R139" s="34" t="s">
        <v>69</v>
      </c>
    </row>
    <row r="140">
      <c r="A140" s="27" t="s">
        <v>174</v>
      </c>
      <c r="B140" s="35">
        <v>82.43691176470588</v>
      </c>
      <c r="C140" s="36">
        <v>34.0</v>
      </c>
      <c r="D140" s="36">
        <v>7.0</v>
      </c>
      <c r="E140" s="37">
        <v>0.35026611479216707</v>
      </c>
      <c r="F140" s="37">
        <v>0.2679845259298981</v>
      </c>
      <c r="G140" s="37">
        <v>-1.3834185841814786</v>
      </c>
      <c r="H140" s="37">
        <v>-0.46418747216638206</v>
      </c>
      <c r="I140" s="37">
        <v>0.5560188932384641</v>
      </c>
      <c r="J140" s="37">
        <v>-0.7766840902181598</v>
      </c>
      <c r="K140" s="37">
        <v>1.322651926609696</v>
      </c>
      <c r="L140" s="37">
        <v>1.2842395429626814</v>
      </c>
      <c r="M140" s="37">
        <v>-1.5918905088068294</v>
      </c>
      <c r="N140" s="37">
        <v>-1.7711049933930916</v>
      </c>
      <c r="O140" s="34" t="s">
        <v>69</v>
      </c>
      <c r="P140" s="34" t="s">
        <v>69</v>
      </c>
      <c r="Q140" s="34" t="s">
        <v>69</v>
      </c>
      <c r="R140" s="34" t="s">
        <v>69</v>
      </c>
    </row>
    <row r="141">
      <c r="A141" s="27" t="s">
        <v>175</v>
      </c>
      <c r="B141" s="29">
        <v>78.33000000000001</v>
      </c>
      <c r="C141" s="31">
        <v>16.0</v>
      </c>
      <c r="D141" s="31">
        <v>6.0</v>
      </c>
      <c r="E141" s="32">
        <v>1.4923263163766778</v>
      </c>
      <c r="F141" s="32">
        <v>0.5215580069892337</v>
      </c>
      <c r="G141" s="32">
        <v>0.5840456562464665</v>
      </c>
      <c r="H141" s="32">
        <v>-1.996875357035901</v>
      </c>
      <c r="I141" s="32">
        <v>1.0346632736533792</v>
      </c>
      <c r="J141" s="32">
        <v>-0.7800864167090529</v>
      </c>
      <c r="K141" s="32">
        <v>0.24268077111463515</v>
      </c>
      <c r="L141" s="32">
        <v>0.5777601981084417</v>
      </c>
      <c r="M141" s="32">
        <v>-2.2832903443057537</v>
      </c>
      <c r="N141" s="32">
        <v>-1.6382564689325245</v>
      </c>
      <c r="O141" s="34" t="s">
        <v>69</v>
      </c>
      <c r="P141" s="34" t="s">
        <v>69</v>
      </c>
      <c r="Q141" s="34" t="s">
        <v>69</v>
      </c>
      <c r="R141" s="34" t="s">
        <v>69</v>
      </c>
    </row>
    <row r="142">
      <c r="A142" s="27" t="s">
        <v>176</v>
      </c>
      <c r="B142" s="35">
        <v>83.07000000000001</v>
      </c>
      <c r="C142" s="36">
        <v>18.0</v>
      </c>
      <c r="D142" s="36">
        <v>6.0</v>
      </c>
      <c r="E142" s="37">
        <v>1.69967856591836</v>
      </c>
      <c r="F142" s="37">
        <v>-0.32307083654373747</v>
      </c>
      <c r="G142" s="37">
        <v>-2.9762465695448</v>
      </c>
      <c r="H142" s="37">
        <v>0.06984355235041496</v>
      </c>
      <c r="I142" s="37">
        <v>1.2479268911058683</v>
      </c>
      <c r="J142" s="37">
        <v>-0.7808479426439073</v>
      </c>
      <c r="K142" s="37">
        <v>0.8320087551891648</v>
      </c>
      <c r="L142" s="37">
        <v>0.4985044653077665</v>
      </c>
      <c r="M142" s="37">
        <v>-0.994320192789633</v>
      </c>
      <c r="N142" s="37">
        <v>-1.5193529168900406</v>
      </c>
      <c r="O142" s="34" t="s">
        <v>69</v>
      </c>
      <c r="P142" s="34" t="s">
        <v>69</v>
      </c>
      <c r="Q142" s="34" t="s">
        <v>69</v>
      </c>
      <c r="R142" s="34" t="s">
        <v>69</v>
      </c>
    </row>
    <row r="143">
      <c r="A143" s="27" t="s">
        <v>177</v>
      </c>
      <c r="B143" s="29">
        <v>75.98073529411765</v>
      </c>
      <c r="C143" s="31">
        <v>18.0</v>
      </c>
      <c r="D143" s="31">
        <v>6.0</v>
      </c>
      <c r="E143" s="32">
        <v>-0.8152290064327083</v>
      </c>
      <c r="F143" s="32">
        <v>1.1038434149597622</v>
      </c>
      <c r="G143" s="32">
        <v>-2.378196842763194</v>
      </c>
      <c r="H143" s="32">
        <v>-0.7666574641178978</v>
      </c>
      <c r="I143" s="32">
        <v>1.283844776795131</v>
      </c>
      <c r="J143" s="32">
        <v>-0.7106764775268594</v>
      </c>
      <c r="K143" s="32">
        <v>0.8639390885488317</v>
      </c>
      <c r="L143" s="32">
        <v>0.0</v>
      </c>
      <c r="M143" s="32">
        <v>-1.8714979347922143</v>
      </c>
      <c r="N143" s="32">
        <v>0.9406186353793043</v>
      </c>
      <c r="O143" s="34" t="s">
        <v>69</v>
      </c>
      <c r="P143" s="34" t="s">
        <v>69</v>
      </c>
      <c r="Q143" s="34" t="s">
        <v>69</v>
      </c>
      <c r="R143" s="34" t="s">
        <v>69</v>
      </c>
    </row>
    <row r="144">
      <c r="A144" s="27" t="s">
        <v>178</v>
      </c>
      <c r="B144" s="35">
        <v>82.59205882352941</v>
      </c>
      <c r="C144" s="36">
        <v>34.0</v>
      </c>
      <c r="D144" s="36">
        <v>7.0</v>
      </c>
      <c r="E144" s="37">
        <v>0.6772048244409563</v>
      </c>
      <c r="F144" s="37">
        <v>0.5184218695912066</v>
      </c>
      <c r="G144" s="37">
        <v>-2.0838911298399947</v>
      </c>
      <c r="H144" s="37">
        <v>0.6589147130235362</v>
      </c>
      <c r="I144" s="37">
        <v>0.1673310742131109</v>
      </c>
      <c r="J144" s="37">
        <v>-0.7767861184551701</v>
      </c>
      <c r="K144" s="37">
        <v>0.9864556853429253</v>
      </c>
      <c r="L144" s="37">
        <v>0.0</v>
      </c>
      <c r="M144" s="37">
        <v>-0.6660927784707442</v>
      </c>
      <c r="N144" s="37">
        <v>-1.8497566906574008</v>
      </c>
      <c r="O144" s="34" t="s">
        <v>69</v>
      </c>
      <c r="P144" s="34" t="s">
        <v>69</v>
      </c>
      <c r="Q144" s="34" t="s">
        <v>69</v>
      </c>
      <c r="R144" s="34" t="s">
        <v>69</v>
      </c>
    </row>
    <row r="145">
      <c r="A145" s="27" t="s">
        <v>179</v>
      </c>
      <c r="B145" s="29">
        <v>80.49107142857143</v>
      </c>
      <c r="C145" s="31">
        <v>23.0</v>
      </c>
      <c r="D145" s="31">
        <v>7.0</v>
      </c>
      <c r="E145" s="32">
        <v>-0.6504698652870697</v>
      </c>
      <c r="F145" s="32">
        <v>-1.0787697722317058</v>
      </c>
      <c r="G145" s="32">
        <v>0.6348000026371956</v>
      </c>
      <c r="H145" s="32">
        <v>-1.12618131220648</v>
      </c>
      <c r="I145" s="32">
        <v>-1.3425849897142477</v>
      </c>
      <c r="J145" s="32">
        <v>0.3731284637964989</v>
      </c>
      <c r="K145" s="32">
        <v>-1.170813487299474</v>
      </c>
      <c r="L145" s="32">
        <v>2.5878055705673173</v>
      </c>
      <c r="M145" s="32">
        <v>0.5992727425251853</v>
      </c>
      <c r="N145" s="32">
        <v>-1.1992365106805316</v>
      </c>
      <c r="O145" s="34" t="s">
        <v>69</v>
      </c>
      <c r="P145" s="34" t="s">
        <v>69</v>
      </c>
      <c r="Q145" s="34" t="s">
        <v>69</v>
      </c>
      <c r="R145" s="34" t="s">
        <v>69</v>
      </c>
    </row>
    <row r="146">
      <c r="A146" s="27" t="s">
        <v>180</v>
      </c>
      <c r="B146" s="35">
        <v>79.93132352941177</v>
      </c>
      <c r="C146" s="36">
        <v>28.0</v>
      </c>
      <c r="D146" s="36">
        <v>7.0</v>
      </c>
      <c r="E146" s="37">
        <v>0.8201515771245561</v>
      </c>
      <c r="F146" s="37">
        <v>0.13361112920854273</v>
      </c>
      <c r="G146" s="37">
        <v>-1.2476579646733859</v>
      </c>
      <c r="H146" s="37">
        <v>-0.1098939042856564</v>
      </c>
      <c r="I146" s="37">
        <v>1.103653646917209</v>
      </c>
      <c r="J146" s="37">
        <v>-0.7794780501826585</v>
      </c>
      <c r="K146" s="37">
        <v>1.039649291867408</v>
      </c>
      <c r="L146" s="37">
        <v>0.0</v>
      </c>
      <c r="M146" s="37">
        <v>-1.489517172836588</v>
      </c>
      <c r="N146" s="37">
        <v>-1.8503075303503536</v>
      </c>
      <c r="O146" s="34" t="s">
        <v>69</v>
      </c>
      <c r="P146" s="34" t="s">
        <v>69</v>
      </c>
      <c r="Q146" s="34" t="s">
        <v>69</v>
      </c>
      <c r="R146" s="34" t="s">
        <v>69</v>
      </c>
    </row>
    <row r="147">
      <c r="A147" s="27" t="s">
        <v>181</v>
      </c>
      <c r="B147" s="29">
        <v>83.03470588235294</v>
      </c>
      <c r="C147" s="31">
        <v>33.0</v>
      </c>
      <c r="D147" s="31">
        <v>6.0</v>
      </c>
      <c r="E147" s="32">
        <v>1.8413378697289937</v>
      </c>
      <c r="F147" s="32">
        <v>-0.43253308556348236</v>
      </c>
      <c r="G147" s="32">
        <v>-1.1814959121312378</v>
      </c>
      <c r="H147" s="32">
        <v>-1.1665908009745152</v>
      </c>
      <c r="I147" s="32">
        <v>1.2117853477672615</v>
      </c>
      <c r="J147" s="32">
        <v>-0.7857222831778068</v>
      </c>
      <c r="K147" s="32">
        <v>1.692486959352701</v>
      </c>
      <c r="L147" s="32">
        <v>0.0</v>
      </c>
      <c r="M147" s="32">
        <v>-2.0192739489221534</v>
      </c>
      <c r="N147" s="32">
        <v>-1.6576958412191114</v>
      </c>
      <c r="O147" s="34" t="s">
        <v>69</v>
      </c>
      <c r="P147" s="34" t="s">
        <v>69</v>
      </c>
      <c r="Q147" s="34" t="s">
        <v>69</v>
      </c>
      <c r="R147" s="34" t="s">
        <v>69</v>
      </c>
    </row>
    <row r="148">
      <c r="A148" s="27" t="s">
        <v>182</v>
      </c>
      <c r="B148" s="35">
        <v>80.48102941176471</v>
      </c>
      <c r="C148" s="36">
        <v>29.0</v>
      </c>
      <c r="D148" s="36">
        <v>6.0</v>
      </c>
      <c r="E148" s="37">
        <v>-1.7347591766857797</v>
      </c>
      <c r="F148" s="37">
        <v>-0.14536467509681586</v>
      </c>
      <c r="G148" s="37">
        <v>2.9269411903549174</v>
      </c>
      <c r="H148" s="37">
        <v>-0.738801345026332</v>
      </c>
      <c r="I148" s="37">
        <v>-1.3082049349595404</v>
      </c>
      <c r="J148" s="37">
        <v>-0.39964310112412804</v>
      </c>
      <c r="K148" s="37">
        <v>-0.6243651156809502</v>
      </c>
      <c r="L148" s="37">
        <v>0.0</v>
      </c>
      <c r="M148" s="37">
        <v>-1.2635333198624523</v>
      </c>
      <c r="N148" s="37">
        <v>0.7798015022729746</v>
      </c>
      <c r="O148" s="34" t="s">
        <v>69</v>
      </c>
      <c r="P148" s="34" t="s">
        <v>69</v>
      </c>
      <c r="Q148" s="34" t="s">
        <v>69</v>
      </c>
      <c r="R148" s="34" t="s">
        <v>69</v>
      </c>
    </row>
    <row r="149">
      <c r="A149" s="27" t="s">
        <v>183</v>
      </c>
      <c r="B149" s="29">
        <v>56.1764705882353</v>
      </c>
      <c r="C149" s="31">
        <v>23.0</v>
      </c>
      <c r="D149" s="31">
        <v>7.0</v>
      </c>
      <c r="E149" s="32">
        <v>0.5678799859840914</v>
      </c>
      <c r="F149" s="32">
        <v>-0.37841391278158054</v>
      </c>
      <c r="G149" s="32">
        <v>0.33724132239901544</v>
      </c>
      <c r="H149" s="32">
        <v>-1.9169824824120674</v>
      </c>
      <c r="I149" s="32">
        <v>0.11593721302283597</v>
      </c>
      <c r="J149" s="32">
        <v>1.7716451521633623</v>
      </c>
      <c r="K149" s="32">
        <v>0.05745972271271164</v>
      </c>
      <c r="L149" s="32">
        <v>0.0</v>
      </c>
      <c r="M149" s="32">
        <v>-1.281885195867137</v>
      </c>
      <c r="N149" s="32">
        <v>-1.782731712568233</v>
      </c>
      <c r="O149" s="34" t="s">
        <v>69</v>
      </c>
      <c r="P149" s="34" t="s">
        <v>69</v>
      </c>
      <c r="Q149" s="34" t="s">
        <v>69</v>
      </c>
      <c r="R149" s="34" t="s">
        <v>69</v>
      </c>
    </row>
    <row r="150">
      <c r="A150" s="27" t="s">
        <v>184</v>
      </c>
      <c r="B150" s="35">
        <v>80.89279411764706</v>
      </c>
      <c r="C150" s="36">
        <v>33.0</v>
      </c>
      <c r="D150" s="36">
        <v>8.0</v>
      </c>
      <c r="E150" s="37">
        <v>1.252261629967595</v>
      </c>
      <c r="F150" s="37">
        <v>-0.2823744051556651</v>
      </c>
      <c r="G150" s="37">
        <v>-0.7956836575239501</v>
      </c>
      <c r="H150" s="37">
        <v>-1.5737112953413446</v>
      </c>
      <c r="I150" s="37">
        <v>0.6160360512301758</v>
      </c>
      <c r="J150" s="37">
        <v>-0.7858716878711393</v>
      </c>
      <c r="K150" s="37">
        <v>1.3542612671347538</v>
      </c>
      <c r="L150" s="37">
        <v>0.0</v>
      </c>
      <c r="M150" s="37">
        <v>-0.09372268886818694</v>
      </c>
      <c r="N150" s="37">
        <v>-2.2052992295432725</v>
      </c>
      <c r="O150" s="34" t="s">
        <v>69</v>
      </c>
      <c r="P150" s="34" t="s">
        <v>69</v>
      </c>
      <c r="Q150" s="34" t="s">
        <v>69</v>
      </c>
      <c r="R150" s="34" t="s">
        <v>69</v>
      </c>
    </row>
    <row r="151">
      <c r="A151" s="27" t="s">
        <v>185</v>
      </c>
      <c r="B151" s="29">
        <v>82.13970588235294</v>
      </c>
      <c r="C151" s="31">
        <v>24.0</v>
      </c>
      <c r="D151" s="31">
        <v>7.0</v>
      </c>
      <c r="E151" s="32">
        <v>-1.1081453038377267</v>
      </c>
      <c r="F151" s="32">
        <v>-0.05177358283930555</v>
      </c>
      <c r="G151" s="32">
        <v>0.7189757054119053</v>
      </c>
      <c r="H151" s="32">
        <v>-0.85222145848922</v>
      </c>
      <c r="I151" s="32">
        <v>-0.6873105841194819</v>
      </c>
      <c r="J151" s="32">
        <v>-0.028639464810719346</v>
      </c>
      <c r="K151" s="32">
        <v>-0.1589695852896818</v>
      </c>
      <c r="L151" s="32">
        <v>0.0</v>
      </c>
      <c r="M151" s="32">
        <v>-1.8732431589237992</v>
      </c>
      <c r="N151" s="32">
        <v>1.5269971508603746</v>
      </c>
      <c r="O151" s="34" t="s">
        <v>69</v>
      </c>
      <c r="P151" s="34" t="s">
        <v>69</v>
      </c>
      <c r="Q151" s="34" t="s">
        <v>69</v>
      </c>
      <c r="R151" s="34" t="s">
        <v>69</v>
      </c>
    </row>
    <row r="152">
      <c r="A152" s="27" t="s">
        <v>186</v>
      </c>
      <c r="B152" s="35">
        <v>54.8</v>
      </c>
      <c r="C152" s="36">
        <v>31.0</v>
      </c>
      <c r="D152" s="36">
        <v>7.0</v>
      </c>
      <c r="E152" s="37" t="s">
        <v>69</v>
      </c>
      <c r="F152" s="37" t="s">
        <v>69</v>
      </c>
      <c r="G152" s="37" t="s">
        <v>69</v>
      </c>
      <c r="H152" s="37" t="s">
        <v>69</v>
      </c>
      <c r="I152" s="37" t="s">
        <v>69</v>
      </c>
      <c r="J152" s="37" t="s">
        <v>69</v>
      </c>
      <c r="K152" s="37" t="s">
        <v>69</v>
      </c>
      <c r="L152" s="37" t="s">
        <v>69</v>
      </c>
      <c r="M152" s="37" t="s">
        <v>69</v>
      </c>
      <c r="N152" s="37" t="s">
        <v>69</v>
      </c>
      <c r="O152" s="34">
        <v>-0.11025599687573182</v>
      </c>
      <c r="P152" s="34">
        <v>-2.0525952339362763</v>
      </c>
      <c r="Q152" s="34">
        <v>-0.6306698850207649</v>
      </c>
      <c r="R152" s="34">
        <v>0.2711350830653638</v>
      </c>
    </row>
    <row r="153">
      <c r="A153" s="27" t="s">
        <v>187</v>
      </c>
      <c r="B153" s="29">
        <v>82.48176470588236</v>
      </c>
      <c r="C153" s="31">
        <v>30.0</v>
      </c>
      <c r="D153" s="31">
        <v>5.0</v>
      </c>
      <c r="E153" s="32">
        <v>0.6712466684338604</v>
      </c>
      <c r="F153" s="32">
        <v>0.6468878542647802</v>
      </c>
      <c r="G153" s="32">
        <v>-0.5618430783659774</v>
      </c>
      <c r="H153" s="32">
        <v>-1.6238039849821495</v>
      </c>
      <c r="I153" s="32">
        <v>0.6842926664853995</v>
      </c>
      <c r="J153" s="32">
        <v>0.06126821415158471</v>
      </c>
      <c r="K153" s="32">
        <v>0.46021877036590864</v>
      </c>
      <c r="L153" s="32">
        <v>0.5603937819463933</v>
      </c>
      <c r="M153" s="32">
        <v>-2.2097149271256704</v>
      </c>
      <c r="N153" s="32">
        <v>-1.2230296106316614</v>
      </c>
      <c r="O153" s="34" t="s">
        <v>69</v>
      </c>
      <c r="P153" s="34" t="s">
        <v>69</v>
      </c>
      <c r="Q153" s="34" t="s">
        <v>69</v>
      </c>
      <c r="R153" s="34" t="s">
        <v>69</v>
      </c>
    </row>
    <row r="154">
      <c r="A154" s="27" t="s">
        <v>188</v>
      </c>
      <c r="B154" s="35">
        <v>55.5</v>
      </c>
      <c r="C154" s="36">
        <v>23.0</v>
      </c>
      <c r="D154" s="36">
        <v>6.0</v>
      </c>
      <c r="E154" s="37" t="s">
        <v>69</v>
      </c>
      <c r="F154" s="37" t="s">
        <v>69</v>
      </c>
      <c r="G154" s="37" t="s">
        <v>69</v>
      </c>
      <c r="H154" s="37" t="s">
        <v>69</v>
      </c>
      <c r="I154" s="37" t="s">
        <v>69</v>
      </c>
      <c r="J154" s="37" t="s">
        <v>69</v>
      </c>
      <c r="K154" s="37" t="s">
        <v>69</v>
      </c>
      <c r="L154" s="37" t="s">
        <v>69</v>
      </c>
      <c r="M154" s="37" t="s">
        <v>69</v>
      </c>
      <c r="N154" s="37" t="s">
        <v>69</v>
      </c>
      <c r="O154" s="34">
        <v>0.0984994769476331</v>
      </c>
      <c r="P154" s="34">
        <v>-1.8196524491009345</v>
      </c>
      <c r="Q154" s="34">
        <v>-0.8236874877943845</v>
      </c>
      <c r="R154" s="34">
        <v>0.0</v>
      </c>
    </row>
    <row r="155">
      <c r="A155" s="27" t="s">
        <v>189</v>
      </c>
      <c r="B155" s="29">
        <v>80.87661764705882</v>
      </c>
      <c r="C155" s="31">
        <v>34.0</v>
      </c>
      <c r="D155" s="31">
        <v>7.0</v>
      </c>
      <c r="E155" s="32">
        <v>-1.1720429107791246</v>
      </c>
      <c r="F155" s="32">
        <v>1.0449363858377985</v>
      </c>
      <c r="G155" s="32">
        <v>-1.5301556724661343</v>
      </c>
      <c r="H155" s="32">
        <v>-1.1993447259583498</v>
      </c>
      <c r="I155" s="32">
        <v>0.3990942174912443</v>
      </c>
      <c r="J155" s="32">
        <v>-0.06869278977214205</v>
      </c>
      <c r="K155" s="32">
        <v>-0.320976702360696</v>
      </c>
      <c r="L155" s="32">
        <v>0.0</v>
      </c>
      <c r="M155" s="32">
        <v>-1.1303604004503895</v>
      </c>
      <c r="N155" s="32">
        <v>1.419462335243974</v>
      </c>
      <c r="O155" s="34" t="s">
        <v>69</v>
      </c>
      <c r="P155" s="34" t="s">
        <v>69</v>
      </c>
      <c r="Q155" s="34" t="s">
        <v>69</v>
      </c>
      <c r="R155" s="34" t="s">
        <v>69</v>
      </c>
    </row>
    <row r="156">
      <c r="A156" s="27" t="s">
        <v>190</v>
      </c>
      <c r="B156" s="35">
        <v>36.0</v>
      </c>
      <c r="C156" s="36">
        <v>25.0</v>
      </c>
      <c r="D156" s="36">
        <v>6.0</v>
      </c>
      <c r="E156" s="37" t="s">
        <v>69</v>
      </c>
      <c r="F156" s="37" t="s">
        <v>69</v>
      </c>
      <c r="G156" s="37" t="s">
        <v>69</v>
      </c>
      <c r="H156" s="37" t="s">
        <v>69</v>
      </c>
      <c r="I156" s="37" t="s">
        <v>69</v>
      </c>
      <c r="J156" s="37" t="s">
        <v>69</v>
      </c>
      <c r="K156" s="37" t="s">
        <v>69</v>
      </c>
      <c r="L156" s="37" t="s">
        <v>69</v>
      </c>
      <c r="M156" s="37" t="s">
        <v>69</v>
      </c>
      <c r="N156" s="37" t="s">
        <v>69</v>
      </c>
      <c r="O156" s="34">
        <v>-1.3063214876750338</v>
      </c>
      <c r="P156" s="34">
        <v>-1.077147322438286</v>
      </c>
      <c r="Q156" s="34">
        <v>-0.29978256598029607</v>
      </c>
      <c r="R156" s="34">
        <v>0.0</v>
      </c>
    </row>
    <row r="157">
      <c r="A157" s="27" t="s">
        <v>191</v>
      </c>
      <c r="B157" s="29">
        <v>77.22222222222223</v>
      </c>
      <c r="C157" s="31">
        <v>28.0</v>
      </c>
      <c r="D157" s="31">
        <v>6.0</v>
      </c>
      <c r="E157" s="32">
        <v>-2.2461962083386706</v>
      </c>
      <c r="F157" s="32">
        <v>-1.8678512904936706</v>
      </c>
      <c r="G157" s="32">
        <v>-0.002397703212131877</v>
      </c>
      <c r="H157" s="32">
        <v>2.6133549629741424</v>
      </c>
      <c r="I157" s="32">
        <v>-1.72461069241107</v>
      </c>
      <c r="J157" s="32">
        <v>-0.7871777123417198</v>
      </c>
      <c r="K157" s="32">
        <v>-1.968926184539032</v>
      </c>
      <c r="L157" s="32">
        <v>0.0</v>
      </c>
      <c r="M157" s="32">
        <v>3.0026146588871505</v>
      </c>
      <c r="N157" s="32">
        <v>0.29350002267258674</v>
      </c>
      <c r="O157" s="34" t="s">
        <v>69</v>
      </c>
      <c r="P157" s="34" t="s">
        <v>69</v>
      </c>
      <c r="Q157" s="34" t="s">
        <v>69</v>
      </c>
      <c r="R157" s="34" t="s">
        <v>69</v>
      </c>
    </row>
    <row r="158">
      <c r="A158" s="27" t="s">
        <v>192</v>
      </c>
      <c r="B158" s="35">
        <v>81.67916666666666</v>
      </c>
      <c r="C158" s="36">
        <v>16.0</v>
      </c>
      <c r="D158" s="36">
        <v>6.0</v>
      </c>
      <c r="E158" s="37">
        <v>-1.8245856324479743</v>
      </c>
      <c r="F158" s="37">
        <v>-0.6279976772441359</v>
      </c>
      <c r="G158" s="37">
        <v>0.33688586229859896</v>
      </c>
      <c r="H158" s="37">
        <v>3.4731261051333817</v>
      </c>
      <c r="I158" s="37">
        <v>-1.264560713743457</v>
      </c>
      <c r="J158" s="37">
        <v>-0.7738578811370608</v>
      </c>
      <c r="K158" s="37">
        <v>-1.6151750672727085</v>
      </c>
      <c r="L158" s="37">
        <v>0.0</v>
      </c>
      <c r="M158" s="37">
        <v>-0.406834626088588</v>
      </c>
      <c r="N158" s="37">
        <v>-0.04371707144308983</v>
      </c>
      <c r="O158" s="34" t="s">
        <v>69</v>
      </c>
      <c r="P158" s="34" t="s">
        <v>69</v>
      </c>
      <c r="Q158" s="34" t="s">
        <v>69</v>
      </c>
      <c r="R158" s="34" t="s">
        <v>69</v>
      </c>
    </row>
    <row r="159">
      <c r="A159" s="27" t="s">
        <v>193</v>
      </c>
      <c r="B159" s="29">
        <v>47.9</v>
      </c>
      <c r="C159" s="31">
        <v>28.0</v>
      </c>
      <c r="D159" s="31">
        <v>6.0</v>
      </c>
      <c r="E159" s="32" t="s">
        <v>69</v>
      </c>
      <c r="F159" s="32" t="s">
        <v>69</v>
      </c>
      <c r="G159" s="32" t="s">
        <v>69</v>
      </c>
      <c r="H159" s="32" t="s">
        <v>69</v>
      </c>
      <c r="I159" s="32" t="s">
        <v>69</v>
      </c>
      <c r="J159" s="32" t="s">
        <v>69</v>
      </c>
      <c r="K159" s="32" t="s">
        <v>69</v>
      </c>
      <c r="L159" s="32" t="s">
        <v>69</v>
      </c>
      <c r="M159" s="32" t="s">
        <v>69</v>
      </c>
      <c r="N159" s="32" t="s">
        <v>69</v>
      </c>
      <c r="O159" s="34">
        <v>0.049574773219982535</v>
      </c>
      <c r="P159" s="34">
        <v>-0.6840563730286592</v>
      </c>
      <c r="Q159" s="34">
        <v>-2.174810707209691</v>
      </c>
      <c r="R159" s="34">
        <v>0.0</v>
      </c>
    </row>
    <row r="160">
      <c r="A160" s="27" t="s">
        <v>194</v>
      </c>
      <c r="B160" s="35">
        <v>82.07308823529412</v>
      </c>
      <c r="C160" s="36">
        <v>25.0</v>
      </c>
      <c r="D160" s="36">
        <v>7.0</v>
      </c>
      <c r="E160" s="37">
        <v>0.6744981652532703</v>
      </c>
      <c r="F160" s="37">
        <v>0.36876492805087435</v>
      </c>
      <c r="G160" s="37">
        <v>-2.277375019284187</v>
      </c>
      <c r="H160" s="37">
        <v>-0.3740570950791567</v>
      </c>
      <c r="I160" s="37">
        <v>0.0014289223214813667</v>
      </c>
      <c r="J160" s="37">
        <v>-0.29305838803540774</v>
      </c>
      <c r="K160" s="37">
        <v>-0.17021448752180446</v>
      </c>
      <c r="L160" s="37">
        <v>0.0</v>
      </c>
      <c r="M160" s="37">
        <v>0.7887028073739261</v>
      </c>
      <c r="N160" s="37">
        <v>-1.5326574249546665</v>
      </c>
      <c r="O160" s="34" t="s">
        <v>69</v>
      </c>
      <c r="P160" s="34" t="s">
        <v>69</v>
      </c>
      <c r="Q160" s="34" t="s">
        <v>69</v>
      </c>
      <c r="R160" s="34" t="s">
        <v>69</v>
      </c>
    </row>
    <row r="161">
      <c r="A161" s="27" t="s">
        <v>195</v>
      </c>
      <c r="B161" s="29">
        <v>81.77588235294118</v>
      </c>
      <c r="C161" s="31">
        <v>29.0</v>
      </c>
      <c r="D161" s="31">
        <v>6.0</v>
      </c>
      <c r="E161" s="32">
        <v>-0.6233651290906762</v>
      </c>
      <c r="F161" s="32">
        <v>-1.0591831972241066</v>
      </c>
      <c r="G161" s="32">
        <v>0.3211991446244817</v>
      </c>
      <c r="H161" s="32">
        <v>0.192915063100811</v>
      </c>
      <c r="I161" s="32">
        <v>-1.4106296661268007</v>
      </c>
      <c r="J161" s="32">
        <v>-0.7325564507506138</v>
      </c>
      <c r="K161" s="32">
        <v>-0.7013581850649226</v>
      </c>
      <c r="L161" s="32">
        <v>0.0</v>
      </c>
      <c r="M161" s="32">
        <v>2.2110535321913494</v>
      </c>
      <c r="N161" s="32">
        <v>-1.0817758483039641</v>
      </c>
      <c r="O161" s="34" t="s">
        <v>69</v>
      </c>
      <c r="P161" s="34" t="s">
        <v>69</v>
      </c>
      <c r="Q161" s="34" t="s">
        <v>69</v>
      </c>
      <c r="R161" s="34" t="s">
        <v>69</v>
      </c>
    </row>
    <row r="162">
      <c r="A162" s="27" t="s">
        <v>196</v>
      </c>
      <c r="B162" s="35">
        <v>80.09338235294118</v>
      </c>
      <c r="C162" s="36">
        <v>29.0</v>
      </c>
      <c r="D162" s="36">
        <v>7.0</v>
      </c>
      <c r="E162" s="37">
        <v>-1.244160800150692</v>
      </c>
      <c r="F162" s="37">
        <v>0.15186056919064306</v>
      </c>
      <c r="G162" s="37">
        <v>-1.0331485149312567</v>
      </c>
      <c r="H162" s="37">
        <v>-0.7779840468844256</v>
      </c>
      <c r="I162" s="37">
        <v>-0.6765136604383095</v>
      </c>
      <c r="J162" s="37">
        <v>-0.2694507561009242</v>
      </c>
      <c r="K162" s="37">
        <v>0.03071703993767891</v>
      </c>
      <c r="L162" s="37">
        <v>0.0</v>
      </c>
      <c r="M162" s="37">
        <v>-1.383853264992778</v>
      </c>
      <c r="N162" s="37">
        <v>2.266144073432516</v>
      </c>
      <c r="O162" s="34" t="s">
        <v>69</v>
      </c>
      <c r="P162" s="34" t="s">
        <v>69</v>
      </c>
      <c r="Q162" s="34" t="s">
        <v>69</v>
      </c>
      <c r="R162" s="34" t="s">
        <v>69</v>
      </c>
    </row>
    <row r="163">
      <c r="A163" s="27" t="s">
        <v>197</v>
      </c>
      <c r="B163" s="29">
        <v>81.84088235294118</v>
      </c>
      <c r="C163" s="31">
        <v>29.0</v>
      </c>
      <c r="D163" s="31">
        <v>6.0</v>
      </c>
      <c r="E163" s="32">
        <v>0.6766443659497633</v>
      </c>
      <c r="F163" s="32">
        <v>-0.689713621903424</v>
      </c>
      <c r="G163" s="32">
        <v>-1.048162585523052</v>
      </c>
      <c r="H163" s="32">
        <v>-1.5200496466243014</v>
      </c>
      <c r="I163" s="32">
        <v>-0.7615253235912157</v>
      </c>
      <c r="J163" s="32">
        <v>-0.30245791927274784</v>
      </c>
      <c r="K163" s="32">
        <v>1.3326538068656926</v>
      </c>
      <c r="L163" s="32">
        <v>0.0</v>
      </c>
      <c r="M163" s="32">
        <v>0.42355541984694184</v>
      </c>
      <c r="N163" s="32">
        <v>-1.0927215776355306</v>
      </c>
      <c r="O163" s="34" t="s">
        <v>69</v>
      </c>
      <c r="P163" s="34" t="s">
        <v>69</v>
      </c>
      <c r="Q163" s="34" t="s">
        <v>69</v>
      </c>
      <c r="R163" s="34" t="s">
        <v>69</v>
      </c>
    </row>
    <row r="164">
      <c r="A164" s="27" t="s">
        <v>198</v>
      </c>
      <c r="B164" s="35">
        <v>77.46279411764706</v>
      </c>
      <c r="C164" s="36">
        <v>33.0</v>
      </c>
      <c r="D164" s="36">
        <v>8.0</v>
      </c>
      <c r="E164" s="37">
        <v>-0.4900667974509104</v>
      </c>
      <c r="F164" s="37">
        <v>0.12291216518354321</v>
      </c>
      <c r="G164" s="37">
        <v>0.05700400433502467</v>
      </c>
      <c r="H164" s="37">
        <v>0.6208176237109196</v>
      </c>
      <c r="I164" s="37">
        <v>-0.2824367951251573</v>
      </c>
      <c r="J164" s="37">
        <v>-0.7347846799641222</v>
      </c>
      <c r="K164" s="37">
        <v>-0.8495842808711395</v>
      </c>
      <c r="L164" s="37">
        <v>1.2158783133391409</v>
      </c>
      <c r="M164" s="37">
        <v>-1.2637549924616298</v>
      </c>
      <c r="N164" s="37">
        <v>-1.391934297494662</v>
      </c>
      <c r="O164" s="34" t="s">
        <v>69</v>
      </c>
      <c r="P164" s="34" t="s">
        <v>69</v>
      </c>
      <c r="Q164" s="34" t="s">
        <v>69</v>
      </c>
      <c r="R164" s="34" t="s">
        <v>69</v>
      </c>
    </row>
    <row r="165">
      <c r="A165" s="27" t="s">
        <v>199</v>
      </c>
      <c r="B165" s="29">
        <v>79.60955882352941</v>
      </c>
      <c r="C165" s="31">
        <v>28.0</v>
      </c>
      <c r="D165" s="31">
        <v>7.0</v>
      </c>
      <c r="E165" s="32">
        <v>0.9898257418687142</v>
      </c>
      <c r="F165" s="32">
        <v>-0.20046600511875867</v>
      </c>
      <c r="G165" s="32">
        <v>-1.9126546206212995</v>
      </c>
      <c r="H165" s="32">
        <v>-1.8724072120924717</v>
      </c>
      <c r="I165" s="32">
        <v>0.3754379112901359</v>
      </c>
      <c r="J165" s="32">
        <v>0.23126865864878446</v>
      </c>
      <c r="K165" s="32">
        <v>0.9051795336904193</v>
      </c>
      <c r="L165" s="32">
        <v>0.0</v>
      </c>
      <c r="M165" s="32">
        <v>-0.597008295917949</v>
      </c>
      <c r="N165" s="32">
        <v>-0.9306803334768254</v>
      </c>
      <c r="O165" s="34" t="s">
        <v>69</v>
      </c>
      <c r="P165" s="34" t="s">
        <v>69</v>
      </c>
      <c r="Q165" s="34" t="s">
        <v>69</v>
      </c>
      <c r="R165" s="34" t="s">
        <v>69</v>
      </c>
    </row>
    <row r="166">
      <c r="A166" s="27" t="s">
        <v>200</v>
      </c>
      <c r="B166" s="35">
        <v>82.1779411764706</v>
      </c>
      <c r="C166" s="36">
        <v>29.0</v>
      </c>
      <c r="D166" s="36">
        <v>7.0</v>
      </c>
      <c r="E166" s="37">
        <v>0.7322602582081984</v>
      </c>
      <c r="F166" s="37">
        <v>1.457486377861639</v>
      </c>
      <c r="G166" s="37">
        <v>-1.5562145770369893</v>
      </c>
      <c r="H166" s="37">
        <v>-1.485194741266249</v>
      </c>
      <c r="I166" s="37">
        <v>1.6863907148607065</v>
      </c>
      <c r="J166" s="37">
        <v>-0.718864723985812</v>
      </c>
      <c r="K166" s="37">
        <v>0.32394110528566156</v>
      </c>
      <c r="L166" s="37">
        <v>0.0</v>
      </c>
      <c r="M166" s="37">
        <v>-1.6792023583938314</v>
      </c>
      <c r="N166" s="37">
        <v>-1.777573222567934</v>
      </c>
      <c r="O166" s="34" t="s">
        <v>69</v>
      </c>
      <c r="P166" s="34" t="s">
        <v>69</v>
      </c>
      <c r="Q166" s="34" t="s">
        <v>69</v>
      </c>
      <c r="R166" s="34" t="s">
        <v>69</v>
      </c>
    </row>
    <row r="167">
      <c r="A167" s="27" t="s">
        <v>201</v>
      </c>
      <c r="B167" s="29">
        <v>26.625</v>
      </c>
      <c r="C167" s="31">
        <v>23.0</v>
      </c>
      <c r="D167" s="31">
        <v>6.0</v>
      </c>
      <c r="E167" s="32" t="s">
        <v>69</v>
      </c>
      <c r="F167" s="32" t="s">
        <v>69</v>
      </c>
      <c r="G167" s="32" t="s">
        <v>69</v>
      </c>
      <c r="H167" s="32" t="s">
        <v>69</v>
      </c>
      <c r="I167" s="32" t="s">
        <v>69</v>
      </c>
      <c r="J167" s="32" t="s">
        <v>69</v>
      </c>
      <c r="K167" s="32" t="s">
        <v>69</v>
      </c>
      <c r="L167" s="32" t="s">
        <v>69</v>
      </c>
      <c r="M167" s="32" t="s">
        <v>69</v>
      </c>
      <c r="N167" s="32" t="s">
        <v>69</v>
      </c>
      <c r="O167" s="34">
        <v>-2.4143570417716047</v>
      </c>
      <c r="P167" s="34">
        <v>-0.8092631198776556</v>
      </c>
      <c r="Q167" s="34">
        <v>0.2034418983937497</v>
      </c>
      <c r="R167" s="34">
        <v>0.0</v>
      </c>
    </row>
    <row r="168">
      <c r="A168" s="27" t="s">
        <v>202</v>
      </c>
      <c r="B168" s="35">
        <v>80.47058823529412</v>
      </c>
      <c r="C168" s="36">
        <v>33.0</v>
      </c>
      <c r="D168" s="36">
        <v>8.0</v>
      </c>
      <c r="E168" s="37">
        <v>0.23462543378674627</v>
      </c>
      <c r="F168" s="37">
        <v>-0.4999433157781228</v>
      </c>
      <c r="G168" s="37">
        <v>-0.6108479294557779</v>
      </c>
      <c r="H168" s="37">
        <v>0.1259730506845632</v>
      </c>
      <c r="I168" s="37">
        <v>-0.05840964178494014</v>
      </c>
      <c r="J168" s="37">
        <v>-0.7854996801656857</v>
      </c>
      <c r="K168" s="37">
        <v>0.17361531285602932</v>
      </c>
      <c r="L168" s="37">
        <v>0.0</v>
      </c>
      <c r="M168" s="37">
        <v>0.15548961625469104</v>
      </c>
      <c r="N168" s="37">
        <v>-1.8017821306517654</v>
      </c>
      <c r="O168" s="34" t="s">
        <v>69</v>
      </c>
      <c r="P168" s="34" t="s">
        <v>69</v>
      </c>
      <c r="Q168" s="34" t="s">
        <v>69</v>
      </c>
      <c r="R168" s="34" t="s">
        <v>69</v>
      </c>
    </row>
    <row r="169">
      <c r="A169" s="27" t="s">
        <v>203</v>
      </c>
      <c r="B169" s="29">
        <v>76.62220588235293</v>
      </c>
      <c r="C169" s="31">
        <v>29.0</v>
      </c>
      <c r="D169" s="31">
        <v>7.0</v>
      </c>
      <c r="E169" s="32">
        <v>0.6688036689242877</v>
      </c>
      <c r="F169" s="32">
        <v>-0.023460796877584542</v>
      </c>
      <c r="G169" s="32">
        <v>-1.4952027857595254</v>
      </c>
      <c r="H169" s="32">
        <v>0.4816401243495747</v>
      </c>
      <c r="I169" s="32">
        <v>0.3834392208870616</v>
      </c>
      <c r="J169" s="32">
        <v>-0.3088668745556556</v>
      </c>
      <c r="K169" s="32">
        <v>0.28585564552008513</v>
      </c>
      <c r="L169" s="32">
        <v>0.0</v>
      </c>
      <c r="M169" s="32">
        <v>-1.231594311128853</v>
      </c>
      <c r="N169" s="32">
        <v>-1.8397861488280713</v>
      </c>
      <c r="O169" s="34" t="s">
        <v>69</v>
      </c>
      <c r="P169" s="34" t="s">
        <v>69</v>
      </c>
      <c r="Q169" s="34" t="s">
        <v>69</v>
      </c>
      <c r="R169" s="34" t="s">
        <v>69</v>
      </c>
    </row>
    <row r="170">
      <c r="A170" s="27" t="s">
        <v>204</v>
      </c>
      <c r="B170" s="35">
        <v>75.73308823529412</v>
      </c>
      <c r="C170" s="36">
        <v>23.0</v>
      </c>
      <c r="D170" s="36">
        <v>7.0</v>
      </c>
      <c r="E170" s="37">
        <v>-1.1851015259260207</v>
      </c>
      <c r="F170" s="37">
        <v>0.8788956920034154</v>
      </c>
      <c r="G170" s="37">
        <v>0.2756084071299615</v>
      </c>
      <c r="H170" s="37">
        <v>-0.9585851589534965</v>
      </c>
      <c r="I170" s="37">
        <v>1.1920698053021568</v>
      </c>
      <c r="J170" s="37">
        <v>-0.7834645533906035</v>
      </c>
      <c r="K170" s="37">
        <v>-0.4788307128852345</v>
      </c>
      <c r="L170" s="37">
        <v>0.0</v>
      </c>
      <c r="M170" s="37">
        <v>-1.8030900059543704</v>
      </c>
      <c r="N170" s="37">
        <v>-0.26341678219318665</v>
      </c>
      <c r="O170" s="34" t="s">
        <v>69</v>
      </c>
      <c r="P170" s="34" t="s">
        <v>69</v>
      </c>
      <c r="Q170" s="34" t="s">
        <v>69</v>
      </c>
      <c r="R170" s="34" t="s">
        <v>69</v>
      </c>
    </row>
    <row r="171">
      <c r="A171" s="27" t="s">
        <v>205</v>
      </c>
      <c r="B171" s="29">
        <v>80.21428571428571</v>
      </c>
      <c r="C171" s="31">
        <v>31.0</v>
      </c>
      <c r="D171" s="31">
        <v>7.0</v>
      </c>
      <c r="E171" s="32">
        <v>-1.8898829124837966</v>
      </c>
      <c r="F171" s="32">
        <v>-0.975698748247525</v>
      </c>
      <c r="G171" s="32">
        <v>-1.2345795270854143</v>
      </c>
      <c r="H171" s="32">
        <v>0.26043012365551055</v>
      </c>
      <c r="I171" s="32">
        <v>-1.5262528002119675</v>
      </c>
      <c r="J171" s="32">
        <v>-0.16952108464970286</v>
      </c>
      <c r="K171" s="32">
        <v>-0.6016449382232627</v>
      </c>
      <c r="L171" s="32">
        <v>0.0</v>
      </c>
      <c r="M171" s="32">
        <v>0.47129810249347887</v>
      </c>
      <c r="N171" s="32">
        <v>2.5073772249374757</v>
      </c>
      <c r="O171" s="34" t="s">
        <v>69</v>
      </c>
      <c r="P171" s="34" t="s">
        <v>69</v>
      </c>
      <c r="Q171" s="34" t="s">
        <v>69</v>
      </c>
      <c r="R171" s="34" t="s">
        <v>69</v>
      </c>
    </row>
    <row r="172">
      <c r="A172" s="27" t="s">
        <v>206</v>
      </c>
      <c r="B172" s="35">
        <v>78.16764705882352</v>
      </c>
      <c r="C172" s="36">
        <v>25.0</v>
      </c>
      <c r="D172" s="36">
        <v>6.0</v>
      </c>
      <c r="E172" s="37">
        <v>-0.36100189009723554</v>
      </c>
      <c r="F172" s="37">
        <v>0.17095990485719476</v>
      </c>
      <c r="G172" s="37">
        <v>0.7008778665783273</v>
      </c>
      <c r="H172" s="37">
        <v>0.34592557734640117</v>
      </c>
      <c r="I172" s="37">
        <v>-0.475620850764466</v>
      </c>
      <c r="J172" s="37">
        <v>0.02037361027679041</v>
      </c>
      <c r="K172" s="37">
        <v>-0.20927526040352445</v>
      </c>
      <c r="L172" s="37">
        <v>0.0</v>
      </c>
      <c r="M172" s="37">
        <v>-1.6475652915986518</v>
      </c>
      <c r="N172" s="37">
        <v>-1.7112855144564283</v>
      </c>
      <c r="O172" s="34" t="s">
        <v>69</v>
      </c>
      <c r="P172" s="34" t="s">
        <v>69</v>
      </c>
      <c r="Q172" s="34" t="s">
        <v>69</v>
      </c>
      <c r="R172" s="34" t="s">
        <v>69</v>
      </c>
    </row>
    <row r="173">
      <c r="A173" s="27" t="s">
        <v>207</v>
      </c>
      <c r="B173" s="29">
        <v>78.32705882352941</v>
      </c>
      <c r="C173" s="31">
        <v>16.0</v>
      </c>
      <c r="D173" s="31">
        <v>6.0</v>
      </c>
      <c r="E173" s="32">
        <v>-1.4522380388582745</v>
      </c>
      <c r="F173" s="32">
        <v>0.4759390723232975</v>
      </c>
      <c r="G173" s="32">
        <v>0.42102371357893886</v>
      </c>
      <c r="H173" s="32">
        <v>-0.6437974779920983</v>
      </c>
      <c r="I173" s="32">
        <v>0.0934919185154624</v>
      </c>
      <c r="J173" s="32">
        <v>-0.7733872041549479</v>
      </c>
      <c r="K173" s="32">
        <v>-0.4287099580820277</v>
      </c>
      <c r="L173" s="32">
        <v>0.0</v>
      </c>
      <c r="M173" s="32">
        <v>-1.5762153769364067</v>
      </c>
      <c r="N173" s="32">
        <v>0.684267288475226</v>
      </c>
      <c r="O173" s="34" t="s">
        <v>69</v>
      </c>
      <c r="P173" s="34" t="s">
        <v>69</v>
      </c>
      <c r="Q173" s="34" t="s">
        <v>69</v>
      </c>
      <c r="R173" s="34" t="s">
        <v>69</v>
      </c>
    </row>
    <row r="174">
      <c r="A174" s="27" t="s">
        <v>208</v>
      </c>
      <c r="B174" s="35">
        <v>79.89117647058823</v>
      </c>
      <c r="C174" s="36">
        <v>25.0</v>
      </c>
      <c r="D174" s="36">
        <v>6.0</v>
      </c>
      <c r="E174" s="37">
        <v>-1.1975042037501429</v>
      </c>
      <c r="F174" s="37">
        <v>0.01129513752453499</v>
      </c>
      <c r="G174" s="37">
        <v>0.9461780582867665</v>
      </c>
      <c r="H174" s="37">
        <v>-1.3290450276921304</v>
      </c>
      <c r="I174" s="37">
        <v>-0.5950797325891475</v>
      </c>
      <c r="J174" s="37">
        <v>-0.42165519619158665</v>
      </c>
      <c r="K174" s="37">
        <v>-0.5583646019399982</v>
      </c>
      <c r="L174" s="37">
        <v>0.0</v>
      </c>
      <c r="M174" s="37">
        <v>-1.7627592430727441</v>
      </c>
      <c r="N174" s="37">
        <v>1.6918860462954128</v>
      </c>
      <c r="O174" s="34" t="s">
        <v>69</v>
      </c>
      <c r="P174" s="34" t="s">
        <v>69</v>
      </c>
      <c r="Q174" s="34" t="s">
        <v>69</v>
      </c>
      <c r="R174" s="34" t="s">
        <v>69</v>
      </c>
    </row>
    <row r="175">
      <c r="A175" s="27" t="s">
        <v>209</v>
      </c>
      <c r="B175" s="29">
        <v>82.63720588235294</v>
      </c>
      <c r="C175" s="31">
        <v>23.0</v>
      </c>
      <c r="D175" s="31">
        <v>7.0</v>
      </c>
      <c r="E175" s="32">
        <v>-1.4499913565855755</v>
      </c>
      <c r="F175" s="32">
        <v>-0.7269683546534899</v>
      </c>
      <c r="G175" s="32">
        <v>1.0497890607695808</v>
      </c>
      <c r="H175" s="32">
        <v>-0.6912231493434786</v>
      </c>
      <c r="I175" s="32">
        <v>-0.6804499330988242</v>
      </c>
      <c r="J175" s="32">
        <v>-0.28103862509377825</v>
      </c>
      <c r="K175" s="32">
        <v>-0.8458941616500698</v>
      </c>
      <c r="L175" s="32">
        <v>0.0</v>
      </c>
      <c r="M175" s="32">
        <v>0.10401467759451245</v>
      </c>
      <c r="N175" s="32">
        <v>0.28086684344747553</v>
      </c>
      <c r="O175" s="34" t="s">
        <v>69</v>
      </c>
      <c r="P175" s="34" t="s">
        <v>69</v>
      </c>
      <c r="Q175" s="34" t="s">
        <v>69</v>
      </c>
      <c r="R175" s="34" t="s">
        <v>69</v>
      </c>
    </row>
    <row r="176">
      <c r="A176" s="27" t="s">
        <v>210</v>
      </c>
      <c r="B176" s="35">
        <v>82.0</v>
      </c>
      <c r="C176" s="36">
        <v>26.0</v>
      </c>
      <c r="D176" s="36">
        <v>5.0</v>
      </c>
      <c r="E176" s="37" t="s">
        <v>69</v>
      </c>
      <c r="F176" s="37">
        <v>-1.7830439555040773</v>
      </c>
      <c r="G176" s="37" t="s">
        <v>69</v>
      </c>
      <c r="H176" s="37">
        <v>0.49401537277127644</v>
      </c>
      <c r="I176" s="37" t="s">
        <v>69</v>
      </c>
      <c r="J176" s="37" t="s">
        <v>69</v>
      </c>
      <c r="K176" s="37">
        <v>-2.0711582794355325</v>
      </c>
      <c r="L176" s="37" t="s">
        <v>69</v>
      </c>
      <c r="M176" s="37">
        <v>0.08458951327224147</v>
      </c>
      <c r="N176" s="37">
        <v>0.018154924515269972</v>
      </c>
      <c r="O176" s="34" t="s">
        <v>69</v>
      </c>
      <c r="P176" s="34" t="s">
        <v>69</v>
      </c>
      <c r="Q176" s="34" t="s">
        <v>69</v>
      </c>
      <c r="R176" s="34" t="s">
        <v>69</v>
      </c>
    </row>
    <row r="177">
      <c r="A177" s="27" t="s">
        <v>211</v>
      </c>
      <c r="B177" s="29">
        <v>80.74676470588236</v>
      </c>
      <c r="C177" s="31">
        <v>23.0</v>
      </c>
      <c r="D177" s="31">
        <v>6.0</v>
      </c>
      <c r="E177" s="32">
        <v>1.6177863557088124</v>
      </c>
      <c r="F177" s="32">
        <v>-0.4210445174774655</v>
      </c>
      <c r="G177" s="32">
        <v>-1.3085765343770361</v>
      </c>
      <c r="H177" s="32">
        <v>-1.1313916882124737</v>
      </c>
      <c r="I177" s="32">
        <v>0.6200858787433843</v>
      </c>
      <c r="J177" s="32">
        <v>-0.7864679011152766</v>
      </c>
      <c r="K177" s="32">
        <v>0.13319889065440502</v>
      </c>
      <c r="L177" s="32">
        <v>0.0</v>
      </c>
      <c r="M177" s="32">
        <v>-0.3630912962242334</v>
      </c>
      <c r="N177" s="32">
        <v>-1.6558920356899907</v>
      </c>
      <c r="O177" s="34" t="s">
        <v>69</v>
      </c>
      <c r="P177" s="34" t="s">
        <v>69</v>
      </c>
      <c r="Q177" s="34" t="s">
        <v>69</v>
      </c>
      <c r="R177" s="34" t="s">
        <v>69</v>
      </c>
    </row>
    <row r="178">
      <c r="A178" s="27" t="s">
        <v>212</v>
      </c>
      <c r="B178" s="35">
        <v>79.63911764705882</v>
      </c>
      <c r="C178" s="36">
        <v>23.0</v>
      </c>
      <c r="D178" s="36">
        <v>7.0</v>
      </c>
      <c r="E178" s="37">
        <v>-1.6196945761042574</v>
      </c>
      <c r="F178" s="37">
        <v>-0.3747214762885573</v>
      </c>
      <c r="G178" s="37">
        <v>0.8742068565120061</v>
      </c>
      <c r="H178" s="37">
        <v>-0.009446660023224052</v>
      </c>
      <c r="I178" s="37">
        <v>-1.3072810756321451</v>
      </c>
      <c r="J178" s="37">
        <v>0.2404575549829711</v>
      </c>
      <c r="K178" s="37">
        <v>-0.9831236562548542</v>
      </c>
      <c r="L178" s="37">
        <v>0.0</v>
      </c>
      <c r="M178" s="37">
        <v>-0.3761077084684924</v>
      </c>
      <c r="N178" s="37">
        <v>0.2571730645492653</v>
      </c>
      <c r="O178" s="34" t="s">
        <v>69</v>
      </c>
      <c r="P178" s="34" t="s">
        <v>69</v>
      </c>
      <c r="Q178" s="34" t="s">
        <v>69</v>
      </c>
      <c r="R178" s="34" t="s">
        <v>69</v>
      </c>
    </row>
    <row r="179">
      <c r="A179" s="27" t="s">
        <v>213</v>
      </c>
      <c r="B179" s="29">
        <v>79.00941176470589</v>
      </c>
      <c r="C179" s="31">
        <v>34.0</v>
      </c>
      <c r="D179" s="31">
        <v>7.0</v>
      </c>
      <c r="E179" s="32">
        <v>-1.7837501150043837</v>
      </c>
      <c r="F179" s="32">
        <v>-0.1882891483314905</v>
      </c>
      <c r="G179" s="32">
        <v>3.8763996537489382</v>
      </c>
      <c r="H179" s="32">
        <v>-1.1236570608120386</v>
      </c>
      <c r="I179" s="32">
        <v>-1.3526099397282927</v>
      </c>
      <c r="J179" s="32">
        <v>-0.3988389608276747</v>
      </c>
      <c r="K179" s="32">
        <v>-0.824509669261579</v>
      </c>
      <c r="L179" s="32">
        <v>0.0</v>
      </c>
      <c r="M179" s="32">
        <v>-1.8542189370248878</v>
      </c>
      <c r="N179" s="32">
        <v>0.25929047541300526</v>
      </c>
      <c r="O179" s="34" t="s">
        <v>69</v>
      </c>
      <c r="P179" s="34" t="s">
        <v>69</v>
      </c>
      <c r="Q179" s="34" t="s">
        <v>69</v>
      </c>
      <c r="R179" s="34" t="s">
        <v>69</v>
      </c>
    </row>
    <row r="180">
      <c r="A180" s="27" t="s">
        <v>214</v>
      </c>
      <c r="B180" s="35">
        <v>82.75558823529411</v>
      </c>
      <c r="C180" s="36">
        <v>30.0</v>
      </c>
      <c r="D180" s="36">
        <v>5.0</v>
      </c>
      <c r="E180" s="37">
        <v>-0.13685236610469811</v>
      </c>
      <c r="F180" s="37">
        <v>-1.1835525203439416</v>
      </c>
      <c r="G180" s="37">
        <v>-0.4428349367158737</v>
      </c>
      <c r="H180" s="37">
        <v>-0.2581008923501598</v>
      </c>
      <c r="I180" s="37">
        <v>-1.361502747808392</v>
      </c>
      <c r="J180" s="37">
        <v>0.05183694441896299</v>
      </c>
      <c r="K180" s="37">
        <v>-0.5327990237861913</v>
      </c>
      <c r="L180" s="37">
        <v>0.0</v>
      </c>
      <c r="M180" s="37">
        <v>1.521607999595105</v>
      </c>
      <c r="N180" s="37">
        <v>-1.0560093998864641</v>
      </c>
      <c r="O180" s="34" t="s">
        <v>69</v>
      </c>
      <c r="P180" s="34" t="s">
        <v>69</v>
      </c>
      <c r="Q180" s="34" t="s">
        <v>69</v>
      </c>
      <c r="R180" s="34" t="s">
        <v>69</v>
      </c>
    </row>
    <row r="181">
      <c r="A181" s="27" t="s">
        <v>215</v>
      </c>
      <c r="B181" s="29">
        <v>76.00073529411765</v>
      </c>
      <c r="C181" s="31">
        <v>28.0</v>
      </c>
      <c r="D181" s="31">
        <v>6.0</v>
      </c>
      <c r="E181" s="32">
        <v>-1.4644880446275463</v>
      </c>
      <c r="F181" s="32">
        <v>1.0455426401548165</v>
      </c>
      <c r="G181" s="32">
        <v>1.365724118491483</v>
      </c>
      <c r="H181" s="32">
        <v>-1.2760726520732713</v>
      </c>
      <c r="I181" s="32">
        <v>0.24362638686702093</v>
      </c>
      <c r="J181" s="32">
        <v>-0.7560180609647483</v>
      </c>
      <c r="K181" s="32">
        <v>-0.31142574393480515</v>
      </c>
      <c r="L181" s="32">
        <v>0.0</v>
      </c>
      <c r="M181" s="32">
        <v>-2.4787708280934666</v>
      </c>
      <c r="N181" s="32">
        <v>0.1685649117730072</v>
      </c>
      <c r="O181" s="34" t="s">
        <v>69</v>
      </c>
      <c r="P181" s="34" t="s">
        <v>69</v>
      </c>
      <c r="Q181" s="34" t="s">
        <v>69</v>
      </c>
      <c r="R181" s="34" t="s">
        <v>69</v>
      </c>
    </row>
    <row r="182">
      <c r="A182" s="27" t="s">
        <v>216</v>
      </c>
      <c r="B182" s="35">
        <v>79.75161764705882</v>
      </c>
      <c r="C182" s="36">
        <v>27.0</v>
      </c>
      <c r="D182" s="36">
        <v>6.0</v>
      </c>
      <c r="E182" s="37">
        <v>-0.8439834717732808</v>
      </c>
      <c r="F182" s="37">
        <v>-0.9886985219337154</v>
      </c>
      <c r="G182" s="37">
        <v>-0.2777322782401003</v>
      </c>
      <c r="H182" s="37">
        <v>1.3984180005271871</v>
      </c>
      <c r="I182" s="37">
        <v>-1.1938923058292545</v>
      </c>
      <c r="J182" s="37">
        <v>0.5629522301366725</v>
      </c>
      <c r="K182" s="37">
        <v>-0.9020874645498069</v>
      </c>
      <c r="L182" s="37">
        <v>0.12533070593749962</v>
      </c>
      <c r="M182" s="37">
        <v>-0.2540176243581634</v>
      </c>
      <c r="N182" s="37">
        <v>-1.1267107728810113</v>
      </c>
      <c r="O182" s="34" t="s">
        <v>69</v>
      </c>
      <c r="P182" s="34" t="s">
        <v>69</v>
      </c>
      <c r="Q182" s="34" t="s">
        <v>69</v>
      </c>
      <c r="R182" s="34" t="s">
        <v>69</v>
      </c>
    </row>
    <row r="183">
      <c r="A183" s="27" t="s">
        <v>217</v>
      </c>
      <c r="B183" s="29">
        <v>82.52617647058823</v>
      </c>
      <c r="C183" s="31">
        <v>28.0</v>
      </c>
      <c r="D183" s="31">
        <v>6.0</v>
      </c>
      <c r="E183" s="32">
        <v>-1.2460276410808662</v>
      </c>
      <c r="F183" s="32">
        <v>-0.5730461189455729</v>
      </c>
      <c r="G183" s="32">
        <v>-0.9427575200866514</v>
      </c>
      <c r="H183" s="32">
        <v>0.49954544489834374</v>
      </c>
      <c r="I183" s="32">
        <v>-0.816938300927542</v>
      </c>
      <c r="J183" s="32">
        <v>-0.30669664201892216</v>
      </c>
      <c r="K183" s="32">
        <v>-0.2113519318081739</v>
      </c>
      <c r="L183" s="32">
        <v>0.0</v>
      </c>
      <c r="M183" s="32">
        <v>-1.9099837312450034</v>
      </c>
      <c r="N183" s="32">
        <v>2.0065801599409907</v>
      </c>
      <c r="O183" s="34" t="s">
        <v>69</v>
      </c>
      <c r="P183" s="34" t="s">
        <v>69</v>
      </c>
      <c r="Q183" s="34" t="s">
        <v>69</v>
      </c>
      <c r="R183" s="34" t="s">
        <v>69</v>
      </c>
    </row>
    <row r="184">
      <c r="A184" s="27" t="s">
        <v>218</v>
      </c>
      <c r="B184" s="35">
        <v>76.1560294117647</v>
      </c>
      <c r="C184" s="36">
        <v>27.0</v>
      </c>
      <c r="D184" s="36">
        <v>6.0</v>
      </c>
      <c r="E184" s="37">
        <v>-1.4357152092533227</v>
      </c>
      <c r="F184" s="37">
        <v>-0.1194740606159015</v>
      </c>
      <c r="G184" s="37">
        <v>0.352154282952075</v>
      </c>
      <c r="H184" s="37">
        <v>-1.0599093544464182</v>
      </c>
      <c r="I184" s="37">
        <v>-0.5764725124422589</v>
      </c>
      <c r="J184" s="37">
        <v>-0.16274566990351066</v>
      </c>
      <c r="K184" s="37">
        <v>-0.4011498235192201</v>
      </c>
      <c r="L184" s="37">
        <v>0.0</v>
      </c>
      <c r="M184" s="37">
        <v>-1.5408870394925969</v>
      </c>
      <c r="N184" s="37">
        <v>1.4434852040694954</v>
      </c>
      <c r="O184" s="34" t="s">
        <v>69</v>
      </c>
      <c r="P184" s="34" t="s">
        <v>69</v>
      </c>
      <c r="Q184" s="34" t="s">
        <v>69</v>
      </c>
      <c r="R184" s="34" t="s">
        <v>69</v>
      </c>
    </row>
    <row r="185">
      <c r="A185" s="27" t="s">
        <v>219</v>
      </c>
      <c r="B185" s="29">
        <v>79.42857142857143</v>
      </c>
      <c r="C185" s="31">
        <v>28.0</v>
      </c>
      <c r="D185" s="31">
        <v>6.0</v>
      </c>
      <c r="E185" s="32">
        <v>-2.019233621567247</v>
      </c>
      <c r="F185" s="32">
        <v>-1.6264468247862114</v>
      </c>
      <c r="G185" s="32">
        <v>2.0402491274797296</v>
      </c>
      <c r="H185" s="32">
        <v>-0.8639764367268442</v>
      </c>
      <c r="I185" s="32">
        <v>-1.72461069241107</v>
      </c>
      <c r="J185" s="32">
        <v>-0.16952108464970286</v>
      </c>
      <c r="K185" s="32">
        <v>-1.6765058816725773</v>
      </c>
      <c r="L185" s="32">
        <v>0.0</v>
      </c>
      <c r="M185" s="32">
        <v>0.011697432487920545</v>
      </c>
      <c r="N185" s="32">
        <v>2.520631414445048</v>
      </c>
      <c r="O185" s="34" t="s">
        <v>69</v>
      </c>
      <c r="P185" s="34" t="s">
        <v>69</v>
      </c>
      <c r="Q185" s="34" t="s">
        <v>69</v>
      </c>
      <c r="R185" s="34" t="s">
        <v>69</v>
      </c>
    </row>
    <row r="186">
      <c r="A186" s="27" t="s">
        <v>220</v>
      </c>
      <c r="B186" s="35">
        <v>80.42470588235294</v>
      </c>
      <c r="C186" s="36">
        <v>33.0</v>
      </c>
      <c r="D186" s="36">
        <v>8.0</v>
      </c>
      <c r="E186" s="37">
        <v>0.5674038043424792</v>
      </c>
      <c r="F186" s="37">
        <v>-0.20926340364250623</v>
      </c>
      <c r="G186" s="37">
        <v>1.6671861327498787</v>
      </c>
      <c r="H186" s="37">
        <v>-1.6311983825275274</v>
      </c>
      <c r="I186" s="37">
        <v>-1.5052834628097624</v>
      </c>
      <c r="J186" s="37">
        <v>1.0729106815515934</v>
      </c>
      <c r="K186" s="37">
        <v>-0.13041555384413764</v>
      </c>
      <c r="L186" s="37">
        <v>0.0</v>
      </c>
      <c r="M186" s="37">
        <v>-1.9680285719165638</v>
      </c>
      <c r="N186" s="37">
        <v>-1.414267093082183</v>
      </c>
      <c r="O186" s="34" t="s">
        <v>69</v>
      </c>
      <c r="P186" s="34" t="s">
        <v>69</v>
      </c>
      <c r="Q186" s="34" t="s">
        <v>69</v>
      </c>
      <c r="R186" s="34" t="s">
        <v>69</v>
      </c>
    </row>
    <row r="187">
      <c r="A187" s="27" t="s">
        <v>221</v>
      </c>
      <c r="B187" s="29">
        <v>78.0</v>
      </c>
      <c r="C187" s="31">
        <v>25.0</v>
      </c>
      <c r="D187" s="31">
        <v>7.0</v>
      </c>
      <c r="E187" s="32">
        <v>-2.07432744210279</v>
      </c>
      <c r="F187" s="32">
        <v>-0.8803871612797378</v>
      </c>
      <c r="G187" s="32">
        <v>0.508658693946739</v>
      </c>
      <c r="H187" s="32">
        <v>0.6245744283606969</v>
      </c>
      <c r="I187" s="32">
        <v>-1.6872727362324154</v>
      </c>
      <c r="J187" s="32">
        <v>-0.16952108464970286</v>
      </c>
      <c r="K187" s="32">
        <v>-2.0711582794355325</v>
      </c>
      <c r="L187" s="32">
        <v>0.0</v>
      </c>
      <c r="M187" s="32">
        <v>-0.10530069985532049</v>
      </c>
      <c r="N187" s="32">
        <v>2.2847638484769526</v>
      </c>
      <c r="O187" s="34" t="s">
        <v>69</v>
      </c>
      <c r="P187" s="34" t="s">
        <v>69</v>
      </c>
      <c r="Q187" s="34" t="s">
        <v>69</v>
      </c>
      <c r="R187" s="34" t="s">
        <v>69</v>
      </c>
    </row>
    <row r="188">
      <c r="A188" s="27" t="s">
        <v>222</v>
      </c>
      <c r="B188" s="35">
        <v>79.44205882352941</v>
      </c>
      <c r="C188" s="36">
        <v>29.0</v>
      </c>
      <c r="D188" s="36">
        <v>7.0</v>
      </c>
      <c r="E188" s="37">
        <v>-1.603753573727078</v>
      </c>
      <c r="F188" s="37">
        <v>-0.9485883051664484</v>
      </c>
      <c r="G188" s="37">
        <v>-0.24818201735563344</v>
      </c>
      <c r="H188" s="37">
        <v>1.31303965294799</v>
      </c>
      <c r="I188" s="37">
        <v>-1.6593102247081335</v>
      </c>
      <c r="J188" s="37">
        <v>-0.12073439785450234</v>
      </c>
      <c r="K188" s="37">
        <v>-1.6014295451906817</v>
      </c>
      <c r="L188" s="37">
        <v>0.0</v>
      </c>
      <c r="M188" s="37">
        <v>-0.6514516990956106</v>
      </c>
      <c r="N188" s="37">
        <v>1.9056035458240768</v>
      </c>
      <c r="O188" s="34" t="s">
        <v>69</v>
      </c>
      <c r="P188" s="34" t="s">
        <v>69</v>
      </c>
      <c r="Q188" s="34" t="s">
        <v>69</v>
      </c>
      <c r="R188" s="34" t="s">
        <v>69</v>
      </c>
    </row>
    <row r="189">
      <c r="A189" s="27" t="s">
        <v>223</v>
      </c>
      <c r="B189" s="29">
        <v>80.38323529411764</v>
      </c>
      <c r="C189" s="31">
        <v>29.0</v>
      </c>
      <c r="D189" s="31">
        <v>6.0</v>
      </c>
      <c r="E189" s="32">
        <v>-0.18400436059503736</v>
      </c>
      <c r="F189" s="32">
        <v>0.5578815338086293</v>
      </c>
      <c r="G189" s="32">
        <v>-0.2789536866656227</v>
      </c>
      <c r="H189" s="32">
        <v>-1.274334267214812</v>
      </c>
      <c r="I189" s="32">
        <v>1.5002871401921543</v>
      </c>
      <c r="J189" s="32">
        <v>-0.09039063704168984</v>
      </c>
      <c r="K189" s="32">
        <v>-0.2722212766634495</v>
      </c>
      <c r="L189" s="32">
        <v>0.0</v>
      </c>
      <c r="M189" s="32">
        <v>-2.0081062499691478</v>
      </c>
      <c r="N189" s="32">
        <v>-1.570726513808472</v>
      </c>
      <c r="O189" s="34" t="s">
        <v>69</v>
      </c>
      <c r="P189" s="34" t="s">
        <v>69</v>
      </c>
      <c r="Q189" s="34" t="s">
        <v>69</v>
      </c>
      <c r="R189" s="34" t="s">
        <v>69</v>
      </c>
    </row>
    <row r="190">
      <c r="A190" s="27" t="s">
        <v>224</v>
      </c>
      <c r="B190" s="35">
        <v>76.1814705882353</v>
      </c>
      <c r="C190" s="36">
        <v>31.0</v>
      </c>
      <c r="D190" s="36">
        <v>7.0</v>
      </c>
      <c r="E190" s="37">
        <v>0.07217330864635686</v>
      </c>
      <c r="F190" s="37">
        <v>-0.2925338501517865</v>
      </c>
      <c r="G190" s="37">
        <v>0.38859712662592566</v>
      </c>
      <c r="H190" s="37">
        <v>0.5880273825243576</v>
      </c>
      <c r="I190" s="37">
        <v>-0.5536222248960517</v>
      </c>
      <c r="J190" s="37">
        <v>-0.7741010670206031</v>
      </c>
      <c r="K190" s="37">
        <v>-0.5714827466230239</v>
      </c>
      <c r="L190" s="37">
        <v>0.0</v>
      </c>
      <c r="M190" s="37">
        <v>-0.7218960560487616</v>
      </c>
      <c r="N190" s="37">
        <v>-1.7679652462323359</v>
      </c>
      <c r="O190" s="34" t="s">
        <v>69</v>
      </c>
      <c r="P190" s="34" t="s">
        <v>69</v>
      </c>
      <c r="Q190" s="34" t="s">
        <v>69</v>
      </c>
      <c r="R190" s="34" t="s">
        <v>69</v>
      </c>
    </row>
    <row r="191">
      <c r="A191" s="27" t="s">
        <v>225</v>
      </c>
      <c r="B191" s="29">
        <v>71.5</v>
      </c>
      <c r="C191" s="31">
        <v>29.0</v>
      </c>
      <c r="D191" s="31">
        <v>7.0</v>
      </c>
      <c r="E191" s="32">
        <v>-2.272186119330438</v>
      </c>
      <c r="F191" s="32">
        <v>-1.6612461871679596</v>
      </c>
      <c r="G191" s="32">
        <v>-0.40756307842240663</v>
      </c>
      <c r="H191" s="32">
        <v>2.0296385504182686</v>
      </c>
      <c r="I191" s="32">
        <v>-1.72461069241107</v>
      </c>
      <c r="J191" s="32">
        <v>-0.7871777123417198</v>
      </c>
      <c r="K191" s="32">
        <v>-1.9947909045478465</v>
      </c>
      <c r="L191" s="32">
        <v>0.0</v>
      </c>
      <c r="M191" s="32">
        <v>2.163682429522864</v>
      </c>
      <c r="N191" s="32">
        <v>0.9794684628645121</v>
      </c>
      <c r="O191" s="34" t="s">
        <v>69</v>
      </c>
      <c r="P191" s="34" t="s">
        <v>69</v>
      </c>
      <c r="Q191" s="34" t="s">
        <v>69</v>
      </c>
      <c r="R191" s="34" t="s">
        <v>69</v>
      </c>
    </row>
    <row r="192">
      <c r="A192" s="27" t="s">
        <v>226</v>
      </c>
      <c r="B192" s="35">
        <v>37.1</v>
      </c>
      <c r="C192" s="36">
        <v>27.0</v>
      </c>
      <c r="D192" s="36">
        <v>6.0</v>
      </c>
      <c r="E192" s="37" t="s">
        <v>69</v>
      </c>
      <c r="F192" s="37" t="s">
        <v>69</v>
      </c>
      <c r="G192" s="37" t="s">
        <v>69</v>
      </c>
      <c r="H192" s="37" t="s">
        <v>69</v>
      </c>
      <c r="I192" s="37" t="s">
        <v>69</v>
      </c>
      <c r="J192" s="37" t="s">
        <v>69</v>
      </c>
      <c r="K192" s="37" t="s">
        <v>69</v>
      </c>
      <c r="L192" s="37" t="s">
        <v>69</v>
      </c>
      <c r="M192" s="37" t="s">
        <v>69</v>
      </c>
      <c r="N192" s="37" t="s">
        <v>69</v>
      </c>
      <c r="O192" s="34">
        <v>-1.5849354819952703</v>
      </c>
      <c r="P192" s="34">
        <v>-0.4656725122455251</v>
      </c>
      <c r="Q192" s="34">
        <v>-1.6509057853955413</v>
      </c>
      <c r="R192" s="34">
        <v>0.0</v>
      </c>
    </row>
    <row r="193">
      <c r="A193" s="27" t="s">
        <v>227</v>
      </c>
      <c r="B193" s="29">
        <v>77.58333333333333</v>
      </c>
      <c r="C193" s="31">
        <v>34.0</v>
      </c>
      <c r="D193" s="31">
        <v>7.0</v>
      </c>
      <c r="E193" s="32">
        <v>-1.2107916897956845</v>
      </c>
      <c r="F193" s="32">
        <v>-1.5773410578697453</v>
      </c>
      <c r="G193" s="32">
        <v>-0.20870115143569115</v>
      </c>
      <c r="H193" s="32">
        <v>3.5942748515295766</v>
      </c>
      <c r="I193" s="32">
        <v>-1.6779382471877518</v>
      </c>
      <c r="J193" s="32">
        <v>-0.7871777123417198</v>
      </c>
      <c r="K193" s="32">
        <v>-1.5999961120812856</v>
      </c>
      <c r="L193" s="32">
        <v>0.0</v>
      </c>
      <c r="M193" s="32">
        <v>1.4459247462335036</v>
      </c>
      <c r="N193" s="32">
        <v>-1.707241261220527</v>
      </c>
      <c r="O193" s="34" t="s">
        <v>69</v>
      </c>
      <c r="P193" s="34" t="s">
        <v>69</v>
      </c>
      <c r="Q193" s="34" t="s">
        <v>69</v>
      </c>
      <c r="R193" s="34" t="s">
        <v>69</v>
      </c>
    </row>
    <row r="194">
      <c r="A194" s="27" t="s">
        <v>228</v>
      </c>
      <c r="B194" s="35">
        <v>75.77867647058824</v>
      </c>
      <c r="C194" s="36">
        <v>34.0</v>
      </c>
      <c r="D194" s="36">
        <v>7.0</v>
      </c>
      <c r="E194" s="37">
        <v>0.3695303698123119</v>
      </c>
      <c r="F194" s="37">
        <v>-0.6102259876757739</v>
      </c>
      <c r="G194" s="37">
        <v>2.6463414690257463</v>
      </c>
      <c r="H194" s="37">
        <v>-1.4086292470150081</v>
      </c>
      <c r="I194" s="37">
        <v>-1.0106362755404157</v>
      </c>
      <c r="J194" s="37">
        <v>-0.35395614694598165</v>
      </c>
      <c r="K194" s="37">
        <v>-0.20871543657857378</v>
      </c>
      <c r="L194" s="37">
        <v>0.0</v>
      </c>
      <c r="M194" s="37">
        <v>-1.63889004235546</v>
      </c>
      <c r="N194" s="37">
        <v>-1.525738666983452</v>
      </c>
      <c r="O194" s="34" t="s">
        <v>69</v>
      </c>
      <c r="P194" s="34" t="s">
        <v>69</v>
      </c>
      <c r="Q194" s="34" t="s">
        <v>69</v>
      </c>
      <c r="R194" s="34" t="s">
        <v>69</v>
      </c>
    </row>
    <row r="195">
      <c r="A195" s="27" t="s">
        <v>229</v>
      </c>
      <c r="B195" s="29">
        <v>78.83235294117648</v>
      </c>
      <c r="C195" s="31">
        <v>21.0</v>
      </c>
      <c r="D195" s="31">
        <v>7.0</v>
      </c>
      <c r="E195" s="32">
        <v>0.6819925429836324</v>
      </c>
      <c r="F195" s="32">
        <v>0.2092154235042792</v>
      </c>
      <c r="G195" s="32">
        <v>-0.7685028914523712</v>
      </c>
      <c r="H195" s="32">
        <v>-1.4784874870865707</v>
      </c>
      <c r="I195" s="32">
        <v>-0.10521963126781257</v>
      </c>
      <c r="J195" s="32">
        <v>-0.7860172748923674</v>
      </c>
      <c r="K195" s="32">
        <v>0.8581067463063138</v>
      </c>
      <c r="L195" s="32">
        <v>0.0</v>
      </c>
      <c r="M195" s="32">
        <v>-1.0499244477956526</v>
      </c>
      <c r="N195" s="32">
        <v>-1.3297713223289784</v>
      </c>
      <c r="O195" s="34" t="s">
        <v>69</v>
      </c>
      <c r="P195" s="34" t="s">
        <v>69</v>
      </c>
      <c r="Q195" s="34" t="s">
        <v>69</v>
      </c>
      <c r="R195" s="34" t="s">
        <v>69</v>
      </c>
    </row>
    <row r="196">
      <c r="A196" s="27" t="s">
        <v>230</v>
      </c>
      <c r="B196" s="35">
        <v>26.75</v>
      </c>
      <c r="C196" s="36">
        <v>29.0</v>
      </c>
      <c r="D196" s="36">
        <v>7.0</v>
      </c>
      <c r="E196" s="37" t="s">
        <v>69</v>
      </c>
      <c r="F196" s="37" t="s">
        <v>69</v>
      </c>
      <c r="G196" s="37" t="s">
        <v>69</v>
      </c>
      <c r="H196" s="37" t="s">
        <v>69</v>
      </c>
      <c r="I196" s="37" t="s">
        <v>69</v>
      </c>
      <c r="J196" s="37" t="s">
        <v>69</v>
      </c>
      <c r="K196" s="37" t="s">
        <v>69</v>
      </c>
      <c r="L196" s="37" t="s">
        <v>69</v>
      </c>
      <c r="M196" s="37" t="s">
        <v>69</v>
      </c>
      <c r="N196" s="37" t="s">
        <v>69</v>
      </c>
      <c r="O196" s="34">
        <v>-2.2219331822163912</v>
      </c>
      <c r="P196" s="34">
        <v>-1.0946180313009415</v>
      </c>
      <c r="Q196" s="34">
        <v>-0.4859066829405885</v>
      </c>
      <c r="R196" s="34">
        <v>0.0</v>
      </c>
    </row>
    <row r="197">
      <c r="A197" s="27" t="s">
        <v>231</v>
      </c>
      <c r="B197" s="29">
        <v>80.13779411764706</v>
      </c>
      <c r="C197" s="31">
        <v>16.0</v>
      </c>
      <c r="D197" s="31">
        <v>6.0</v>
      </c>
      <c r="E197" s="32">
        <v>-1.9178599865681492</v>
      </c>
      <c r="F197" s="32">
        <v>-0.9008378350680969</v>
      </c>
      <c r="G197" s="32">
        <v>2.508327759496702</v>
      </c>
      <c r="H197" s="32">
        <v>0.14211726951186546</v>
      </c>
      <c r="I197" s="32">
        <v>-1.6390513011820358</v>
      </c>
      <c r="J197" s="32">
        <v>0.4197910999628751</v>
      </c>
      <c r="K197" s="32">
        <v>-1.4421125333924183</v>
      </c>
      <c r="L197" s="32">
        <v>0.0</v>
      </c>
      <c r="M197" s="32">
        <v>-1.3226057185916942</v>
      </c>
      <c r="N197" s="32">
        <v>0.33908187062686856</v>
      </c>
      <c r="O197" s="34" t="s">
        <v>69</v>
      </c>
      <c r="P197" s="34" t="s">
        <v>69</v>
      </c>
      <c r="Q197" s="34" t="s">
        <v>69</v>
      </c>
      <c r="R197" s="34" t="s">
        <v>69</v>
      </c>
    </row>
    <row r="198">
      <c r="A198" s="27" t="s">
        <v>232</v>
      </c>
      <c r="B198" s="35">
        <v>50.6</v>
      </c>
      <c r="C198" s="36">
        <v>25.0</v>
      </c>
      <c r="D198" s="36">
        <v>7.0</v>
      </c>
      <c r="E198" s="37" t="s">
        <v>69</v>
      </c>
      <c r="F198" s="37" t="s">
        <v>69</v>
      </c>
      <c r="G198" s="37" t="s">
        <v>69</v>
      </c>
      <c r="H198" s="37" t="s">
        <v>69</v>
      </c>
      <c r="I198" s="37" t="s">
        <v>69</v>
      </c>
      <c r="J198" s="37" t="s">
        <v>69</v>
      </c>
      <c r="K198" s="37" t="s">
        <v>69</v>
      </c>
      <c r="L198" s="37" t="s">
        <v>69</v>
      </c>
      <c r="M198" s="37" t="s">
        <v>69</v>
      </c>
      <c r="N198" s="37" t="s">
        <v>69</v>
      </c>
      <c r="O198" s="34">
        <v>0.4237937245377892</v>
      </c>
      <c r="P198" s="34">
        <v>-1.5284739680567618</v>
      </c>
      <c r="Q198" s="34">
        <v>-3.277768437344577</v>
      </c>
      <c r="R198" s="34">
        <v>0.561833068170334</v>
      </c>
    </row>
    <row r="199">
      <c r="A199" s="27" t="s">
        <v>233</v>
      </c>
      <c r="B199" s="29">
        <v>83.38250000000001</v>
      </c>
      <c r="C199" s="31">
        <v>23.0</v>
      </c>
      <c r="D199" s="31">
        <v>6.0</v>
      </c>
      <c r="E199" s="32">
        <v>-0.22121889770422493</v>
      </c>
      <c r="F199" s="32">
        <v>-0.07739579897506518</v>
      </c>
      <c r="G199" s="32">
        <v>-0.9886684485876793</v>
      </c>
      <c r="H199" s="32">
        <v>-1.5298014886369657</v>
      </c>
      <c r="I199" s="32">
        <v>-0.5375586656437799</v>
      </c>
      <c r="J199" s="32">
        <v>0.09611770147930372</v>
      </c>
      <c r="K199" s="32">
        <v>-0.7509229894853541</v>
      </c>
      <c r="L199" s="32">
        <v>1.5229671317022546</v>
      </c>
      <c r="M199" s="32">
        <v>-0.43765561498882993</v>
      </c>
      <c r="N199" s="32">
        <v>-0.9998595827287405</v>
      </c>
      <c r="O199" s="34" t="s">
        <v>69</v>
      </c>
      <c r="P199" s="34" t="s">
        <v>69</v>
      </c>
      <c r="Q199" s="34" t="s">
        <v>69</v>
      </c>
      <c r="R199" s="34" t="s">
        <v>69</v>
      </c>
    </row>
    <row r="200">
      <c r="A200" s="27" t="s">
        <v>234</v>
      </c>
      <c r="B200" s="35">
        <v>28.25</v>
      </c>
      <c r="C200" s="36">
        <v>23.0</v>
      </c>
      <c r="D200" s="36">
        <v>6.0</v>
      </c>
      <c r="E200" s="37" t="s">
        <v>69</v>
      </c>
      <c r="F200" s="37" t="s">
        <v>69</v>
      </c>
      <c r="G200" s="37" t="s">
        <v>69</v>
      </c>
      <c r="H200" s="37" t="s">
        <v>69</v>
      </c>
      <c r="I200" s="37" t="s">
        <v>69</v>
      </c>
      <c r="J200" s="37" t="s">
        <v>69</v>
      </c>
      <c r="K200" s="37" t="s">
        <v>69</v>
      </c>
      <c r="L200" s="37" t="s">
        <v>69</v>
      </c>
      <c r="M200" s="37" t="s">
        <v>69</v>
      </c>
      <c r="N200" s="37" t="s">
        <v>69</v>
      </c>
      <c r="O200" s="34">
        <v>-2.654394543849593</v>
      </c>
      <c r="P200" s="34">
        <v>-1.1150005249740316</v>
      </c>
      <c r="Q200" s="34">
        <v>-0.24463467947358694</v>
      </c>
      <c r="R200" s="34">
        <v>0.0</v>
      </c>
    </row>
    <row r="201">
      <c r="A201" s="27" t="s">
        <v>235</v>
      </c>
      <c r="B201" s="29">
        <v>81.36117647058823</v>
      </c>
      <c r="C201" s="31">
        <v>28.0</v>
      </c>
      <c r="D201" s="31">
        <v>6.0</v>
      </c>
      <c r="E201" s="32">
        <v>0.13609183887827703</v>
      </c>
      <c r="F201" s="32">
        <v>-0.01949462809243357</v>
      </c>
      <c r="G201" s="32">
        <v>1.9340374198902326</v>
      </c>
      <c r="H201" s="32">
        <v>-1.6869015170787773</v>
      </c>
      <c r="I201" s="32">
        <v>-1.2188332394186665</v>
      </c>
      <c r="J201" s="32">
        <v>-0.7858941684964815</v>
      </c>
      <c r="K201" s="32">
        <v>-0.9171885523202076</v>
      </c>
      <c r="L201" s="32">
        <v>0.0</v>
      </c>
      <c r="M201" s="32">
        <v>0.09590768286105411</v>
      </c>
      <c r="N201" s="32">
        <v>-1.5708819082414531</v>
      </c>
      <c r="O201" s="34" t="s">
        <v>69</v>
      </c>
      <c r="P201" s="34" t="s">
        <v>69</v>
      </c>
      <c r="Q201" s="34" t="s">
        <v>69</v>
      </c>
      <c r="R201" s="34" t="s">
        <v>69</v>
      </c>
    </row>
    <row r="202">
      <c r="A202" s="27" t="s">
        <v>236</v>
      </c>
      <c r="B202" s="35">
        <v>81.04499999999999</v>
      </c>
      <c r="C202" s="36">
        <v>33.0</v>
      </c>
      <c r="D202" s="36">
        <v>8.0</v>
      </c>
      <c r="E202" s="37">
        <v>0.683880485853656</v>
      </c>
      <c r="F202" s="37">
        <v>0.03724773786803388</v>
      </c>
      <c r="G202" s="37">
        <v>0.590034974544703</v>
      </c>
      <c r="H202" s="37">
        <v>-1.8549494939016962</v>
      </c>
      <c r="I202" s="37">
        <v>0.24482193946130745</v>
      </c>
      <c r="J202" s="37">
        <v>-0.7842127181629118</v>
      </c>
      <c r="K202" s="37">
        <v>0.928802087478005</v>
      </c>
      <c r="L202" s="37">
        <v>0.0</v>
      </c>
      <c r="M202" s="37">
        <v>-2.134436524727261</v>
      </c>
      <c r="N202" s="37">
        <v>-1.7745123898103963</v>
      </c>
      <c r="O202" s="34" t="s">
        <v>69</v>
      </c>
      <c r="P202" s="34" t="s">
        <v>69</v>
      </c>
      <c r="Q202" s="34" t="s">
        <v>69</v>
      </c>
      <c r="R202" s="34" t="s">
        <v>69</v>
      </c>
    </row>
    <row r="203">
      <c r="A203" s="27" t="s">
        <v>237</v>
      </c>
      <c r="B203" s="29">
        <v>81.72720588235293</v>
      </c>
      <c r="C203" s="31">
        <v>28.0</v>
      </c>
      <c r="D203" s="31">
        <v>7.0</v>
      </c>
      <c r="E203" s="32">
        <v>-1.0793411802908068</v>
      </c>
      <c r="F203" s="32">
        <v>1.2449694140850633</v>
      </c>
      <c r="G203" s="32">
        <v>-1.4037148058823028</v>
      </c>
      <c r="H203" s="32">
        <v>-1.1907463277573977</v>
      </c>
      <c r="I203" s="32">
        <v>0.9604379123741477</v>
      </c>
      <c r="J203" s="32">
        <v>-0.7377157411373093</v>
      </c>
      <c r="K203" s="32">
        <v>0.45577799967311317</v>
      </c>
      <c r="L203" s="32">
        <v>0.0</v>
      </c>
      <c r="M203" s="32">
        <v>-2.0850474240937182</v>
      </c>
      <c r="N203" s="32">
        <v>-0.23209244407609686</v>
      </c>
      <c r="O203" s="34" t="s">
        <v>69</v>
      </c>
      <c r="P203" s="34" t="s">
        <v>69</v>
      </c>
      <c r="Q203" s="34" t="s">
        <v>69</v>
      </c>
      <c r="R203" s="34" t="s">
        <v>69</v>
      </c>
    </row>
    <row r="204">
      <c r="A204" s="27" t="s">
        <v>238</v>
      </c>
      <c r="B204" s="35">
        <v>33.5</v>
      </c>
      <c r="C204" s="36">
        <v>29.0</v>
      </c>
      <c r="D204" s="36">
        <v>7.0</v>
      </c>
      <c r="E204" s="37" t="s">
        <v>69</v>
      </c>
      <c r="F204" s="37" t="s">
        <v>69</v>
      </c>
      <c r="G204" s="37" t="s">
        <v>69</v>
      </c>
      <c r="H204" s="37" t="s">
        <v>69</v>
      </c>
      <c r="I204" s="37" t="s">
        <v>69</v>
      </c>
      <c r="J204" s="37" t="s">
        <v>69</v>
      </c>
      <c r="K204" s="37" t="s">
        <v>69</v>
      </c>
      <c r="L204" s="37" t="s">
        <v>69</v>
      </c>
      <c r="M204" s="37" t="s">
        <v>69</v>
      </c>
      <c r="N204" s="37" t="s">
        <v>69</v>
      </c>
      <c r="O204" s="34">
        <v>-1.5204183219627094</v>
      </c>
      <c r="P204" s="34">
        <v>-0.5239082084543606</v>
      </c>
      <c r="Q204" s="34">
        <v>-2.0369409909428113</v>
      </c>
      <c r="R204" s="34">
        <v>0.0</v>
      </c>
    </row>
    <row r="205">
      <c r="A205" s="27" t="s">
        <v>239</v>
      </c>
      <c r="B205" s="29">
        <v>79.17382352941176</v>
      </c>
      <c r="C205" s="31">
        <v>29.0</v>
      </c>
      <c r="D205" s="31">
        <v>6.0</v>
      </c>
      <c r="E205" s="32">
        <v>0.6782518098883921</v>
      </c>
      <c r="F205" s="32">
        <v>-1.1382006910245814</v>
      </c>
      <c r="G205" s="32">
        <v>-0.5674945068717975</v>
      </c>
      <c r="H205" s="32">
        <v>-0.315246293054562</v>
      </c>
      <c r="I205" s="32">
        <v>-0.5225665733361635</v>
      </c>
      <c r="J205" s="32">
        <v>-0.27134653452467195</v>
      </c>
      <c r="K205" s="32">
        <v>-0.04796033910098967</v>
      </c>
      <c r="L205" s="32">
        <v>0.0</v>
      </c>
      <c r="M205" s="32">
        <v>-1.0036347944818367</v>
      </c>
      <c r="N205" s="32">
        <v>-0.9168741882854644</v>
      </c>
      <c r="O205" s="34" t="s">
        <v>69</v>
      </c>
      <c r="P205" s="34" t="s">
        <v>69</v>
      </c>
      <c r="Q205" s="34" t="s">
        <v>69</v>
      </c>
      <c r="R205" s="34" t="s">
        <v>69</v>
      </c>
    </row>
    <row r="206">
      <c r="A206" s="27" t="s">
        <v>240</v>
      </c>
      <c r="B206" s="35">
        <v>57.3</v>
      </c>
      <c r="C206" s="36">
        <v>34.0</v>
      </c>
      <c r="D206" s="36">
        <v>7.0</v>
      </c>
      <c r="E206" s="37" t="s">
        <v>69</v>
      </c>
      <c r="F206" s="37" t="s">
        <v>69</v>
      </c>
      <c r="G206" s="37" t="s">
        <v>69</v>
      </c>
      <c r="H206" s="37" t="s">
        <v>69</v>
      </c>
      <c r="I206" s="37" t="s">
        <v>69</v>
      </c>
      <c r="J206" s="37" t="s">
        <v>69</v>
      </c>
      <c r="K206" s="37" t="s">
        <v>69</v>
      </c>
      <c r="L206" s="37" t="s">
        <v>69</v>
      </c>
      <c r="M206" s="37" t="s">
        <v>69</v>
      </c>
      <c r="N206" s="37" t="s">
        <v>69</v>
      </c>
      <c r="O206" s="34">
        <v>0.793480612431333</v>
      </c>
      <c r="P206" s="34">
        <v>-2.7659825124945003</v>
      </c>
      <c r="Q206" s="34">
        <v>-2.2299585937164</v>
      </c>
      <c r="R206" s="34">
        <v>0.0</v>
      </c>
    </row>
    <row r="207">
      <c r="A207" s="27" t="s">
        <v>241</v>
      </c>
      <c r="B207" s="29">
        <v>81.99014705882352</v>
      </c>
      <c r="C207" s="31">
        <v>23.0</v>
      </c>
      <c r="D207" s="31">
        <v>7.0</v>
      </c>
      <c r="E207" s="32">
        <v>0.3226500174695915</v>
      </c>
      <c r="F207" s="32">
        <v>-0.13004889009639253</v>
      </c>
      <c r="G207" s="32">
        <v>0.8842837581561758</v>
      </c>
      <c r="H207" s="32">
        <v>-0.6192376288219841</v>
      </c>
      <c r="I207" s="32">
        <v>-0.2492057708397147</v>
      </c>
      <c r="J207" s="32">
        <v>-0.7778340596418449</v>
      </c>
      <c r="K207" s="32">
        <v>0.2522782049342907</v>
      </c>
      <c r="L207" s="32">
        <v>0.0</v>
      </c>
      <c r="M207" s="32">
        <v>-2.2811933946898657</v>
      </c>
      <c r="N207" s="32">
        <v>-1.6103541529127052</v>
      </c>
      <c r="O207" s="34" t="s">
        <v>69</v>
      </c>
      <c r="P207" s="34" t="s">
        <v>69</v>
      </c>
      <c r="Q207" s="34" t="s">
        <v>69</v>
      </c>
      <c r="R207" s="34" t="s">
        <v>69</v>
      </c>
    </row>
    <row r="208">
      <c r="A208" s="27" t="s">
        <v>242</v>
      </c>
      <c r="B208" s="35">
        <v>82.82735294117647</v>
      </c>
      <c r="C208" s="36">
        <v>29.0</v>
      </c>
      <c r="D208" s="36">
        <v>7.0</v>
      </c>
      <c r="E208" s="37">
        <v>0.23630991657308925</v>
      </c>
      <c r="F208" s="37">
        <v>1.0467739279623693</v>
      </c>
      <c r="G208" s="37">
        <v>-0.7047624538169457</v>
      </c>
      <c r="H208" s="37">
        <v>-0.7588797682806414</v>
      </c>
      <c r="I208" s="37">
        <v>0.8801996798691508</v>
      </c>
      <c r="J208" s="37">
        <v>-0.7848207425926299</v>
      </c>
      <c r="K208" s="37">
        <v>-0.34739395849251004</v>
      </c>
      <c r="L208" s="37">
        <v>0.0</v>
      </c>
      <c r="M208" s="37">
        <v>-1.9033890896967665</v>
      </c>
      <c r="N208" s="37">
        <v>-1.875538914127096</v>
      </c>
      <c r="O208" s="34" t="s">
        <v>69</v>
      </c>
      <c r="P208" s="34" t="s">
        <v>69</v>
      </c>
      <c r="Q208" s="34" t="s">
        <v>69</v>
      </c>
      <c r="R208" s="34" t="s">
        <v>69</v>
      </c>
    </row>
    <row r="209">
      <c r="A209" s="27" t="s">
        <v>243</v>
      </c>
      <c r="B209" s="29">
        <v>82.90529411764705</v>
      </c>
      <c r="C209" s="31">
        <v>31.0</v>
      </c>
      <c r="D209" s="31">
        <v>7.0</v>
      </c>
      <c r="E209" s="32">
        <v>-1.1293843386124784</v>
      </c>
      <c r="F209" s="32">
        <v>0.36721322801752165</v>
      </c>
      <c r="G209" s="32">
        <v>-1.5447215937897918</v>
      </c>
      <c r="H209" s="32">
        <v>0.12536394939385329</v>
      </c>
      <c r="I209" s="32">
        <v>-0.15282775287418313</v>
      </c>
      <c r="J209" s="32">
        <v>-0.2151887876927237</v>
      </c>
      <c r="K209" s="32">
        <v>-0.9800495432487144</v>
      </c>
      <c r="L209" s="32">
        <v>0.0</v>
      </c>
      <c r="M209" s="32">
        <v>-1.3061552862185861</v>
      </c>
      <c r="N209" s="32">
        <v>0.5699845243061487</v>
      </c>
      <c r="O209" s="34" t="s">
        <v>69</v>
      </c>
      <c r="P209" s="34" t="s">
        <v>69</v>
      </c>
      <c r="Q209" s="34" t="s">
        <v>69</v>
      </c>
      <c r="R209" s="34" t="s">
        <v>69</v>
      </c>
    </row>
    <row r="210">
      <c r="A210" s="27" t="s">
        <v>244</v>
      </c>
      <c r="B210" s="35">
        <v>32.4</v>
      </c>
      <c r="C210" s="36">
        <v>24.0</v>
      </c>
      <c r="D210" s="36">
        <v>7.0</v>
      </c>
      <c r="E210" s="37" t="s">
        <v>69</v>
      </c>
      <c r="F210" s="37" t="s">
        <v>69</v>
      </c>
      <c r="G210" s="37" t="s">
        <v>69</v>
      </c>
      <c r="H210" s="37" t="s">
        <v>69</v>
      </c>
      <c r="I210" s="37" t="s">
        <v>69</v>
      </c>
      <c r="J210" s="37" t="s">
        <v>69</v>
      </c>
      <c r="K210" s="37" t="s">
        <v>69</v>
      </c>
      <c r="L210" s="37" t="s">
        <v>69</v>
      </c>
      <c r="M210" s="37" t="s">
        <v>69</v>
      </c>
      <c r="N210" s="37" t="s">
        <v>69</v>
      </c>
      <c r="O210" s="34">
        <v>-1.7237569009313598</v>
      </c>
      <c r="P210" s="34">
        <v>-0.6462031704929136</v>
      </c>
      <c r="Q210" s="34">
        <v>-1.8990712746759006</v>
      </c>
      <c r="R210" s="34">
        <v>0.0</v>
      </c>
    </row>
    <row r="211">
      <c r="A211" s="27" t="s">
        <v>245</v>
      </c>
      <c r="B211" s="29">
        <v>77.82029411764705</v>
      </c>
      <c r="C211" s="31">
        <v>29.0</v>
      </c>
      <c r="D211" s="31">
        <v>6.0</v>
      </c>
      <c r="E211" s="32">
        <v>0.27125338602959687</v>
      </c>
      <c r="F211" s="32">
        <v>0.5492093601367818</v>
      </c>
      <c r="G211" s="32">
        <v>-1.4747154092062653</v>
      </c>
      <c r="H211" s="32">
        <v>0.21872055385761238</v>
      </c>
      <c r="I211" s="32">
        <v>0.386490579209381</v>
      </c>
      <c r="J211" s="32">
        <v>-0.7792632118816654</v>
      </c>
      <c r="K211" s="32">
        <v>-0.007948155621698488</v>
      </c>
      <c r="L211" s="32">
        <v>0.0</v>
      </c>
      <c r="M211" s="32">
        <v>-1.6477521520672747</v>
      </c>
      <c r="N211" s="32">
        <v>-1.786135469245245</v>
      </c>
      <c r="O211" s="34" t="s">
        <v>69</v>
      </c>
      <c r="P211" s="34" t="s">
        <v>69</v>
      </c>
      <c r="Q211" s="34" t="s">
        <v>69</v>
      </c>
      <c r="R211" s="34" t="s">
        <v>69</v>
      </c>
    </row>
    <row r="212">
      <c r="A212" s="27" t="s">
        <v>246</v>
      </c>
      <c r="B212" s="35">
        <v>24.9</v>
      </c>
      <c r="C212" s="36">
        <v>18.0</v>
      </c>
      <c r="D212" s="36">
        <v>6.0</v>
      </c>
      <c r="E212" s="37" t="s">
        <v>69</v>
      </c>
      <c r="F212" s="37" t="s">
        <v>69</v>
      </c>
      <c r="G212" s="37" t="s">
        <v>69</v>
      </c>
      <c r="H212" s="37" t="s">
        <v>69</v>
      </c>
      <c r="I212" s="37" t="s">
        <v>69</v>
      </c>
      <c r="J212" s="37" t="s">
        <v>69</v>
      </c>
      <c r="K212" s="37" t="s">
        <v>69</v>
      </c>
      <c r="L212" s="37" t="s">
        <v>69</v>
      </c>
      <c r="M212" s="37" t="s">
        <v>69</v>
      </c>
      <c r="N212" s="37" t="s">
        <v>69</v>
      </c>
      <c r="O212" s="34">
        <v>-2.7483809067670704</v>
      </c>
      <c r="P212" s="34">
        <v>-1.3392079553780478</v>
      </c>
      <c r="Q212" s="34">
        <v>-0.18948679296681664</v>
      </c>
      <c r="R212" s="34">
        <v>0.0</v>
      </c>
    </row>
    <row r="213">
      <c r="A213" s="27" t="s">
        <v>247</v>
      </c>
      <c r="B213" s="29">
        <v>67.47058823529412</v>
      </c>
      <c r="C213" s="31">
        <v>31.0</v>
      </c>
      <c r="D213" s="31">
        <v>7.0</v>
      </c>
      <c r="E213" s="32">
        <v>0.8961421577593828</v>
      </c>
      <c r="F213" s="32">
        <v>1.000853038725475</v>
      </c>
      <c r="G213" s="32">
        <v>-4.109693848978301</v>
      </c>
      <c r="H213" s="32">
        <v>-0.007824889209512192</v>
      </c>
      <c r="I213" s="32">
        <v>1.0478624356162984</v>
      </c>
      <c r="J213" s="32">
        <v>-0.7794276000185447</v>
      </c>
      <c r="K213" s="32">
        <v>1.1444136930484619</v>
      </c>
      <c r="L213" s="32">
        <v>0.27244686597389484</v>
      </c>
      <c r="M213" s="32">
        <v>-1.9209346241026157</v>
      </c>
      <c r="N213" s="32">
        <v>-1.8228111048153703</v>
      </c>
      <c r="O213" s="34" t="s">
        <v>69</v>
      </c>
      <c r="P213" s="34" t="s">
        <v>69</v>
      </c>
      <c r="Q213" s="34" t="s">
        <v>69</v>
      </c>
      <c r="R213" s="34" t="s">
        <v>69</v>
      </c>
    </row>
    <row r="214">
      <c r="A214" s="27" t="s">
        <v>248</v>
      </c>
      <c r="B214" s="35">
        <v>79.44044117647059</v>
      </c>
      <c r="C214" s="36">
        <v>21.0</v>
      </c>
      <c r="D214" s="36">
        <v>7.0</v>
      </c>
      <c r="E214" s="37">
        <v>0.12256330867626833</v>
      </c>
      <c r="F214" s="37">
        <v>-0.22983458119371888</v>
      </c>
      <c r="G214" s="37">
        <v>-2.1623712145580902</v>
      </c>
      <c r="H214" s="37">
        <v>0.2042692321760564</v>
      </c>
      <c r="I214" s="37">
        <v>-0.19622564754200467</v>
      </c>
      <c r="J214" s="37">
        <v>-0.7534193564873214</v>
      </c>
      <c r="K214" s="37">
        <v>0.04758153249763023</v>
      </c>
      <c r="L214" s="37">
        <v>1.0077023878557847</v>
      </c>
      <c r="M214" s="37">
        <v>-0.7680451595056387</v>
      </c>
      <c r="N214" s="37">
        <v>-1.599128196201613</v>
      </c>
      <c r="O214" s="34" t="s">
        <v>69</v>
      </c>
      <c r="P214" s="34" t="s">
        <v>69</v>
      </c>
      <c r="Q214" s="34" t="s">
        <v>69</v>
      </c>
      <c r="R214" s="34" t="s">
        <v>69</v>
      </c>
    </row>
    <row r="215">
      <c r="A215" s="27" t="s">
        <v>249</v>
      </c>
      <c r="B215" s="29">
        <v>50.4</v>
      </c>
      <c r="C215" s="31">
        <v>29.0</v>
      </c>
      <c r="D215" s="31">
        <v>7.0</v>
      </c>
      <c r="E215" s="32" t="s">
        <v>69</v>
      </c>
      <c r="F215" s="32" t="s">
        <v>69</v>
      </c>
      <c r="G215" s="32" t="s">
        <v>69</v>
      </c>
      <c r="H215" s="32" t="s">
        <v>69</v>
      </c>
      <c r="I215" s="32" t="s">
        <v>69</v>
      </c>
      <c r="J215" s="32" t="s">
        <v>69</v>
      </c>
      <c r="K215" s="32" t="s">
        <v>69</v>
      </c>
      <c r="L215" s="32" t="s">
        <v>69</v>
      </c>
      <c r="M215" s="32" t="s">
        <v>69</v>
      </c>
      <c r="N215" s="32" t="s">
        <v>69</v>
      </c>
      <c r="O215" s="34">
        <v>0.5284628083838895</v>
      </c>
      <c r="P215" s="34">
        <v>-1.3683258034824677</v>
      </c>
      <c r="Q215" s="34">
        <v>-3.498359983371536</v>
      </c>
      <c r="R215" s="34">
        <v>0.0</v>
      </c>
    </row>
    <row r="216">
      <c r="A216" s="27" t="s">
        <v>250</v>
      </c>
      <c r="B216" s="35">
        <v>73.19279411764705</v>
      </c>
      <c r="C216" s="36">
        <v>23.0</v>
      </c>
      <c r="D216" s="36">
        <v>6.0</v>
      </c>
      <c r="E216" s="37">
        <v>0.44791451814352923</v>
      </c>
      <c r="F216" s="37">
        <v>-0.3293704374716709</v>
      </c>
      <c r="G216" s="37">
        <v>0.2681022035838584</v>
      </c>
      <c r="H216" s="37">
        <v>-1.6143030119868775</v>
      </c>
      <c r="I216" s="37">
        <v>-0.4941807107462372</v>
      </c>
      <c r="J216" s="37">
        <v>0.09617116175035105</v>
      </c>
      <c r="K216" s="37">
        <v>0.2298237290795193</v>
      </c>
      <c r="L216" s="37">
        <v>0.0</v>
      </c>
      <c r="M216" s="37">
        <v>-1.2346336629305932</v>
      </c>
      <c r="N216" s="37">
        <v>-1.7168647916459399</v>
      </c>
      <c r="O216" s="34" t="s">
        <v>69</v>
      </c>
      <c r="P216" s="34" t="s">
        <v>69</v>
      </c>
      <c r="Q216" s="34" t="s">
        <v>69</v>
      </c>
      <c r="R216" s="34" t="s">
        <v>69</v>
      </c>
    </row>
    <row r="217">
      <c r="A217" s="27" t="s">
        <v>251</v>
      </c>
      <c r="B217" s="29">
        <v>82.16661764705883</v>
      </c>
      <c r="C217" s="31">
        <v>29.0</v>
      </c>
      <c r="D217" s="31">
        <v>6.0</v>
      </c>
      <c r="E217" s="32">
        <v>0.31680050243137353</v>
      </c>
      <c r="F217" s="32">
        <v>0.19868375138782335</v>
      </c>
      <c r="G217" s="32">
        <v>-1.0675742809736604</v>
      </c>
      <c r="H217" s="32">
        <v>0.6076463690362508</v>
      </c>
      <c r="I217" s="32">
        <v>0.12431940477051434</v>
      </c>
      <c r="J217" s="32">
        <v>-0.7867335366307256</v>
      </c>
      <c r="K217" s="32">
        <v>0.27925452162952885</v>
      </c>
      <c r="L217" s="32">
        <v>0.0</v>
      </c>
      <c r="M217" s="32">
        <v>-1.9643050443590884</v>
      </c>
      <c r="N217" s="32">
        <v>-2.05575590183381</v>
      </c>
      <c r="O217" s="34" t="s">
        <v>69</v>
      </c>
      <c r="P217" s="34" t="s">
        <v>69</v>
      </c>
      <c r="Q217" s="34" t="s">
        <v>69</v>
      </c>
      <c r="R217" s="34" t="s">
        <v>69</v>
      </c>
    </row>
    <row r="218">
      <c r="A218" s="27" t="s">
        <v>252</v>
      </c>
      <c r="B218" s="35">
        <v>83.6</v>
      </c>
      <c r="C218" s="36">
        <v>34.0</v>
      </c>
      <c r="D218" s="36">
        <v>7.0</v>
      </c>
      <c r="E218" s="37">
        <v>-1.5427918431098728</v>
      </c>
      <c r="F218" s="37">
        <v>-0.823277541015469</v>
      </c>
      <c r="G218" s="37">
        <v>2.8356890068969594</v>
      </c>
      <c r="H218" s="37">
        <v>-1.0416078048757156</v>
      </c>
      <c r="I218" s="37">
        <v>-1.2899735462689188</v>
      </c>
      <c r="J218" s="37">
        <v>-0.16952108464970286</v>
      </c>
      <c r="K218" s="37">
        <v>-0.08422639907459599</v>
      </c>
      <c r="L218" s="37">
        <v>0.0</v>
      </c>
      <c r="M218" s="37">
        <v>-2.1928635392814173</v>
      </c>
      <c r="N218" s="37">
        <v>-0.0482870448226913</v>
      </c>
      <c r="O218" s="34" t="s">
        <v>69</v>
      </c>
      <c r="P218" s="34" t="s">
        <v>69</v>
      </c>
      <c r="Q218" s="34" t="s">
        <v>69</v>
      </c>
      <c r="R218" s="34" t="s">
        <v>69</v>
      </c>
    </row>
    <row r="219">
      <c r="A219" s="27" t="s">
        <v>253</v>
      </c>
      <c r="B219" s="29">
        <v>34.6</v>
      </c>
      <c r="C219" s="31">
        <v>29.0</v>
      </c>
      <c r="D219" s="31">
        <v>6.0</v>
      </c>
      <c r="E219" s="32" t="s">
        <v>69</v>
      </c>
      <c r="F219" s="32" t="s">
        <v>69</v>
      </c>
      <c r="G219" s="32" t="s">
        <v>69</v>
      </c>
      <c r="H219" s="32" t="s">
        <v>69</v>
      </c>
      <c r="I219" s="32" t="s">
        <v>69</v>
      </c>
      <c r="J219" s="32" t="s">
        <v>69</v>
      </c>
      <c r="K219" s="32" t="s">
        <v>69</v>
      </c>
      <c r="L219" s="32" t="s">
        <v>69</v>
      </c>
      <c r="M219" s="32" t="s">
        <v>69</v>
      </c>
      <c r="N219" s="32" t="s">
        <v>69</v>
      </c>
      <c r="O219" s="34">
        <v>-1.5890898734675123</v>
      </c>
      <c r="P219" s="34">
        <v>-1.8342113731531422</v>
      </c>
      <c r="Q219" s="34">
        <v>-0.9615572040612644</v>
      </c>
      <c r="R219" s="34">
        <v>0.0</v>
      </c>
    </row>
    <row r="220">
      <c r="A220" s="27" t="s">
        <v>255</v>
      </c>
      <c r="B220" s="35">
        <v>74.16117647058823</v>
      </c>
      <c r="C220" s="36">
        <v>29.0</v>
      </c>
      <c r="D220" s="36">
        <v>7.0</v>
      </c>
      <c r="E220" s="37">
        <v>-2.017531666483551</v>
      </c>
      <c r="F220" s="37">
        <v>-0.5776727244788294</v>
      </c>
      <c r="G220" s="37">
        <v>-0.10688422056994562</v>
      </c>
      <c r="H220" s="37">
        <v>0.9106229588794853</v>
      </c>
      <c r="I220" s="37">
        <v>-0.8672369445820921</v>
      </c>
      <c r="J220" s="37">
        <v>-0.1208735464253167</v>
      </c>
      <c r="K220" s="37">
        <v>-1.1906312535483512</v>
      </c>
      <c r="L220" s="37">
        <v>0.0</v>
      </c>
      <c r="M220" s="37">
        <v>-0.6881163584845423</v>
      </c>
      <c r="N220" s="37">
        <v>0.26347357062622656</v>
      </c>
      <c r="O220" s="34" t="s">
        <v>69</v>
      </c>
      <c r="P220" s="34" t="s">
        <v>69</v>
      </c>
      <c r="Q220" s="34" t="s">
        <v>69</v>
      </c>
      <c r="R220" s="34" t="s">
        <v>69</v>
      </c>
    </row>
    <row r="221">
      <c r="A221" s="27" t="s">
        <v>256</v>
      </c>
      <c r="B221" s="29">
        <v>79.76867647058825</v>
      </c>
      <c r="C221" s="31">
        <v>23.0</v>
      </c>
      <c r="D221" s="31">
        <v>6.0</v>
      </c>
      <c r="E221" s="32">
        <v>-0.4310937101877726</v>
      </c>
      <c r="F221" s="32">
        <v>-0.22419622492400204</v>
      </c>
      <c r="G221" s="32">
        <v>-2.0010954402964938</v>
      </c>
      <c r="H221" s="32">
        <v>-1.217012896889787</v>
      </c>
      <c r="I221" s="32">
        <v>0.11222465402914852</v>
      </c>
      <c r="J221" s="32">
        <v>-0.2780997032565814</v>
      </c>
      <c r="K221" s="32">
        <v>-0.641521080067046</v>
      </c>
      <c r="L221" s="32">
        <v>2.2132600515608267</v>
      </c>
      <c r="M221" s="32">
        <v>-1.2855501305980852</v>
      </c>
      <c r="N221" s="32">
        <v>-0.6505267497225593</v>
      </c>
      <c r="O221" s="34" t="s">
        <v>69</v>
      </c>
      <c r="P221" s="34" t="s">
        <v>69</v>
      </c>
      <c r="Q221" s="34" t="s">
        <v>69</v>
      </c>
      <c r="R221" s="34" t="s">
        <v>69</v>
      </c>
    </row>
    <row r="222">
      <c r="A222" s="27" t="s">
        <v>257</v>
      </c>
      <c r="B222" s="35">
        <v>83.0155882352941</v>
      </c>
      <c r="C222" s="36">
        <v>25.0</v>
      </c>
      <c r="D222" s="36">
        <v>6.0</v>
      </c>
      <c r="E222" s="37">
        <v>-1.9931060034058008</v>
      </c>
      <c r="F222" s="37">
        <v>-0.7373125575991837</v>
      </c>
      <c r="G222" s="37">
        <v>2.701593311753467</v>
      </c>
      <c r="H222" s="37">
        <v>-1.7489844877268594</v>
      </c>
      <c r="I222" s="37">
        <v>-1.5076338517433723</v>
      </c>
      <c r="J222" s="37">
        <v>-0.17257984302722057</v>
      </c>
      <c r="K222" s="37">
        <v>-1.719868797553972</v>
      </c>
      <c r="L222" s="37">
        <v>0.0</v>
      </c>
      <c r="M222" s="37">
        <v>-1.6774284250357698</v>
      </c>
      <c r="N222" s="37">
        <v>2.409540750850104</v>
      </c>
      <c r="O222" s="34" t="s">
        <v>69</v>
      </c>
      <c r="P222" s="34" t="s">
        <v>69</v>
      </c>
      <c r="Q222" s="34" t="s">
        <v>69</v>
      </c>
      <c r="R222" s="34" t="s">
        <v>69</v>
      </c>
    </row>
    <row r="223">
      <c r="A223" s="27" t="s">
        <v>258</v>
      </c>
      <c r="B223" s="29">
        <v>74.10602941176471</v>
      </c>
      <c r="C223" s="31">
        <v>33.0</v>
      </c>
      <c r="D223" s="31">
        <v>8.0</v>
      </c>
      <c r="E223" s="32">
        <v>-0.5817777096642203</v>
      </c>
      <c r="F223" s="32">
        <v>-0.9617211701932613</v>
      </c>
      <c r="G223" s="32">
        <v>-0.7049237881050281</v>
      </c>
      <c r="H223" s="32">
        <v>-0.6128094274555529</v>
      </c>
      <c r="I223" s="32">
        <v>-1.2210639554236615</v>
      </c>
      <c r="J223" s="32">
        <v>-0.11068040233232104</v>
      </c>
      <c r="K223" s="32">
        <v>-0.3357908459286917</v>
      </c>
      <c r="L223" s="32">
        <v>0.34953986148137145</v>
      </c>
      <c r="M223" s="32">
        <v>0.294326179909898</v>
      </c>
      <c r="N223" s="32">
        <v>-0.5931445490284759</v>
      </c>
      <c r="O223" s="34" t="s">
        <v>69</v>
      </c>
      <c r="P223" s="34" t="s">
        <v>69</v>
      </c>
      <c r="Q223" s="34" t="s">
        <v>69</v>
      </c>
      <c r="R223" s="34" t="s">
        <v>69</v>
      </c>
    </row>
    <row r="224">
      <c r="A224" s="27" t="s">
        <v>259</v>
      </c>
      <c r="B224" s="35">
        <v>15.6</v>
      </c>
      <c r="C224" s="36">
        <v>25.0</v>
      </c>
      <c r="D224" s="36">
        <v>6.0</v>
      </c>
      <c r="E224" s="37" t="s">
        <v>69</v>
      </c>
      <c r="F224" s="37" t="s">
        <v>69</v>
      </c>
      <c r="G224" s="37" t="s">
        <v>69</v>
      </c>
      <c r="H224" s="37" t="s">
        <v>69</v>
      </c>
      <c r="I224" s="37" t="s">
        <v>69</v>
      </c>
      <c r="J224" s="37" t="s">
        <v>69</v>
      </c>
      <c r="K224" s="37" t="s">
        <v>69</v>
      </c>
      <c r="L224" s="37" t="s">
        <v>69</v>
      </c>
      <c r="M224" s="37" t="s">
        <v>69</v>
      </c>
      <c r="N224" s="37" t="s">
        <v>69</v>
      </c>
      <c r="O224" s="34">
        <v>-3.5560053995981344</v>
      </c>
      <c r="P224" s="34">
        <v>-1.1353830186471259</v>
      </c>
      <c r="Q224" s="34">
        <v>0.19654841258045316</v>
      </c>
      <c r="R224" s="34">
        <v>0.0</v>
      </c>
    </row>
    <row r="225">
      <c r="A225" s="27" t="s">
        <v>260</v>
      </c>
      <c r="B225" s="29">
        <v>80.0</v>
      </c>
      <c r="C225" s="31">
        <v>28.0</v>
      </c>
      <c r="D225" s="31">
        <v>7.0</v>
      </c>
      <c r="E225" s="32">
        <v>-1.90245867586691</v>
      </c>
      <c r="F225" s="32">
        <v>-2.18903651662447</v>
      </c>
      <c r="G225" s="32" t="s">
        <v>69</v>
      </c>
      <c r="H225" s="32">
        <v>1.92394788636969</v>
      </c>
      <c r="I225" s="32" t="s">
        <v>69</v>
      </c>
      <c r="J225" s="32" t="s">
        <v>69</v>
      </c>
      <c r="K225" s="32">
        <v>-1.979149394028682</v>
      </c>
      <c r="L225" s="32" t="s">
        <v>69</v>
      </c>
      <c r="M225" s="32">
        <v>1.4370449880656686</v>
      </c>
      <c r="N225" s="32">
        <v>-1.807502791527811</v>
      </c>
      <c r="O225" s="34" t="s">
        <v>69</v>
      </c>
      <c r="P225" s="34" t="s">
        <v>69</v>
      </c>
      <c r="Q225" s="34" t="s">
        <v>69</v>
      </c>
      <c r="R225" s="34" t="s">
        <v>69</v>
      </c>
    </row>
    <row r="226">
      <c r="A226" s="27" t="s">
        <v>261</v>
      </c>
      <c r="B226" s="35">
        <v>29.875</v>
      </c>
      <c r="C226" s="36">
        <v>24.0</v>
      </c>
      <c r="D226" s="36">
        <v>7.0</v>
      </c>
      <c r="E226" s="37" t="s">
        <v>69</v>
      </c>
      <c r="F226" s="37" t="s">
        <v>69</v>
      </c>
      <c r="G226" s="37" t="s">
        <v>69</v>
      </c>
      <c r="H226" s="37" t="s">
        <v>69</v>
      </c>
      <c r="I226" s="37" t="s">
        <v>69</v>
      </c>
      <c r="J226" s="37" t="s">
        <v>69</v>
      </c>
      <c r="K226" s="37" t="s">
        <v>69</v>
      </c>
      <c r="L226" s="37" t="s">
        <v>69</v>
      </c>
      <c r="M226" s="37" t="s">
        <v>69</v>
      </c>
      <c r="N226" s="37" t="s">
        <v>69</v>
      </c>
      <c r="O226" s="34">
        <v>-2.0704597528875643</v>
      </c>
      <c r="P226" s="34">
        <v>-1.6245628668013383</v>
      </c>
      <c r="Q226" s="34">
        <v>-0.8305809736077117</v>
      </c>
      <c r="R226" s="34">
        <v>0.0</v>
      </c>
    </row>
    <row r="227">
      <c r="A227" s="27" t="s">
        <v>262</v>
      </c>
      <c r="B227" s="29">
        <v>25.0</v>
      </c>
      <c r="C227" s="31">
        <v>16.0</v>
      </c>
      <c r="D227" s="31">
        <v>6.0</v>
      </c>
      <c r="E227" s="32" t="s">
        <v>69</v>
      </c>
      <c r="F227" s="32" t="s">
        <v>69</v>
      </c>
      <c r="G227" s="32" t="s">
        <v>69</v>
      </c>
      <c r="H227" s="32" t="s">
        <v>69</v>
      </c>
      <c r="I227" s="32" t="s">
        <v>69</v>
      </c>
      <c r="J227" s="32" t="s">
        <v>69</v>
      </c>
      <c r="K227" s="32" t="s">
        <v>69</v>
      </c>
      <c r="L227" s="32" t="s">
        <v>69</v>
      </c>
      <c r="M227" s="32" t="s">
        <v>69</v>
      </c>
      <c r="N227" s="32" t="s">
        <v>69</v>
      </c>
      <c r="O227" s="34">
        <v>-2.452987487149856</v>
      </c>
      <c r="P227" s="34">
        <v>-1.0538530439547618</v>
      </c>
      <c r="Q227" s="34">
        <v>-1.0718529770747438</v>
      </c>
      <c r="R227" s="34">
        <v>0.0</v>
      </c>
    </row>
    <row r="228">
      <c r="A228" s="27" t="s">
        <v>263</v>
      </c>
      <c r="B228" s="35">
        <v>81.1945588235294</v>
      </c>
      <c r="C228" s="36">
        <v>23.0</v>
      </c>
      <c r="D228" s="36">
        <v>7.0</v>
      </c>
      <c r="E228" s="37">
        <v>0.16313254885579778</v>
      </c>
      <c r="F228" s="37">
        <v>-0.4102114438978907</v>
      </c>
      <c r="G228" s="37">
        <v>0.9318854788259875</v>
      </c>
      <c r="H228" s="37">
        <v>-1.571581912788261</v>
      </c>
      <c r="I228" s="37">
        <v>-0.4891347280146372</v>
      </c>
      <c r="J228" s="37">
        <v>-0.776791201270396</v>
      </c>
      <c r="K228" s="37">
        <v>0.43046336830787096</v>
      </c>
      <c r="L228" s="37">
        <v>0.51164339801707</v>
      </c>
      <c r="M228" s="37">
        <v>-1.5440781985673049</v>
      </c>
      <c r="N228" s="37">
        <v>-1.826062226508012</v>
      </c>
      <c r="O228" s="34" t="s">
        <v>69</v>
      </c>
      <c r="P228" s="34" t="s">
        <v>69</v>
      </c>
      <c r="Q228" s="34" t="s">
        <v>69</v>
      </c>
      <c r="R228" s="34" t="s">
        <v>69</v>
      </c>
    </row>
    <row r="229">
      <c r="A229" s="27" t="s">
        <v>264</v>
      </c>
      <c r="B229" s="29">
        <v>78.11111111111111</v>
      </c>
      <c r="C229" s="31">
        <v>27.0</v>
      </c>
      <c r="D229" s="31">
        <v>6.0</v>
      </c>
      <c r="E229" s="32">
        <v>-2.0589570646345408</v>
      </c>
      <c r="F229" s="32">
        <v>-0.9584279535839909</v>
      </c>
      <c r="G229" s="32">
        <v>1.961107849339774</v>
      </c>
      <c r="H229" s="32">
        <v>0.09750268542562969</v>
      </c>
      <c r="I229" s="32">
        <v>-1.7146094541489305</v>
      </c>
      <c r="J229" s="32">
        <v>-0.16952108464970286</v>
      </c>
      <c r="K229" s="32">
        <v>-1.8574932011018461</v>
      </c>
      <c r="L229" s="32">
        <v>0.0</v>
      </c>
      <c r="M229" s="32">
        <v>-1.0055715664097329</v>
      </c>
      <c r="N229" s="32">
        <v>1.1241909105916428</v>
      </c>
      <c r="O229" s="34" t="s">
        <v>69</v>
      </c>
      <c r="P229" s="34" t="s">
        <v>69</v>
      </c>
      <c r="Q229" s="34" t="s">
        <v>69</v>
      </c>
      <c r="R229" s="34" t="s">
        <v>69</v>
      </c>
    </row>
    <row r="230">
      <c r="A230" s="27" t="s">
        <v>265</v>
      </c>
      <c r="B230" s="35">
        <v>81.36558823529411</v>
      </c>
      <c r="C230" s="36">
        <v>29.0</v>
      </c>
      <c r="D230" s="36">
        <v>7.0</v>
      </c>
      <c r="E230" s="37">
        <v>0.4719337374396974</v>
      </c>
      <c r="F230" s="37">
        <v>-0.19068953191715302</v>
      </c>
      <c r="G230" s="37">
        <v>-0.7887169887561813</v>
      </c>
      <c r="H230" s="37">
        <v>-0.7269406382120963</v>
      </c>
      <c r="I230" s="37">
        <v>-0.2776047346125086</v>
      </c>
      <c r="J230" s="37">
        <v>-0.7752937718441054</v>
      </c>
      <c r="K230" s="37">
        <v>0.8170732139905708</v>
      </c>
      <c r="L230" s="37">
        <v>0.0</v>
      </c>
      <c r="M230" s="37">
        <v>-1.1668885994709255</v>
      </c>
      <c r="N230" s="37">
        <v>-1.9579287495362976</v>
      </c>
      <c r="O230" s="34" t="s">
        <v>69</v>
      </c>
      <c r="P230" s="34" t="s">
        <v>69</v>
      </c>
      <c r="Q230" s="34" t="s">
        <v>69</v>
      </c>
      <c r="R230" s="34" t="s">
        <v>69</v>
      </c>
    </row>
    <row r="231">
      <c r="A231" s="27" t="s">
        <v>266</v>
      </c>
      <c r="B231" s="29">
        <v>69.85470588235295</v>
      </c>
      <c r="C231" s="31">
        <v>25.0</v>
      </c>
      <c r="D231" s="31">
        <v>6.0</v>
      </c>
      <c r="E231" s="32">
        <v>0.04901207672243407</v>
      </c>
      <c r="F231" s="32">
        <v>-0.4377033760151258</v>
      </c>
      <c r="G231" s="32">
        <v>-0.725445457208286</v>
      </c>
      <c r="H231" s="32">
        <v>-0.49722527489139645</v>
      </c>
      <c r="I231" s="32">
        <v>0.01270131041134643</v>
      </c>
      <c r="J231" s="32">
        <v>-0.459141730434596</v>
      </c>
      <c r="K231" s="32">
        <v>-0.967727055790793</v>
      </c>
      <c r="L231" s="32">
        <v>0.9966316710972913</v>
      </c>
      <c r="M231" s="32">
        <v>-1.2541736700515493</v>
      </c>
      <c r="N231" s="32">
        <v>-1.3797564741765753</v>
      </c>
      <c r="O231" s="34" t="s">
        <v>69</v>
      </c>
      <c r="P231" s="34" t="s">
        <v>69</v>
      </c>
      <c r="Q231" s="34" t="s">
        <v>69</v>
      </c>
      <c r="R231" s="34" t="s">
        <v>69</v>
      </c>
    </row>
    <row r="232">
      <c r="A232" s="27" t="s">
        <v>267</v>
      </c>
      <c r="B232" s="35">
        <v>33.0</v>
      </c>
      <c r="C232" s="36">
        <v>26.0</v>
      </c>
      <c r="D232" s="36">
        <v>6.0</v>
      </c>
      <c r="E232" s="37" t="s">
        <v>69</v>
      </c>
      <c r="F232" s="37" t="s">
        <v>69</v>
      </c>
      <c r="G232" s="37" t="s">
        <v>69</v>
      </c>
      <c r="H232" s="37" t="s">
        <v>69</v>
      </c>
      <c r="I232" s="37" t="s">
        <v>69</v>
      </c>
      <c r="J232" s="37" t="s">
        <v>69</v>
      </c>
      <c r="K232" s="37" t="s">
        <v>69</v>
      </c>
      <c r="L232" s="37" t="s">
        <v>69</v>
      </c>
      <c r="M232" s="37" t="s">
        <v>69</v>
      </c>
      <c r="N232" s="37" t="s">
        <v>69</v>
      </c>
      <c r="O232" s="34">
        <v>-2.271704950179292</v>
      </c>
      <c r="P232" s="34">
        <v>-1.4556793477957233</v>
      </c>
      <c r="Q232" s="34">
        <v>-0.9615572040612644</v>
      </c>
      <c r="R232" s="34">
        <v>0.0</v>
      </c>
    </row>
    <row r="233">
      <c r="A233" s="27" t="s">
        <v>268</v>
      </c>
      <c r="B233" s="29">
        <v>82.19411764705882</v>
      </c>
      <c r="C233" s="31">
        <v>29.0</v>
      </c>
      <c r="D233" s="31">
        <v>7.0</v>
      </c>
      <c r="E233" s="32">
        <v>-1.7776470488987692</v>
      </c>
      <c r="F233" s="32">
        <v>-0.6766006621233364</v>
      </c>
      <c r="G233" s="32">
        <v>1.6746417684172588</v>
      </c>
      <c r="H233" s="32">
        <v>-0.5518923685943214</v>
      </c>
      <c r="I233" s="32">
        <v>-1.4897861154190657</v>
      </c>
      <c r="J233" s="32">
        <v>-0.37621740858935515</v>
      </c>
      <c r="K233" s="32">
        <v>-0.5065874325933895</v>
      </c>
      <c r="L233" s="32">
        <v>0.0</v>
      </c>
      <c r="M233" s="32">
        <v>-1.2689026845632905</v>
      </c>
      <c r="N233" s="32">
        <v>0.27679842648949726</v>
      </c>
      <c r="O233" s="34" t="s">
        <v>69</v>
      </c>
      <c r="P233" s="34" t="s">
        <v>69</v>
      </c>
      <c r="Q233" s="34" t="s">
        <v>69</v>
      </c>
      <c r="R233" s="34" t="s">
        <v>69</v>
      </c>
    </row>
    <row r="234">
      <c r="A234" s="27" t="s">
        <v>269</v>
      </c>
      <c r="B234" s="35">
        <v>76.8364705882353</v>
      </c>
      <c r="C234" s="36">
        <v>26.0</v>
      </c>
      <c r="D234" s="36">
        <v>5.0</v>
      </c>
      <c r="E234" s="37">
        <v>-1.8716852649198445</v>
      </c>
      <c r="F234" s="37">
        <v>-0.7618675409419525</v>
      </c>
      <c r="G234" s="37">
        <v>-1.3590864081597815</v>
      </c>
      <c r="H234" s="37">
        <v>0.17157515356832317</v>
      </c>
      <c r="I234" s="37">
        <v>-0.9215767617383986</v>
      </c>
      <c r="J234" s="37">
        <v>-0.3339217153190562</v>
      </c>
      <c r="K234" s="37">
        <v>-0.8054748666710165</v>
      </c>
      <c r="L234" s="37">
        <v>0.0</v>
      </c>
      <c r="M234" s="37">
        <v>0.5150538058822774</v>
      </c>
      <c r="N234" s="37">
        <v>0.6643087557355313</v>
      </c>
      <c r="O234" s="34" t="s">
        <v>69</v>
      </c>
      <c r="P234" s="34" t="s">
        <v>69</v>
      </c>
      <c r="Q234" s="34" t="s">
        <v>69</v>
      </c>
      <c r="R234" s="34" t="s">
        <v>69</v>
      </c>
    </row>
    <row r="235">
      <c r="A235" s="27" t="s">
        <v>270</v>
      </c>
      <c r="B235" s="29">
        <v>81.42857142857143</v>
      </c>
      <c r="C235" s="31">
        <v>24.0</v>
      </c>
      <c r="D235" s="31">
        <v>7.0</v>
      </c>
      <c r="E235" s="32">
        <v>-1.6617226339616002</v>
      </c>
      <c r="F235" s="32">
        <v>-1.6090471435953377</v>
      </c>
      <c r="G235" s="32">
        <v>-0.12451603880625725</v>
      </c>
      <c r="H235" s="32">
        <v>-0.3381875870061854</v>
      </c>
      <c r="I235" s="32">
        <v>-1.693495728928858</v>
      </c>
      <c r="J235" s="32">
        <v>-0.16952108464970286</v>
      </c>
      <c r="K235" s="32">
        <v>-1.6186717251311282</v>
      </c>
      <c r="L235" s="32">
        <v>0.0</v>
      </c>
      <c r="M235" s="32">
        <v>4.064965506944585</v>
      </c>
      <c r="N235" s="32">
        <v>-1.5561007453841738</v>
      </c>
      <c r="O235" s="34" t="s">
        <v>69</v>
      </c>
      <c r="P235" s="34" t="s">
        <v>69</v>
      </c>
      <c r="Q235" s="34" t="s">
        <v>69</v>
      </c>
      <c r="R235" s="34" t="s">
        <v>69</v>
      </c>
    </row>
    <row r="236">
      <c r="A236" s="27" t="s">
        <v>271</v>
      </c>
      <c r="B236" s="35">
        <v>83.65235294117646</v>
      </c>
      <c r="C236" s="36">
        <v>33.0</v>
      </c>
      <c r="D236" s="36">
        <v>6.0</v>
      </c>
      <c r="E236" s="37">
        <v>0.5198635462723887</v>
      </c>
      <c r="F236" s="37">
        <v>0.19240057009970168</v>
      </c>
      <c r="G236" s="37">
        <v>-1.669047550467924</v>
      </c>
      <c r="H236" s="37">
        <v>-1.0884808658468819</v>
      </c>
      <c r="I236" s="37">
        <v>0.06881192333600135</v>
      </c>
      <c r="J236" s="37">
        <v>-0.7819979139130161</v>
      </c>
      <c r="K236" s="37">
        <v>0.34466634695275766</v>
      </c>
      <c r="L236" s="37">
        <v>0.0</v>
      </c>
      <c r="M236" s="37">
        <v>-0.7995645771184924</v>
      </c>
      <c r="N236" s="37">
        <v>-1.5712644826327933</v>
      </c>
      <c r="O236" s="34" t="s">
        <v>69</v>
      </c>
      <c r="P236" s="34" t="s">
        <v>69</v>
      </c>
      <c r="Q236" s="34" t="s">
        <v>69</v>
      </c>
      <c r="R236" s="34" t="s">
        <v>69</v>
      </c>
    </row>
    <row r="237">
      <c r="A237" s="27" t="s">
        <v>272</v>
      </c>
      <c r="B237" s="29">
        <v>76.16338235294117</v>
      </c>
      <c r="C237" s="31">
        <v>29.0</v>
      </c>
      <c r="D237" s="31">
        <v>7.0</v>
      </c>
      <c r="E237" s="32">
        <v>-1.4409805654285208</v>
      </c>
      <c r="F237" s="32">
        <v>0.16005977418633305</v>
      </c>
      <c r="G237" s="32">
        <v>-1.843256019386471</v>
      </c>
      <c r="H237" s="32">
        <v>-1.1024670390395057</v>
      </c>
      <c r="I237" s="32">
        <v>0.6155239965330502</v>
      </c>
      <c r="J237" s="32">
        <v>-0.44041294030672945</v>
      </c>
      <c r="K237" s="32">
        <v>-0.35473304307965925</v>
      </c>
      <c r="L237" s="32">
        <v>0.0</v>
      </c>
      <c r="M237" s="32">
        <v>-0.9225900251399639</v>
      </c>
      <c r="N237" s="32">
        <v>0.5390701658833578</v>
      </c>
      <c r="O237" s="34" t="s">
        <v>69</v>
      </c>
      <c r="P237" s="34" t="s">
        <v>69</v>
      </c>
      <c r="Q237" s="34" t="s">
        <v>69</v>
      </c>
      <c r="R237" s="34" t="s">
        <v>69</v>
      </c>
    </row>
    <row r="238">
      <c r="A238" s="27" t="s">
        <v>273</v>
      </c>
      <c r="B238" s="35">
        <v>81.11264705882353</v>
      </c>
      <c r="C238" s="36">
        <v>34.0</v>
      </c>
      <c r="D238" s="36">
        <v>7.0</v>
      </c>
      <c r="E238" s="37">
        <v>-1.6370457200650035</v>
      </c>
      <c r="F238" s="37">
        <v>-0.6681244372142784</v>
      </c>
      <c r="G238" s="37">
        <v>2.6921238444603444</v>
      </c>
      <c r="H238" s="37">
        <v>-1.4753743137477089</v>
      </c>
      <c r="I238" s="37">
        <v>-1.5467102938718438</v>
      </c>
      <c r="J238" s="37">
        <v>-0.76024162965024</v>
      </c>
      <c r="K238" s="37">
        <v>-0.21325228211868907</v>
      </c>
      <c r="L238" s="37">
        <v>0.0</v>
      </c>
      <c r="M238" s="37">
        <v>-1.60080877263507</v>
      </c>
      <c r="N238" s="37">
        <v>0.40111854276230324</v>
      </c>
      <c r="O238" s="34" t="s">
        <v>69</v>
      </c>
      <c r="P238" s="34" t="s">
        <v>69</v>
      </c>
      <c r="Q238" s="34" t="s">
        <v>69</v>
      </c>
      <c r="R238" s="34" t="s">
        <v>69</v>
      </c>
    </row>
    <row r="239">
      <c r="A239" s="27" t="s">
        <v>274</v>
      </c>
      <c r="B239" s="29">
        <v>78.37676470588235</v>
      </c>
      <c r="C239" s="31">
        <v>27.0</v>
      </c>
      <c r="D239" s="31">
        <v>6.0</v>
      </c>
      <c r="E239" s="32">
        <v>-0.32302759543408777</v>
      </c>
      <c r="F239" s="32">
        <v>0.39765138346578366</v>
      </c>
      <c r="G239" s="32">
        <v>-3.8874278185163096</v>
      </c>
      <c r="H239" s="32">
        <v>-1.7778399811267258</v>
      </c>
      <c r="I239" s="32">
        <v>0.6629472387101254</v>
      </c>
      <c r="J239" s="32">
        <v>0.04677556884270906</v>
      </c>
      <c r="K239" s="32">
        <v>-0.4958074768327304</v>
      </c>
      <c r="L239" s="32">
        <v>1.083019619335777</v>
      </c>
      <c r="M239" s="32">
        <v>-0.8523445139973403</v>
      </c>
      <c r="N239" s="32">
        <v>0.32011639798036545</v>
      </c>
      <c r="O239" s="34" t="s">
        <v>69</v>
      </c>
      <c r="P239" s="34" t="s">
        <v>69</v>
      </c>
      <c r="Q239" s="34" t="s">
        <v>69</v>
      </c>
      <c r="R239" s="34" t="s">
        <v>69</v>
      </c>
    </row>
    <row r="240">
      <c r="A240" s="27" t="s">
        <v>275</v>
      </c>
      <c r="B240" s="35">
        <v>83.28176470588235</v>
      </c>
      <c r="C240" s="36">
        <v>30.0</v>
      </c>
      <c r="D240" s="36">
        <v>5.0</v>
      </c>
      <c r="E240" s="37">
        <v>0.11481183588007515</v>
      </c>
      <c r="F240" s="37">
        <v>-1.0838776690304017</v>
      </c>
      <c r="G240" s="37">
        <v>-0.6226998828803265</v>
      </c>
      <c r="H240" s="37">
        <v>-0.23734308044664504</v>
      </c>
      <c r="I240" s="37">
        <v>-0.8741727573977459</v>
      </c>
      <c r="J240" s="37">
        <v>-0.7833535558719441</v>
      </c>
      <c r="K240" s="37">
        <v>0.5934081292456269</v>
      </c>
      <c r="L240" s="37">
        <v>0.0</v>
      </c>
      <c r="M240" s="37">
        <v>-0.4803454023638053</v>
      </c>
      <c r="N240" s="37">
        <v>-1.4740092373734583</v>
      </c>
      <c r="O240" s="34" t="s">
        <v>69</v>
      </c>
      <c r="P240" s="34" t="s">
        <v>69</v>
      </c>
      <c r="Q240" s="34" t="s">
        <v>69</v>
      </c>
      <c r="R240" s="34" t="s">
        <v>69</v>
      </c>
    </row>
    <row r="241">
      <c r="A241" s="27" t="s">
        <v>277</v>
      </c>
      <c r="B241" s="29">
        <v>83.25044117647059</v>
      </c>
      <c r="C241" s="31">
        <v>29.0</v>
      </c>
      <c r="D241" s="31">
        <v>6.0</v>
      </c>
      <c r="E241" s="32">
        <v>-1.539239664358575</v>
      </c>
      <c r="F241" s="32">
        <v>-0.47288213383689</v>
      </c>
      <c r="G241" s="32">
        <v>-0.41435664727898097</v>
      </c>
      <c r="H241" s="32">
        <v>-0.9185585017051218</v>
      </c>
      <c r="I241" s="32">
        <v>-1.3762437779541963</v>
      </c>
      <c r="J241" s="32">
        <v>0.6154931078936144</v>
      </c>
      <c r="K241" s="32">
        <v>-1.2709283120164279</v>
      </c>
      <c r="L241" s="32">
        <v>0.0</v>
      </c>
      <c r="M241" s="32">
        <v>-1.42392986024295</v>
      </c>
      <c r="N241" s="32">
        <v>1.9477568570205495</v>
      </c>
      <c r="O241" s="34" t="s">
        <v>69</v>
      </c>
      <c r="P241" s="34" t="s">
        <v>69</v>
      </c>
      <c r="Q241" s="34" t="s">
        <v>69</v>
      </c>
      <c r="R241" s="34" t="s">
        <v>69</v>
      </c>
    </row>
    <row r="242">
      <c r="A242" s="27" t="s">
        <v>278</v>
      </c>
      <c r="B242" s="35">
        <v>25.625</v>
      </c>
      <c r="C242" s="36">
        <v>26.0</v>
      </c>
      <c r="D242" s="36">
        <v>5.0</v>
      </c>
      <c r="E242" s="37" t="s">
        <v>69</v>
      </c>
      <c r="F242" s="37" t="s">
        <v>69</v>
      </c>
      <c r="G242" s="37" t="s">
        <v>69</v>
      </c>
      <c r="H242" s="37" t="s">
        <v>69</v>
      </c>
      <c r="I242" s="37" t="s">
        <v>69</v>
      </c>
      <c r="J242" s="37" t="s">
        <v>69</v>
      </c>
      <c r="K242" s="37" t="s">
        <v>69</v>
      </c>
      <c r="L242" s="37" t="s">
        <v>69</v>
      </c>
      <c r="M242" s="37" t="s">
        <v>69</v>
      </c>
      <c r="N242" s="37" t="s">
        <v>69</v>
      </c>
      <c r="O242" s="34">
        <v>-2.317565115781964</v>
      </c>
      <c r="P242" s="34">
        <v>-0.5442907021274596</v>
      </c>
      <c r="Q242" s="34">
        <v>-2.002473561876053</v>
      </c>
      <c r="R242" s="34">
        <v>0.0</v>
      </c>
    </row>
    <row r="243">
      <c r="A243" s="27" t="s">
        <v>280</v>
      </c>
      <c r="B243" s="29">
        <v>79.29720588235294</v>
      </c>
      <c r="C243" s="31">
        <v>26.0</v>
      </c>
      <c r="D243" s="31">
        <v>5.0</v>
      </c>
      <c r="E243" s="32">
        <v>1.0890179068203687</v>
      </c>
      <c r="F243" s="32">
        <v>0.26854726527095224</v>
      </c>
      <c r="G243" s="32">
        <v>-1.1299046257340626</v>
      </c>
      <c r="H243" s="32">
        <v>-1.510906805151486</v>
      </c>
      <c r="I243" s="32">
        <v>1.054707370040081</v>
      </c>
      <c r="J243" s="32">
        <v>-0.7816605173634006</v>
      </c>
      <c r="K243" s="32">
        <v>-0.34008459412187575</v>
      </c>
      <c r="L243" s="32">
        <v>0.0</v>
      </c>
      <c r="M243" s="32">
        <v>-2.1873918238658168</v>
      </c>
      <c r="N243" s="32">
        <v>-1.4212104868929023</v>
      </c>
      <c r="O243" s="34" t="s">
        <v>69</v>
      </c>
      <c r="P243" s="34" t="s">
        <v>69</v>
      </c>
      <c r="Q243" s="34" t="s">
        <v>69</v>
      </c>
      <c r="R243" s="34" t="s">
        <v>69</v>
      </c>
    </row>
    <row r="244">
      <c r="A244" s="27" t="s">
        <v>281</v>
      </c>
      <c r="B244" s="35">
        <v>81.62955882352941</v>
      </c>
      <c r="C244" s="36">
        <v>25.0</v>
      </c>
      <c r="D244" s="36">
        <v>6.0</v>
      </c>
      <c r="E244" s="37">
        <v>0.4518509937004056</v>
      </c>
      <c r="F244" s="37">
        <v>-0.2361721234405411</v>
      </c>
      <c r="G244" s="37">
        <v>-0.6893160315662566</v>
      </c>
      <c r="H244" s="37">
        <v>-1.4243350226587623</v>
      </c>
      <c r="I244" s="37">
        <v>0.18027207392177735</v>
      </c>
      <c r="J244" s="37">
        <v>-0.7843061680365057</v>
      </c>
      <c r="K244" s="37">
        <v>0.22967038742709875</v>
      </c>
      <c r="L244" s="37">
        <v>0.0</v>
      </c>
      <c r="M244" s="37">
        <v>-0.9858654678745429</v>
      </c>
      <c r="N244" s="37">
        <v>-1.723133207988811</v>
      </c>
      <c r="O244" s="34" t="s">
        <v>69</v>
      </c>
      <c r="P244" s="34" t="s">
        <v>69</v>
      </c>
      <c r="Q244" s="34" t="s">
        <v>69</v>
      </c>
      <c r="R244" s="34" t="s">
        <v>69</v>
      </c>
    </row>
    <row r="245">
      <c r="A245" s="27" t="s">
        <v>282</v>
      </c>
      <c r="B245" s="29">
        <v>78.57142857142857</v>
      </c>
      <c r="C245" s="31">
        <v>24.0</v>
      </c>
      <c r="D245" s="31">
        <v>7.0</v>
      </c>
      <c r="E245" s="32">
        <v>-1.5036273228596058</v>
      </c>
      <c r="F245" s="32">
        <v>-1.8967218726177872</v>
      </c>
      <c r="G245" s="32">
        <v>-1.729778636639106</v>
      </c>
      <c r="H245" s="32">
        <v>2.368026306741868</v>
      </c>
      <c r="I245" s="32">
        <v>-1.6499347800537607</v>
      </c>
      <c r="J245" s="32">
        <v>-0.16952108464970286</v>
      </c>
      <c r="K245" s="32">
        <v>-1.6636903583480518</v>
      </c>
      <c r="L245" s="32">
        <v>1.095541805433932</v>
      </c>
      <c r="M245" s="32">
        <v>0.8094119711918356</v>
      </c>
      <c r="N245" s="32">
        <v>-0.6479749868653201</v>
      </c>
      <c r="O245" s="34" t="s">
        <v>69</v>
      </c>
      <c r="P245" s="34" t="s">
        <v>69</v>
      </c>
      <c r="Q245" s="34" t="s">
        <v>69</v>
      </c>
      <c r="R245" s="34" t="s">
        <v>69</v>
      </c>
    </row>
    <row r="246">
      <c r="A246" s="27" t="s">
        <v>283</v>
      </c>
      <c r="B246" s="35">
        <v>82.64852941176471</v>
      </c>
      <c r="C246" s="36">
        <v>25.0</v>
      </c>
      <c r="D246" s="36">
        <v>6.0</v>
      </c>
      <c r="E246" s="37">
        <v>-0.4069884441175909</v>
      </c>
      <c r="F246" s="37">
        <v>-0.5654813993479212</v>
      </c>
      <c r="G246" s="37">
        <v>-2.8856139899087383</v>
      </c>
      <c r="H246" s="37">
        <v>0.4088467002437222</v>
      </c>
      <c r="I246" s="37">
        <v>-0.6423080688531415</v>
      </c>
      <c r="J246" s="37">
        <v>-0.7761504539926083</v>
      </c>
      <c r="K246" s="37">
        <v>-0.8558717709024468</v>
      </c>
      <c r="L246" s="37">
        <v>1.0520207037030191</v>
      </c>
      <c r="M246" s="37">
        <v>0.9971854653834821</v>
      </c>
      <c r="N246" s="37">
        <v>-1.3439858599010923</v>
      </c>
      <c r="O246" s="34" t="s">
        <v>69</v>
      </c>
      <c r="P246" s="34" t="s">
        <v>69</v>
      </c>
      <c r="Q246" s="34" t="s">
        <v>69</v>
      </c>
      <c r="R246" s="34" t="s">
        <v>69</v>
      </c>
    </row>
    <row r="247">
      <c r="A247" s="27" t="s">
        <v>285</v>
      </c>
      <c r="B247" s="29">
        <v>73.0775</v>
      </c>
      <c r="C247" s="31">
        <v>28.0</v>
      </c>
      <c r="D247" s="31">
        <v>6.0</v>
      </c>
      <c r="E247" s="32">
        <v>-0.3769175069757302</v>
      </c>
      <c r="F247" s="32">
        <v>-0.7936633163625768</v>
      </c>
      <c r="G247" s="32">
        <v>0.5205597408331633</v>
      </c>
      <c r="H247" s="32">
        <v>-1.7921483405752814</v>
      </c>
      <c r="I247" s="32">
        <v>-0.9933785335161801</v>
      </c>
      <c r="J247" s="32">
        <v>0.5704379535794251</v>
      </c>
      <c r="K247" s="32">
        <v>-0.3363262785257122</v>
      </c>
      <c r="L247" s="32">
        <v>1.2093369803154674</v>
      </c>
      <c r="M247" s="32">
        <v>-1.9978901984930828</v>
      </c>
      <c r="N247" s="32">
        <v>-1.0378784739809714</v>
      </c>
      <c r="O247" s="34" t="s">
        <v>69</v>
      </c>
      <c r="P247" s="34" t="s">
        <v>69</v>
      </c>
      <c r="Q247" s="34" t="s">
        <v>69</v>
      </c>
      <c r="R247" s="34" t="s">
        <v>69</v>
      </c>
    </row>
    <row r="248">
      <c r="A248" s="27" t="s">
        <v>286</v>
      </c>
      <c r="B248" s="35">
        <v>76.57142857142857</v>
      </c>
      <c r="C248" s="36">
        <v>23.0</v>
      </c>
      <c r="D248" s="36">
        <v>6.0</v>
      </c>
      <c r="E248" s="37">
        <v>-1.4892550218503335</v>
      </c>
      <c r="F248" s="37">
        <v>-1.9408010649680014</v>
      </c>
      <c r="G248" s="37">
        <v>-1.6411057934500832</v>
      </c>
      <c r="H248" s="37">
        <v>3.2206568738564503</v>
      </c>
      <c r="I248" s="37">
        <v>-1.5799261122187835</v>
      </c>
      <c r="J248" s="37">
        <v>-0.16952108464970286</v>
      </c>
      <c r="K248" s="37">
        <v>-1.8306207647290516</v>
      </c>
      <c r="L248" s="37">
        <v>0.17739979285640467</v>
      </c>
      <c r="M248" s="37">
        <v>1.3650311251221225</v>
      </c>
      <c r="N248" s="37">
        <v>-1.1499239701521062</v>
      </c>
      <c r="O248" s="34" t="s">
        <v>69</v>
      </c>
      <c r="P248" s="34" t="s">
        <v>69</v>
      </c>
      <c r="Q248" s="34" t="s">
        <v>69</v>
      </c>
      <c r="R248" s="34" t="s">
        <v>69</v>
      </c>
    </row>
    <row r="249">
      <c r="A249" s="27" t="s">
        <v>287</v>
      </c>
      <c r="B249" s="29">
        <v>78.87411764705882</v>
      </c>
      <c r="C249" s="31">
        <v>26.0</v>
      </c>
      <c r="D249" s="31">
        <v>6.0</v>
      </c>
      <c r="E249" s="32">
        <v>0.7325635129519317</v>
      </c>
      <c r="F249" s="32">
        <v>-1.083929589604565</v>
      </c>
      <c r="G249" s="32">
        <v>-1.820724476448658</v>
      </c>
      <c r="H249" s="32">
        <v>-0.6992290806782522</v>
      </c>
      <c r="I249" s="32">
        <v>-0.8415498581423904</v>
      </c>
      <c r="J249" s="32">
        <v>-0.757706310759875</v>
      </c>
      <c r="K249" s="32">
        <v>0.6444408189948546</v>
      </c>
      <c r="L249" s="32">
        <v>0.0</v>
      </c>
      <c r="M249" s="32">
        <v>0.5960276857910457</v>
      </c>
      <c r="N249" s="32">
        <v>-1.8506914933735703</v>
      </c>
      <c r="O249" s="34" t="s">
        <v>69</v>
      </c>
      <c r="P249" s="34" t="s">
        <v>69</v>
      </c>
      <c r="Q249" s="34" t="s">
        <v>69</v>
      </c>
      <c r="R249" s="34" t="s">
        <v>69</v>
      </c>
    </row>
    <row r="250">
      <c r="A250" s="27" t="s">
        <v>288</v>
      </c>
      <c r="B250" s="35">
        <v>27.0</v>
      </c>
      <c r="C250" s="36">
        <v>30.0</v>
      </c>
      <c r="D250" s="36">
        <v>5.0</v>
      </c>
      <c r="E250" s="37" t="s">
        <v>69</v>
      </c>
      <c r="F250" s="37" t="s">
        <v>69</v>
      </c>
      <c r="G250" s="37" t="s">
        <v>69</v>
      </c>
      <c r="H250" s="37" t="s">
        <v>69</v>
      </c>
      <c r="I250" s="37" t="s">
        <v>69</v>
      </c>
      <c r="J250" s="37" t="s">
        <v>69</v>
      </c>
      <c r="K250" s="37" t="s">
        <v>69</v>
      </c>
      <c r="L250" s="37" t="s">
        <v>69</v>
      </c>
      <c r="M250" s="37" t="s">
        <v>69</v>
      </c>
      <c r="N250" s="37" t="s">
        <v>69</v>
      </c>
      <c r="O250" s="34">
        <v>-2.301271268709015</v>
      </c>
      <c r="P250" s="34">
        <v>-0.24728865146239556</v>
      </c>
      <c r="Q250" s="34">
        <v>-2.53327196950353</v>
      </c>
      <c r="R250" s="34">
        <v>0.0</v>
      </c>
    </row>
    <row r="251">
      <c r="A251" s="27" t="s">
        <v>289</v>
      </c>
      <c r="B251" s="29">
        <v>82.00117647058823</v>
      </c>
      <c r="C251" s="31">
        <v>25.0</v>
      </c>
      <c r="D251" s="31">
        <v>6.0</v>
      </c>
      <c r="E251" s="32">
        <v>-0.7061970670160762</v>
      </c>
      <c r="F251" s="32">
        <v>0.05329920751103628</v>
      </c>
      <c r="G251" s="32">
        <v>0.15776518939401832</v>
      </c>
      <c r="H251" s="32">
        <v>-1.868744134039973</v>
      </c>
      <c r="I251" s="32">
        <v>-1.0715716380326528</v>
      </c>
      <c r="J251" s="32">
        <v>2.0192608443291586</v>
      </c>
      <c r="K251" s="32">
        <v>-1.5576098773040432</v>
      </c>
      <c r="L251" s="32">
        <v>1.6221915199793229</v>
      </c>
      <c r="M251" s="32">
        <v>-2.129305857154126</v>
      </c>
      <c r="N251" s="32">
        <v>-1.6372355102037566</v>
      </c>
      <c r="O251" s="34" t="s">
        <v>69</v>
      </c>
      <c r="P251" s="34" t="s">
        <v>69</v>
      </c>
      <c r="Q251" s="34" t="s">
        <v>69</v>
      </c>
      <c r="R251" s="34" t="s">
        <v>69</v>
      </c>
    </row>
    <row r="252">
      <c r="A252" s="27" t="s">
        <v>291</v>
      </c>
      <c r="B252" s="35">
        <v>82.42857142857143</v>
      </c>
      <c r="C252" s="36">
        <v>24.0</v>
      </c>
      <c r="D252" s="36">
        <v>7.0</v>
      </c>
      <c r="E252" s="37">
        <v>-2.2689523516033514</v>
      </c>
      <c r="F252" s="37">
        <v>-1.6136870585795708</v>
      </c>
      <c r="G252" s="37">
        <v>-0.07741935259284928</v>
      </c>
      <c r="H252" s="37">
        <v>1.7196718129984876</v>
      </c>
      <c r="I252" s="37">
        <v>-1.72461069241107</v>
      </c>
      <c r="J252" s="37">
        <v>-0.16952108464970286</v>
      </c>
      <c r="K252" s="37">
        <v>-2.553547721497163</v>
      </c>
      <c r="L252" s="37">
        <v>0.0</v>
      </c>
      <c r="M252" s="37">
        <v>1.1712377215911165</v>
      </c>
      <c r="N252" s="37">
        <v>0.38328646772388625</v>
      </c>
      <c r="O252" s="34" t="s">
        <v>69</v>
      </c>
      <c r="P252" s="34" t="s">
        <v>69</v>
      </c>
      <c r="Q252" s="34" t="s">
        <v>69</v>
      </c>
      <c r="R252" s="34" t="s">
        <v>69</v>
      </c>
    </row>
    <row r="253">
      <c r="A253" s="27" t="s">
        <v>292</v>
      </c>
      <c r="B253" s="29">
        <v>59.9</v>
      </c>
      <c r="C253" s="31">
        <v>18.0</v>
      </c>
      <c r="D253" s="31">
        <v>6.0</v>
      </c>
      <c r="E253" s="32" t="s">
        <v>69</v>
      </c>
      <c r="F253" s="32" t="s">
        <v>69</v>
      </c>
      <c r="G253" s="32" t="s">
        <v>69</v>
      </c>
      <c r="H253" s="32" t="s">
        <v>69</v>
      </c>
      <c r="I253" s="32" t="s">
        <v>69</v>
      </c>
      <c r="J253" s="32" t="s">
        <v>69</v>
      </c>
      <c r="K253" s="32" t="s">
        <v>69</v>
      </c>
      <c r="L253" s="32" t="s">
        <v>69</v>
      </c>
      <c r="M253" s="32" t="s">
        <v>69</v>
      </c>
      <c r="N253" s="32" t="s">
        <v>69</v>
      </c>
      <c r="O253" s="34">
        <v>0.7359126163159794</v>
      </c>
      <c r="P253" s="34">
        <v>-3.3920162467394737</v>
      </c>
      <c r="Q253" s="34">
        <v>-2.5608459127568994</v>
      </c>
      <c r="R253" s="34">
        <v>0.0</v>
      </c>
    </row>
    <row r="254">
      <c r="A254" s="27" t="s">
        <v>293</v>
      </c>
      <c r="B254" s="35">
        <v>76.37705882352941</v>
      </c>
      <c r="C254" s="36">
        <v>25.0</v>
      </c>
      <c r="D254" s="36">
        <v>6.0</v>
      </c>
      <c r="E254" s="37">
        <v>-1.6862389567223532</v>
      </c>
      <c r="F254" s="37">
        <v>-0.9866589838885399</v>
      </c>
      <c r="G254" s="37">
        <v>-0.03746716850900944</v>
      </c>
      <c r="H254" s="37">
        <v>-0.9922814756032071</v>
      </c>
      <c r="I254" s="37">
        <v>-1.7198461127390596</v>
      </c>
      <c r="J254" s="37">
        <v>0.11363676604922142</v>
      </c>
      <c r="K254" s="37">
        <v>-1.591031552087915</v>
      </c>
      <c r="L254" s="37">
        <v>0.0</v>
      </c>
      <c r="M254" s="37">
        <v>0.11216714032737087</v>
      </c>
      <c r="N254" s="37">
        <v>1.5490595144475823</v>
      </c>
      <c r="O254" s="34" t="s">
        <v>69</v>
      </c>
      <c r="P254" s="34" t="s">
        <v>69</v>
      </c>
      <c r="Q254" s="34" t="s">
        <v>69</v>
      </c>
      <c r="R254" s="34" t="s">
        <v>69</v>
      </c>
    </row>
    <row r="255">
      <c r="A255" s="27" t="s">
        <v>294</v>
      </c>
      <c r="B255" s="29">
        <v>78.85382352941176</v>
      </c>
      <c r="C255" s="31">
        <v>26.0</v>
      </c>
      <c r="D255" s="31">
        <v>6.0</v>
      </c>
      <c r="E255" s="32">
        <v>0.7362083627367452</v>
      </c>
      <c r="F255" s="32">
        <v>0.10013963250669447</v>
      </c>
      <c r="G255" s="32">
        <v>-1.9793108707592184</v>
      </c>
      <c r="H255" s="32">
        <v>-1.601054917370648</v>
      </c>
      <c r="I255" s="32">
        <v>0.5817431958061987</v>
      </c>
      <c r="J255" s="32">
        <v>-0.44667906908184396</v>
      </c>
      <c r="K255" s="32">
        <v>0.403204519622844</v>
      </c>
      <c r="L255" s="32">
        <v>0.0</v>
      </c>
      <c r="M255" s="32">
        <v>-1.5504704980795483</v>
      </c>
      <c r="N255" s="32">
        <v>-1.561898628535487</v>
      </c>
      <c r="O255" s="34" t="s">
        <v>69</v>
      </c>
      <c r="P255" s="34" t="s">
        <v>69</v>
      </c>
      <c r="Q255" s="34" t="s">
        <v>69</v>
      </c>
      <c r="R255" s="34" t="s">
        <v>69</v>
      </c>
    </row>
    <row r="256">
      <c r="A256" s="27" t="s">
        <v>295</v>
      </c>
      <c r="B256" s="35">
        <v>81.53735294117647</v>
      </c>
      <c r="C256" s="36">
        <v>29.0</v>
      </c>
      <c r="D256" s="36">
        <v>7.0</v>
      </c>
      <c r="E256" s="37">
        <v>-1.8662020225646179</v>
      </c>
      <c r="F256" s="37">
        <v>-0.4843163666086155</v>
      </c>
      <c r="G256" s="37">
        <v>-1.0901351242797983</v>
      </c>
      <c r="H256" s="37">
        <v>-0.2595404386309983</v>
      </c>
      <c r="I256" s="37">
        <v>-1.3769959390853235</v>
      </c>
      <c r="J256" s="37">
        <v>0.16292978139271838</v>
      </c>
      <c r="K256" s="37">
        <v>-1.019435418080244</v>
      </c>
      <c r="L256" s="37">
        <v>0.0</v>
      </c>
      <c r="M256" s="37">
        <v>-1.420757502471601</v>
      </c>
      <c r="N256" s="37">
        <v>2.0064959566015337</v>
      </c>
      <c r="O256" s="34" t="s">
        <v>69</v>
      </c>
      <c r="P256" s="34" t="s">
        <v>69</v>
      </c>
      <c r="Q256" s="34" t="s">
        <v>69</v>
      </c>
      <c r="R256" s="34" t="s">
        <v>69</v>
      </c>
    </row>
    <row r="257">
      <c r="A257" s="27" t="s">
        <v>296</v>
      </c>
      <c r="B257" s="29">
        <v>78.10058823529413</v>
      </c>
      <c r="C257" s="31">
        <v>23.0</v>
      </c>
      <c r="D257" s="31">
        <v>6.0</v>
      </c>
      <c r="E257" s="32">
        <v>-0.5917149695272634</v>
      </c>
      <c r="F257" s="32">
        <v>-0.3609979092784215</v>
      </c>
      <c r="G257" s="32">
        <v>-0.3632172912117231</v>
      </c>
      <c r="H257" s="32">
        <v>-1.9276239763030565</v>
      </c>
      <c r="I257" s="32">
        <v>-0.48494235083700765</v>
      </c>
      <c r="J257" s="32">
        <v>0.591184238114629</v>
      </c>
      <c r="K257" s="32">
        <v>-0.7746096121193053</v>
      </c>
      <c r="L257" s="32">
        <v>1.8415639448374481</v>
      </c>
      <c r="M257" s="32">
        <v>-1.7865919538667414</v>
      </c>
      <c r="N257" s="32">
        <v>-1.5225703132633757</v>
      </c>
      <c r="O257" s="34" t="s">
        <v>69</v>
      </c>
      <c r="P257" s="34" t="s">
        <v>69</v>
      </c>
      <c r="Q257" s="34" t="s">
        <v>69</v>
      </c>
      <c r="R257" s="34" t="s">
        <v>69</v>
      </c>
    </row>
    <row r="258">
      <c r="A258" s="27" t="s">
        <v>297</v>
      </c>
      <c r="B258" s="35">
        <v>77.3425</v>
      </c>
      <c r="C258" s="36">
        <v>34.0</v>
      </c>
      <c r="D258" s="36">
        <v>7.0</v>
      </c>
      <c r="E258" s="37">
        <v>-0.20429963792729644</v>
      </c>
      <c r="F258" s="37">
        <v>0.2727217648990568</v>
      </c>
      <c r="G258" s="37">
        <v>-1.9312082454323694</v>
      </c>
      <c r="H258" s="37">
        <v>-1.351015408400967</v>
      </c>
      <c r="I258" s="37">
        <v>0.23378435522723198</v>
      </c>
      <c r="J258" s="37">
        <v>-0.26379569501422373</v>
      </c>
      <c r="K258" s="37">
        <v>-0.4441649595334636</v>
      </c>
      <c r="L258" s="37">
        <v>1.0315853320549662</v>
      </c>
      <c r="M258" s="37">
        <v>-1.6637101158739607</v>
      </c>
      <c r="N258" s="37">
        <v>-1.0677775149117128</v>
      </c>
      <c r="O258" s="34" t="s">
        <v>69</v>
      </c>
      <c r="P258" s="34" t="s">
        <v>69</v>
      </c>
      <c r="Q258" s="34" t="s">
        <v>69</v>
      </c>
      <c r="R258" s="34" t="s">
        <v>69</v>
      </c>
    </row>
    <row r="259">
      <c r="A259" s="27" t="s">
        <v>298</v>
      </c>
      <c r="B259" s="29">
        <v>74.92823529411764</v>
      </c>
      <c r="C259" s="31">
        <v>29.0</v>
      </c>
      <c r="D259" s="31">
        <v>7.0</v>
      </c>
      <c r="E259" s="32">
        <v>0.36461099683642056</v>
      </c>
      <c r="F259" s="32">
        <v>-0.3955557676536063</v>
      </c>
      <c r="G259" s="32">
        <v>-0.7895624318062682</v>
      </c>
      <c r="H259" s="32">
        <v>-1.0879062785301143</v>
      </c>
      <c r="I259" s="32">
        <v>-0.17978413559520173</v>
      </c>
      <c r="J259" s="32">
        <v>-0.7871777123417198</v>
      </c>
      <c r="K259" s="32">
        <v>0.8570493327606752</v>
      </c>
      <c r="L259" s="32">
        <v>0.0</v>
      </c>
      <c r="M259" s="32">
        <v>-1.9545843372940923</v>
      </c>
      <c r="N259" s="32">
        <v>-1.46922727510395</v>
      </c>
      <c r="O259" s="34" t="s">
        <v>69</v>
      </c>
      <c r="P259" s="34" t="s">
        <v>69</v>
      </c>
      <c r="Q259" s="34" t="s">
        <v>69</v>
      </c>
      <c r="R259" s="34" t="s">
        <v>69</v>
      </c>
    </row>
    <row r="260">
      <c r="A260" s="27" t="s">
        <v>299</v>
      </c>
      <c r="B260" s="35">
        <v>21.625</v>
      </c>
      <c r="C260" s="36">
        <v>29.0</v>
      </c>
      <c r="D260" s="36">
        <v>6.0</v>
      </c>
      <c r="E260" s="37" t="s">
        <v>69</v>
      </c>
      <c r="F260" s="37" t="s">
        <v>69</v>
      </c>
      <c r="G260" s="37" t="s">
        <v>69</v>
      </c>
      <c r="H260" s="37" t="s">
        <v>69</v>
      </c>
      <c r="I260" s="37" t="s">
        <v>69</v>
      </c>
      <c r="J260" s="37" t="s">
        <v>69</v>
      </c>
      <c r="K260" s="37" t="s">
        <v>69</v>
      </c>
      <c r="L260" s="37" t="s">
        <v>69</v>
      </c>
      <c r="M260" s="37" t="s">
        <v>69</v>
      </c>
      <c r="N260" s="37" t="s">
        <v>69</v>
      </c>
      <c r="O260" s="34">
        <v>-2.905654298216235</v>
      </c>
      <c r="P260" s="34">
        <v>-1.685710347820617</v>
      </c>
      <c r="Q260" s="34">
        <v>-0.8650484026744393</v>
      </c>
      <c r="R260" s="34">
        <v>0.0</v>
      </c>
    </row>
    <row r="261">
      <c r="A261" s="27" t="s">
        <v>300</v>
      </c>
      <c r="B261" s="29">
        <v>81.9270588235294</v>
      </c>
      <c r="C261" s="31">
        <v>23.0</v>
      </c>
      <c r="D261" s="31">
        <v>6.0</v>
      </c>
      <c r="E261" s="32">
        <v>0.05751725172687492</v>
      </c>
      <c r="F261" s="32">
        <v>-0.002598621817957321</v>
      </c>
      <c r="G261" s="32">
        <v>-1.1595220029067796</v>
      </c>
      <c r="H261" s="32">
        <v>-1.4764949438963242</v>
      </c>
      <c r="I261" s="32">
        <v>0.05360329534621992</v>
      </c>
      <c r="J261" s="32">
        <v>-0.33738902259717396</v>
      </c>
      <c r="K261" s="32">
        <v>-0.7659832403829351</v>
      </c>
      <c r="L261" s="32">
        <v>1.2510015156407082</v>
      </c>
      <c r="M261" s="32">
        <v>-1.2404165417796813</v>
      </c>
      <c r="N261" s="32">
        <v>-1.875790499128578</v>
      </c>
      <c r="O261" s="34" t="s">
        <v>69</v>
      </c>
      <c r="P261" s="34" t="s">
        <v>69</v>
      </c>
      <c r="Q261" s="34" t="s">
        <v>69</v>
      </c>
      <c r="R261" s="34" t="s">
        <v>69</v>
      </c>
    </row>
    <row r="262">
      <c r="A262" s="27" t="s">
        <v>301</v>
      </c>
      <c r="B262" s="35">
        <v>61.45000000000001</v>
      </c>
      <c r="C262" s="36">
        <v>29.0</v>
      </c>
      <c r="D262" s="36">
        <v>7.0</v>
      </c>
      <c r="E262" s="37">
        <v>-2.0507834454107567</v>
      </c>
      <c r="F262" s="37">
        <v>-2.2095810746010027</v>
      </c>
      <c r="G262" s="37">
        <v>-0.2779587068364738</v>
      </c>
      <c r="H262" s="37">
        <v>4.4996758402069625</v>
      </c>
      <c r="I262" s="37">
        <v>-1.7206003542030481</v>
      </c>
      <c r="J262" s="37">
        <v>-0.7871777123417198</v>
      </c>
      <c r="K262" s="37">
        <v>-2.297577346166284</v>
      </c>
      <c r="L262" s="37">
        <v>0.0</v>
      </c>
      <c r="M262" s="37">
        <v>1.0821175288724019</v>
      </c>
      <c r="N262" s="37">
        <v>-1.7504896217073085</v>
      </c>
      <c r="O262" s="34" t="s">
        <v>69</v>
      </c>
      <c r="P262" s="34" t="s">
        <v>69</v>
      </c>
      <c r="Q262" s="34" t="s">
        <v>69</v>
      </c>
      <c r="R262" s="34" t="s">
        <v>69</v>
      </c>
    </row>
    <row r="263">
      <c r="A263" s="27" t="s">
        <v>302</v>
      </c>
      <c r="B263" s="29">
        <v>72.85714285714286</v>
      </c>
      <c r="C263" s="31">
        <v>29.0</v>
      </c>
      <c r="D263" s="31">
        <v>7.0</v>
      </c>
      <c r="E263" s="32">
        <v>-1.9419825036424085</v>
      </c>
      <c r="F263" s="32">
        <v>-1.2494537323172754</v>
      </c>
      <c r="G263" s="32">
        <v>-0.5543300182755807</v>
      </c>
      <c r="H263" s="32">
        <v>0.5295416464010505</v>
      </c>
      <c r="I263" s="32">
        <v>-1.72461069241107</v>
      </c>
      <c r="J263" s="32">
        <v>-0.16952108464970286</v>
      </c>
      <c r="K263" s="32">
        <v>-1.9015990477571934</v>
      </c>
      <c r="L263" s="32">
        <v>0.0</v>
      </c>
      <c r="M263" s="32">
        <v>0.1735822544707697</v>
      </c>
      <c r="N263" s="32">
        <v>1.3085144062525105</v>
      </c>
      <c r="O263" s="34" t="s">
        <v>69</v>
      </c>
      <c r="P263" s="34" t="s">
        <v>69</v>
      </c>
      <c r="Q263" s="34" t="s">
        <v>69</v>
      </c>
      <c r="R263" s="34" t="s">
        <v>69</v>
      </c>
    </row>
    <row r="264">
      <c r="A264" s="27" t="s">
        <v>303</v>
      </c>
      <c r="B264" s="35">
        <v>79.29411764705883</v>
      </c>
      <c r="C264" s="36">
        <v>31.0</v>
      </c>
      <c r="D264" s="36">
        <v>7.0</v>
      </c>
      <c r="E264" s="37">
        <v>0.4323045748377071</v>
      </c>
      <c r="F264" s="37">
        <v>-0.23741298009816772</v>
      </c>
      <c r="G264" s="37">
        <v>-2.332606541363349</v>
      </c>
      <c r="H264" s="37">
        <v>-1.2895323222185866</v>
      </c>
      <c r="I264" s="37">
        <v>0.1984884756721473</v>
      </c>
      <c r="J264" s="37">
        <v>-0.7871777123417198</v>
      </c>
      <c r="K264" s="37">
        <v>0.9678460667172054</v>
      </c>
      <c r="L264" s="37">
        <v>0.007678239053116364</v>
      </c>
      <c r="M264" s="37">
        <v>-1.5314775076261915</v>
      </c>
      <c r="N264" s="37">
        <v>-0.9599142760487063</v>
      </c>
      <c r="O264" s="34" t="s">
        <v>69</v>
      </c>
      <c r="P264" s="34" t="s">
        <v>69</v>
      </c>
      <c r="Q264" s="34" t="s">
        <v>69</v>
      </c>
      <c r="R264" s="34" t="s">
        <v>69</v>
      </c>
    </row>
    <row r="265">
      <c r="A265" s="27" t="s">
        <v>304</v>
      </c>
      <c r="B265" s="29">
        <v>73.71428571428571</v>
      </c>
      <c r="C265" s="31">
        <v>16.0</v>
      </c>
      <c r="D265" s="31">
        <v>6.0</v>
      </c>
      <c r="E265" s="32">
        <v>-2.2689523516033514</v>
      </c>
      <c r="F265" s="32">
        <v>-1.74128472064598</v>
      </c>
      <c r="G265" s="32">
        <v>1.12870169323496</v>
      </c>
      <c r="H265" s="32">
        <v>0.8936859511062368</v>
      </c>
      <c r="I265" s="32">
        <v>-1.72461069241107</v>
      </c>
      <c r="J265" s="32">
        <v>-0.16952108464970286</v>
      </c>
      <c r="K265" s="32">
        <v>-2.3892461404135013</v>
      </c>
      <c r="L265" s="32">
        <v>0.0</v>
      </c>
      <c r="M265" s="32">
        <v>0.2842377024084144</v>
      </c>
      <c r="N265" s="32">
        <v>0.40038864773365745</v>
      </c>
      <c r="O265" s="34" t="s">
        <v>69</v>
      </c>
      <c r="P265" s="34" t="s">
        <v>69</v>
      </c>
      <c r="Q265" s="34" t="s">
        <v>69</v>
      </c>
      <c r="R265" s="34" t="s">
        <v>69</v>
      </c>
    </row>
    <row r="266">
      <c r="A266" s="27" t="s">
        <v>305</v>
      </c>
      <c r="B266" s="35">
        <v>80.88966666666667</v>
      </c>
      <c r="C266" s="36">
        <v>33.0</v>
      </c>
      <c r="D266" s="36">
        <v>8.0</v>
      </c>
      <c r="E266" s="37">
        <v>-2.005566338539559</v>
      </c>
      <c r="F266" s="37">
        <v>-1.0510398569927133</v>
      </c>
      <c r="G266" s="37">
        <v>0.12742446640187868</v>
      </c>
      <c r="H266" s="37">
        <v>-0.8672847133595878</v>
      </c>
      <c r="I266" s="37">
        <v>-1.6933936968352308</v>
      </c>
      <c r="J266" s="37">
        <v>-0.2437641142255332</v>
      </c>
      <c r="K266" s="37">
        <v>-2.0885070461366753</v>
      </c>
      <c r="L266" s="37">
        <v>0.0</v>
      </c>
      <c r="M266" s="37">
        <v>0.19146648078336256</v>
      </c>
      <c r="N266" s="37">
        <v>2.024750771387313</v>
      </c>
      <c r="O266" s="34" t="s">
        <v>69</v>
      </c>
      <c r="P266" s="34" t="s">
        <v>69</v>
      </c>
      <c r="Q266" s="34" t="s">
        <v>69</v>
      </c>
      <c r="R266" s="34" t="s">
        <v>69</v>
      </c>
    </row>
    <row r="267">
      <c r="A267" s="27" t="s">
        <v>306</v>
      </c>
      <c r="B267" s="29">
        <v>79.3875</v>
      </c>
      <c r="C267" s="31">
        <v>34.0</v>
      </c>
      <c r="D267" s="31">
        <v>7.0</v>
      </c>
      <c r="E267" s="32">
        <v>0.3460454969817773</v>
      </c>
      <c r="F267" s="32">
        <v>-0.6554594407644363</v>
      </c>
      <c r="G267" s="32">
        <v>-1.1060413634548927</v>
      </c>
      <c r="H267" s="32">
        <v>-1.0156236652767154</v>
      </c>
      <c r="I267" s="32">
        <v>0.15063133890193822</v>
      </c>
      <c r="J267" s="32">
        <v>-0.1423353467298038</v>
      </c>
      <c r="K267" s="32">
        <v>-0.21786841300171106</v>
      </c>
      <c r="L267" s="32">
        <v>0.0</v>
      </c>
      <c r="M267" s="32">
        <v>-1.047005103426764</v>
      </c>
      <c r="N267" s="32">
        <v>-1.9278329492157171</v>
      </c>
      <c r="O267" s="34" t="s">
        <v>69</v>
      </c>
      <c r="P267" s="34" t="s">
        <v>69</v>
      </c>
      <c r="Q267" s="34" t="s">
        <v>69</v>
      </c>
      <c r="R267" s="34" t="s">
        <v>69</v>
      </c>
    </row>
    <row r="268">
      <c r="A268" s="27" t="s">
        <v>307</v>
      </c>
      <c r="B268" s="35">
        <v>76.14285714285714</v>
      </c>
      <c r="C268" s="36">
        <v>24.0</v>
      </c>
      <c r="D268" s="36">
        <v>7.0</v>
      </c>
      <c r="E268" s="37">
        <v>-1.3491250870099296</v>
      </c>
      <c r="F268" s="37">
        <v>-1.785363912996194</v>
      </c>
      <c r="G268" s="37">
        <v>-0.8836896704213013</v>
      </c>
      <c r="H268" s="37">
        <v>1.2311855505890923</v>
      </c>
      <c r="I268" s="37">
        <v>-1.5845933567411155</v>
      </c>
      <c r="J268" s="37">
        <v>-0.16952108464970286</v>
      </c>
      <c r="K268" s="37">
        <v>-2.0126669165697493</v>
      </c>
      <c r="L268" s="37">
        <v>0.0</v>
      </c>
      <c r="M268" s="37">
        <v>1.9282615003391252</v>
      </c>
      <c r="N268" s="37">
        <v>-1.0250780560807762</v>
      </c>
      <c r="O268" s="34" t="s">
        <v>69</v>
      </c>
      <c r="P268" s="34" t="s">
        <v>69</v>
      </c>
      <c r="Q268" s="34" t="s">
        <v>69</v>
      </c>
      <c r="R268" s="34" t="s">
        <v>69</v>
      </c>
    </row>
    <row r="269">
      <c r="A269" s="27" t="s">
        <v>308</v>
      </c>
      <c r="B269" s="29">
        <v>81.0</v>
      </c>
      <c r="C269" s="31">
        <v>23.0</v>
      </c>
      <c r="D269" s="31">
        <v>6.0</v>
      </c>
      <c r="E269" s="32">
        <v>-1.2952289582251588</v>
      </c>
      <c r="F269" s="32">
        <v>-1.7737641255356114</v>
      </c>
      <c r="G269" s="32">
        <v>-2.8297245092463954</v>
      </c>
      <c r="H269" s="32">
        <v>2.0660529808887875</v>
      </c>
      <c r="I269" s="32">
        <v>-1.4772467327274834</v>
      </c>
      <c r="J269" s="32">
        <v>-0.7871777123417198</v>
      </c>
      <c r="K269" s="32">
        <v>-1.6728912468887367</v>
      </c>
      <c r="L269" s="32">
        <v>0.0</v>
      </c>
      <c r="M269" s="32">
        <v>3.076384957512247</v>
      </c>
      <c r="N269" s="32">
        <v>-0.9617999900446226</v>
      </c>
      <c r="O269" s="34" t="s">
        <v>69</v>
      </c>
      <c r="P269" s="34" t="s">
        <v>69</v>
      </c>
      <c r="Q269" s="34" t="s">
        <v>69</v>
      </c>
      <c r="R269" s="34" t="s">
        <v>69</v>
      </c>
    </row>
    <row r="270">
      <c r="A270" s="27" t="s">
        <v>309</v>
      </c>
      <c r="B270" s="35">
        <v>81.24249999999999</v>
      </c>
      <c r="C270" s="36">
        <v>28.0</v>
      </c>
      <c r="D270" s="36">
        <v>7.0</v>
      </c>
      <c r="E270" s="37">
        <v>-0.9090857450747553</v>
      </c>
      <c r="F270" s="37">
        <v>-1.0926755450279961</v>
      </c>
      <c r="G270" s="37">
        <v>-1.9564208036482176</v>
      </c>
      <c r="H270" s="37">
        <v>0.28953269239384954</v>
      </c>
      <c r="I270" s="37">
        <v>-0.7795843257649202</v>
      </c>
      <c r="J270" s="37">
        <v>0.151448164461287</v>
      </c>
      <c r="K270" s="37">
        <v>-0.8033568700438708</v>
      </c>
      <c r="L270" s="37">
        <v>1.0401409857546853</v>
      </c>
      <c r="M270" s="37">
        <v>-0.3818372546807491</v>
      </c>
      <c r="N270" s="37">
        <v>-1.2378675047480743</v>
      </c>
      <c r="O270" s="34" t="s">
        <v>69</v>
      </c>
      <c r="P270" s="34" t="s">
        <v>69</v>
      </c>
      <c r="Q270" s="34" t="s">
        <v>69</v>
      </c>
      <c r="R270" s="34" t="s">
        <v>69</v>
      </c>
    </row>
    <row r="271">
      <c r="A271" s="27" t="s">
        <v>310</v>
      </c>
      <c r="B271" s="29">
        <v>79.07142857142857</v>
      </c>
      <c r="C271" s="31">
        <v>31.0</v>
      </c>
      <c r="D271" s="31">
        <v>7.0</v>
      </c>
      <c r="E271" s="32">
        <v>0.19949034673915192</v>
      </c>
      <c r="F271" s="32">
        <v>-0.5708661658731907</v>
      </c>
      <c r="G271" s="32">
        <v>-0.41008712367040023</v>
      </c>
      <c r="H271" s="32">
        <v>-0.4891742499327256</v>
      </c>
      <c r="I271" s="32">
        <v>-0.18247531482392904</v>
      </c>
      <c r="J271" s="32">
        <v>-0.7871777123417198</v>
      </c>
      <c r="K271" s="32">
        <v>0.07429176635492085</v>
      </c>
      <c r="L271" s="32">
        <v>0.0</v>
      </c>
      <c r="M271" s="32">
        <v>-1.6774082146025717</v>
      </c>
      <c r="N271" s="32">
        <v>-1.9024198905820413</v>
      </c>
      <c r="O271" s="34" t="s">
        <v>69</v>
      </c>
      <c r="P271" s="34" t="s">
        <v>69</v>
      </c>
      <c r="Q271" s="34" t="s">
        <v>69</v>
      </c>
      <c r="R271" s="34" t="s">
        <v>69</v>
      </c>
    </row>
    <row r="272">
      <c r="A272" s="27" t="s">
        <v>311</v>
      </c>
      <c r="B272" s="35">
        <v>31.5</v>
      </c>
      <c r="C272" s="36">
        <v>29.0</v>
      </c>
      <c r="D272" s="36">
        <v>6.0</v>
      </c>
      <c r="E272" s="37" t="s">
        <v>69</v>
      </c>
      <c r="F272" s="37" t="s">
        <v>69</v>
      </c>
      <c r="G272" s="37" t="s">
        <v>69</v>
      </c>
      <c r="H272" s="37" t="s">
        <v>69</v>
      </c>
      <c r="I272" s="37" t="s">
        <v>69</v>
      </c>
      <c r="J272" s="37" t="s">
        <v>69</v>
      </c>
      <c r="K272" s="37" t="s">
        <v>69</v>
      </c>
      <c r="L272" s="37" t="s">
        <v>69</v>
      </c>
      <c r="M272" s="37" t="s">
        <v>69</v>
      </c>
      <c r="N272" s="37" t="s">
        <v>69</v>
      </c>
      <c r="O272" s="34">
        <v>-1.7576394703413343</v>
      </c>
      <c r="P272" s="34">
        <v>-1.5139150440045541</v>
      </c>
      <c r="Q272" s="34">
        <v>-2.4781240829967595</v>
      </c>
      <c r="R272" s="34">
        <v>0.0</v>
      </c>
    </row>
    <row r="273">
      <c r="A273" s="27" t="s">
        <v>312</v>
      </c>
      <c r="B273" s="29">
        <v>80.38779411764706</v>
      </c>
      <c r="C273" s="31">
        <v>25.0</v>
      </c>
      <c r="D273" s="31">
        <v>6.0</v>
      </c>
      <c r="E273" s="32">
        <v>-0.9220111232307916</v>
      </c>
      <c r="F273" s="32">
        <v>-0.9651880553192504</v>
      </c>
      <c r="G273" s="32">
        <v>-1.74886509632373</v>
      </c>
      <c r="H273" s="32">
        <v>-2.173846998217378</v>
      </c>
      <c r="I273" s="32">
        <v>-1.5263901138448674</v>
      </c>
      <c r="J273" s="32">
        <v>2.289157338071736</v>
      </c>
      <c r="K273" s="32">
        <v>-1.6277064441002334</v>
      </c>
      <c r="L273" s="32">
        <v>1.8288446555680835</v>
      </c>
      <c r="M273" s="32">
        <v>0.06352032068259864</v>
      </c>
      <c r="N273" s="32">
        <v>-0.9741778277966006</v>
      </c>
      <c r="O273" s="34" t="s">
        <v>69</v>
      </c>
      <c r="P273" s="34" t="s">
        <v>69</v>
      </c>
      <c r="Q273" s="34" t="s">
        <v>69</v>
      </c>
      <c r="R273" s="34" t="s">
        <v>69</v>
      </c>
    </row>
    <row r="274">
      <c r="A274" s="27" t="s">
        <v>313</v>
      </c>
      <c r="B274" s="35">
        <v>79.20882352941176</v>
      </c>
      <c r="C274" s="36">
        <v>25.0</v>
      </c>
      <c r="D274" s="36">
        <v>6.0</v>
      </c>
      <c r="E274" s="37">
        <v>-0.7137095067962035</v>
      </c>
      <c r="F274" s="37">
        <v>-0.5522619837223629</v>
      </c>
      <c r="G274" s="37">
        <v>-0.04643203769651636</v>
      </c>
      <c r="H274" s="37">
        <v>0.7074895125288507</v>
      </c>
      <c r="I274" s="37">
        <v>-0.8302571798948717</v>
      </c>
      <c r="J274" s="37">
        <v>-0.7871777123417198</v>
      </c>
      <c r="K274" s="37">
        <v>-1.3641469457502498</v>
      </c>
      <c r="L274" s="37">
        <v>0.0</v>
      </c>
      <c r="M274" s="37">
        <v>-0.5517766596931551</v>
      </c>
      <c r="N274" s="37">
        <v>-1.624606758549375</v>
      </c>
      <c r="O274" s="34" t="s">
        <v>69</v>
      </c>
      <c r="P274" s="34" t="s">
        <v>69</v>
      </c>
      <c r="Q274" s="34" t="s">
        <v>69</v>
      </c>
      <c r="R274" s="34" t="s">
        <v>69</v>
      </c>
    </row>
    <row r="275">
      <c r="A275" s="27" t="s">
        <v>314</v>
      </c>
      <c r="B275" s="29">
        <v>83.0</v>
      </c>
      <c r="C275" s="31">
        <v>16.0</v>
      </c>
      <c r="D275" s="31">
        <v>6.0</v>
      </c>
      <c r="E275" s="32">
        <v>-2.1539739435291736</v>
      </c>
      <c r="F275" s="32">
        <v>-1.3770513943836846</v>
      </c>
      <c r="G275" s="32">
        <v>-0.1796982144347585</v>
      </c>
      <c r="H275" s="32">
        <v>2.0482898440738997</v>
      </c>
      <c r="I275" s="32">
        <v>-1.72461069241107</v>
      </c>
      <c r="J275" s="32">
        <v>-0.16952108464970286</v>
      </c>
      <c r="K275" s="32">
        <v>-2.2551760502492333</v>
      </c>
      <c r="L275" s="32">
        <v>0.0</v>
      </c>
      <c r="M275" s="32">
        <v>0.26901525983498153</v>
      </c>
      <c r="N275" s="32">
        <v>-0.22127559562152754</v>
      </c>
      <c r="O275" s="34" t="s">
        <v>69</v>
      </c>
      <c r="P275" s="34" t="s">
        <v>69</v>
      </c>
      <c r="Q275" s="34" t="s">
        <v>69</v>
      </c>
      <c r="R275" s="34" t="s">
        <v>69</v>
      </c>
    </row>
    <row r="276">
      <c r="A276" s="27" t="s">
        <v>315</v>
      </c>
      <c r="B276" s="35">
        <v>81.01750000000001</v>
      </c>
      <c r="C276" s="36">
        <v>27.0</v>
      </c>
      <c r="D276" s="36">
        <v>6.0</v>
      </c>
      <c r="E276" s="37">
        <v>-0.2200374735136028</v>
      </c>
      <c r="F276" s="37">
        <v>0.4691277053890067</v>
      </c>
      <c r="G276" s="37">
        <v>-2.69713150621774</v>
      </c>
      <c r="H276" s="37">
        <v>-0.9940672151432846</v>
      </c>
      <c r="I276" s="37">
        <v>0.39424883309791103</v>
      </c>
      <c r="J276" s="37">
        <v>-0.36711542837070016</v>
      </c>
      <c r="K276" s="37">
        <v>0.09491528454274036</v>
      </c>
      <c r="L276" s="37">
        <v>0.0</v>
      </c>
      <c r="M276" s="37">
        <v>-1.3376513827296932</v>
      </c>
      <c r="N276" s="37">
        <v>-1.1711879338499174</v>
      </c>
      <c r="O276" s="34" t="s">
        <v>69</v>
      </c>
      <c r="P276" s="34" t="s">
        <v>69</v>
      </c>
      <c r="Q276" s="34" t="s">
        <v>69</v>
      </c>
      <c r="R276" s="34" t="s">
        <v>69</v>
      </c>
    </row>
    <row r="277">
      <c r="A277" s="27" t="s">
        <v>316</v>
      </c>
      <c r="B277" s="29">
        <v>79.64285714285714</v>
      </c>
      <c r="C277" s="31">
        <v>25.0</v>
      </c>
      <c r="D277" s="31">
        <v>7.0</v>
      </c>
      <c r="E277" s="32">
        <v>-0.2298821459128556</v>
      </c>
      <c r="F277" s="32">
        <v>0.2550387013202941</v>
      </c>
      <c r="G277" s="32">
        <v>-0.6278718307746903</v>
      </c>
      <c r="H277" s="32">
        <v>-0.7502923611115666</v>
      </c>
      <c r="I277" s="32">
        <v>0.0683890782514067</v>
      </c>
      <c r="J277" s="32">
        <v>-0.7871777123417198</v>
      </c>
      <c r="K277" s="32">
        <v>-0.0732510534582072</v>
      </c>
      <c r="L277" s="32">
        <v>0.0</v>
      </c>
      <c r="M277" s="32">
        <v>-1.885838582146494</v>
      </c>
      <c r="N277" s="32">
        <v>-1.8130610000309866</v>
      </c>
      <c r="O277" s="34" t="s">
        <v>69</v>
      </c>
      <c r="P277" s="34" t="s">
        <v>69</v>
      </c>
      <c r="Q277" s="34" t="s">
        <v>69</v>
      </c>
      <c r="R277" s="34" t="s">
        <v>69</v>
      </c>
    </row>
    <row r="278">
      <c r="A278" s="27" t="s">
        <v>317</v>
      </c>
      <c r="B278" s="35">
        <v>79.97294117647058</v>
      </c>
      <c r="C278" s="36">
        <v>29.0</v>
      </c>
      <c r="D278" s="36">
        <v>6.0</v>
      </c>
      <c r="E278" s="37">
        <v>-0.5861827377116025</v>
      </c>
      <c r="F278" s="37">
        <v>-0.7403586664717313</v>
      </c>
      <c r="G278" s="37">
        <v>0.22305237623629728</v>
      </c>
      <c r="H278" s="37">
        <v>-1.3282348819062233</v>
      </c>
      <c r="I278" s="37">
        <v>-1.0054120105131827</v>
      </c>
      <c r="J278" s="37">
        <v>-0.19050483266402662</v>
      </c>
      <c r="K278" s="37">
        <v>-1.0711388344767172</v>
      </c>
      <c r="L278" s="37">
        <v>0.7820706798945346</v>
      </c>
      <c r="M278" s="37">
        <v>-0.776644483918991</v>
      </c>
      <c r="N278" s="37">
        <v>-1.1608430237428322</v>
      </c>
      <c r="O278" s="34" t="s">
        <v>69</v>
      </c>
      <c r="P278" s="34" t="s">
        <v>69</v>
      </c>
      <c r="Q278" s="34" t="s">
        <v>69</v>
      </c>
      <c r="R278" s="34" t="s">
        <v>69</v>
      </c>
    </row>
    <row r="279">
      <c r="A279" s="27" t="s">
        <v>318</v>
      </c>
      <c r="B279" s="29">
        <v>83.24516666666666</v>
      </c>
      <c r="C279" s="31">
        <v>27.0</v>
      </c>
      <c r="D279" s="31">
        <v>6.0</v>
      </c>
      <c r="E279" s="32">
        <v>-0.8308438802137024</v>
      </c>
      <c r="F279" s="32">
        <v>-0.07059255345083788</v>
      </c>
      <c r="G279" s="32">
        <v>-0.14557196414781423</v>
      </c>
      <c r="H279" s="32">
        <v>-1.5515754847697716</v>
      </c>
      <c r="I279" s="32">
        <v>-0.17774134764280144</v>
      </c>
      <c r="J279" s="32">
        <v>-0.32313812393396013</v>
      </c>
      <c r="K279" s="32">
        <v>-0.7343587237082617</v>
      </c>
      <c r="L279" s="32">
        <v>1.2225373300084763</v>
      </c>
      <c r="M279" s="32">
        <v>-1.4521934065215703</v>
      </c>
      <c r="N279" s="32">
        <v>-1.8099184052698094</v>
      </c>
      <c r="O279" s="34" t="s">
        <v>69</v>
      </c>
      <c r="P279" s="34" t="s">
        <v>69</v>
      </c>
      <c r="Q279" s="34" t="s">
        <v>69</v>
      </c>
      <c r="R279" s="34" t="s">
        <v>69</v>
      </c>
    </row>
    <row r="280">
      <c r="A280" s="27" t="s">
        <v>319</v>
      </c>
      <c r="B280" s="35">
        <v>80.41775</v>
      </c>
      <c r="C280" s="36">
        <v>16.0</v>
      </c>
      <c r="D280" s="36">
        <v>6.0</v>
      </c>
      <c r="E280" s="37">
        <v>-1.3169301203438502</v>
      </c>
      <c r="F280" s="37">
        <v>-0.9037948950110266</v>
      </c>
      <c r="G280" s="37">
        <v>-0.0015176976545827508</v>
      </c>
      <c r="H280" s="37">
        <v>0.38827475563876923</v>
      </c>
      <c r="I280" s="37">
        <v>-1.5969449047747184</v>
      </c>
      <c r="J280" s="37">
        <v>-0.01635788250113692</v>
      </c>
      <c r="K280" s="37">
        <v>-1.3200720472585674</v>
      </c>
      <c r="L280" s="37">
        <v>0.7162746874165603</v>
      </c>
      <c r="M280" s="37">
        <v>-0.2961259114605618</v>
      </c>
      <c r="N280" s="37">
        <v>-1.5453552674835707</v>
      </c>
      <c r="O280" s="34" t="s">
        <v>69</v>
      </c>
      <c r="P280" s="34" t="s">
        <v>69</v>
      </c>
      <c r="Q280" s="34" t="s">
        <v>69</v>
      </c>
      <c r="R280" s="34" t="s">
        <v>69</v>
      </c>
    </row>
    <row r="281">
      <c r="A281" s="27" t="s">
        <v>320</v>
      </c>
      <c r="B281" s="29">
        <v>76.97538461538463</v>
      </c>
      <c r="C281" s="31">
        <v>28.0</v>
      </c>
      <c r="D281" s="31">
        <v>7.0</v>
      </c>
      <c r="E281" s="32">
        <v>-1.0054393084827464</v>
      </c>
      <c r="F281" s="32">
        <v>-1.518307497093919</v>
      </c>
      <c r="G281" s="32">
        <v>-1.6417291611058626</v>
      </c>
      <c r="H281" s="32">
        <v>-0.44246472941715537</v>
      </c>
      <c r="I281" s="32">
        <v>-1.5491457683498493</v>
      </c>
      <c r="J281" s="32">
        <v>1.2643683883224421</v>
      </c>
      <c r="K281" s="32">
        <v>-1.0811417744321068</v>
      </c>
      <c r="L281" s="32">
        <v>0.9092645954233636</v>
      </c>
      <c r="M281" s="32">
        <v>0.3383389272282344</v>
      </c>
      <c r="N281" s="32">
        <v>-1.170757664778299</v>
      </c>
      <c r="O281" s="34" t="s">
        <v>69</v>
      </c>
      <c r="P281" s="34" t="s">
        <v>69</v>
      </c>
      <c r="Q281" s="34" t="s">
        <v>69</v>
      </c>
      <c r="R281" s="34" t="s">
        <v>69</v>
      </c>
    </row>
    <row r="282">
      <c r="A282" s="27" t="s">
        <v>321</v>
      </c>
      <c r="B282" s="35">
        <v>79.72395833333333</v>
      </c>
      <c r="C282" s="36">
        <v>26.0</v>
      </c>
      <c r="D282" s="36">
        <v>5.0</v>
      </c>
      <c r="E282" s="37">
        <v>-1.3219025547476198</v>
      </c>
      <c r="F282" s="37">
        <v>-1.2042484812477396</v>
      </c>
      <c r="G282" s="37">
        <v>-1.0917755449902649</v>
      </c>
      <c r="H282" s="37">
        <v>-0.6902384526325144</v>
      </c>
      <c r="I282" s="37">
        <v>-1.6557867163943585</v>
      </c>
      <c r="J282" s="37">
        <v>0.3117033371947014</v>
      </c>
      <c r="K282" s="37">
        <v>-1.684882543082913</v>
      </c>
      <c r="L282" s="37">
        <v>1.5981822323645472</v>
      </c>
      <c r="M282" s="37">
        <v>0.6857292925774251</v>
      </c>
      <c r="N282" s="37">
        <v>-0.9278459733023222</v>
      </c>
      <c r="O282" s="34" t="s">
        <v>69</v>
      </c>
      <c r="P282" s="34" t="s">
        <v>69</v>
      </c>
      <c r="Q282" s="34" t="s">
        <v>69</v>
      </c>
      <c r="R282" s="34" t="s">
        <v>69</v>
      </c>
    </row>
    <row r="283">
      <c r="A283" s="27" t="s">
        <v>322</v>
      </c>
      <c r="B283" s="29">
        <v>83.111</v>
      </c>
      <c r="C283" s="31">
        <v>34.0</v>
      </c>
      <c r="D283" s="31">
        <v>7.0</v>
      </c>
      <c r="E283" s="32">
        <v>-1.0416633900942487</v>
      </c>
      <c r="F283" s="32">
        <v>-1.6038355526709862</v>
      </c>
      <c r="G283" s="32">
        <v>0.3748556250368978</v>
      </c>
      <c r="H283" s="32">
        <v>-0.9906463859184347</v>
      </c>
      <c r="I283" s="32">
        <v>-1.6683973139546129</v>
      </c>
      <c r="J283" s="32">
        <v>0.3912571024770273</v>
      </c>
      <c r="K283" s="32">
        <v>-1.5532466616707774</v>
      </c>
      <c r="L283" s="32">
        <v>0.0</v>
      </c>
      <c r="M283" s="32">
        <v>0.8748114585473683</v>
      </c>
      <c r="N283" s="32">
        <v>-0.7728085770235238</v>
      </c>
      <c r="O283" s="34" t="s">
        <v>69</v>
      </c>
      <c r="P283" s="34" t="s">
        <v>69</v>
      </c>
      <c r="Q283" s="34" t="s">
        <v>69</v>
      </c>
      <c r="R283" s="34" t="s">
        <v>69</v>
      </c>
    </row>
    <row r="284">
      <c r="A284" s="27" t="s">
        <v>323</v>
      </c>
      <c r="B284" s="35">
        <v>77.94117647058823</v>
      </c>
      <c r="C284" s="36">
        <v>33.0</v>
      </c>
      <c r="D284" s="36">
        <v>8.0</v>
      </c>
      <c r="E284" s="37">
        <v>-1.233316738156891</v>
      </c>
      <c r="F284" s="37">
        <v>-0.0788613220088603</v>
      </c>
      <c r="G284" s="37">
        <v>-1.153490877122997</v>
      </c>
      <c r="H284" s="37">
        <v>-0.4095267165144303</v>
      </c>
      <c r="I284" s="37">
        <v>0.13583688598695337</v>
      </c>
      <c r="J284" s="37">
        <v>-0.7837106830724182</v>
      </c>
      <c r="K284" s="37">
        <v>-0.7917900360743662</v>
      </c>
      <c r="L284" s="37">
        <v>0.0</v>
      </c>
      <c r="M284" s="37">
        <v>-0.878810685127403</v>
      </c>
      <c r="N284" s="37">
        <v>-0.8149084050721903</v>
      </c>
      <c r="O284" s="34" t="s">
        <v>69</v>
      </c>
      <c r="P284" s="34" t="s">
        <v>69</v>
      </c>
      <c r="Q284" s="34" t="s">
        <v>69</v>
      </c>
      <c r="R284" s="34" t="s">
        <v>69</v>
      </c>
    </row>
    <row r="285">
      <c r="A285" s="27" t="s">
        <v>324</v>
      </c>
      <c r="B285" s="29">
        <v>81.6094117647059</v>
      </c>
      <c r="C285" s="31">
        <v>21.0</v>
      </c>
      <c r="D285" s="31">
        <v>7.0</v>
      </c>
      <c r="E285" s="32">
        <v>-0.2503705841727103</v>
      </c>
      <c r="F285" s="32">
        <v>-0.32595264848891964</v>
      </c>
      <c r="G285" s="32">
        <v>-0.9196436183429955</v>
      </c>
      <c r="H285" s="32">
        <v>-0.7104086582894704</v>
      </c>
      <c r="I285" s="32">
        <v>-0.8273377564855965</v>
      </c>
      <c r="J285" s="32">
        <v>0.31936063844134593</v>
      </c>
      <c r="K285" s="32">
        <v>-0.343752105656833</v>
      </c>
      <c r="L285" s="32">
        <v>0.13318005267815927</v>
      </c>
      <c r="M285" s="32">
        <v>-1.7262409989593874</v>
      </c>
      <c r="N285" s="32">
        <v>-1.4013962096604757</v>
      </c>
      <c r="O285" s="34" t="s">
        <v>69</v>
      </c>
      <c r="P285" s="34" t="s">
        <v>69</v>
      </c>
      <c r="Q285" s="34" t="s">
        <v>69</v>
      </c>
      <c r="R285" s="34" t="s">
        <v>69</v>
      </c>
    </row>
    <row r="286">
      <c r="A286" s="27" t="s">
        <v>325</v>
      </c>
      <c r="B286" s="35">
        <v>78.89178571428572</v>
      </c>
      <c r="C286" s="36">
        <v>28.0</v>
      </c>
      <c r="D286" s="36">
        <v>6.0</v>
      </c>
      <c r="E286" s="37">
        <v>-0.391286771097284</v>
      </c>
      <c r="F286" s="37">
        <v>-1.3179185020257658</v>
      </c>
      <c r="G286" s="37">
        <v>-0.15839709611610275</v>
      </c>
      <c r="H286" s="37">
        <v>-0.027109429088128436</v>
      </c>
      <c r="I286" s="37">
        <v>-1.3074027538121515</v>
      </c>
      <c r="J286" s="37">
        <v>-0.2669051270038321</v>
      </c>
      <c r="K286" s="37">
        <v>-1.3714691684435107</v>
      </c>
      <c r="L286" s="37">
        <v>0.35468720625695493</v>
      </c>
      <c r="M286" s="37">
        <v>-0.09383776278959828</v>
      </c>
      <c r="N286" s="37">
        <v>-1.491395302729247</v>
      </c>
      <c r="O286" s="34" t="s">
        <v>69</v>
      </c>
      <c r="P286" s="34" t="s">
        <v>69</v>
      </c>
      <c r="Q286" s="34" t="s">
        <v>69</v>
      </c>
      <c r="R286" s="34" t="s">
        <v>69</v>
      </c>
    </row>
    <row r="287">
      <c r="A287" s="27" t="s">
        <v>326</v>
      </c>
      <c r="B287" s="29">
        <v>78.71428571428571</v>
      </c>
      <c r="C287" s="31">
        <v>29.0</v>
      </c>
      <c r="D287" s="31">
        <v>7.0</v>
      </c>
      <c r="E287" s="32">
        <v>-2.1360085672675835</v>
      </c>
      <c r="F287" s="32">
        <v>-1.6183269735638037</v>
      </c>
      <c r="G287" s="32">
        <v>0.3200021235348846</v>
      </c>
      <c r="H287" s="32">
        <v>0.6183573304754862</v>
      </c>
      <c r="I287" s="32">
        <v>-1.6546020245760928</v>
      </c>
      <c r="J287" s="32">
        <v>-0.16952108464970286</v>
      </c>
      <c r="K287" s="32">
        <v>-1.7754154334849415</v>
      </c>
      <c r="L287" s="32">
        <v>0.0</v>
      </c>
      <c r="M287" s="32">
        <v>0.1255730125084059</v>
      </c>
      <c r="N287" s="32">
        <v>0.20542379562226504</v>
      </c>
      <c r="O287" s="34" t="s">
        <v>69</v>
      </c>
      <c r="P287" s="34" t="s">
        <v>69</v>
      </c>
      <c r="Q287" s="34" t="s">
        <v>69</v>
      </c>
      <c r="R287" s="34" t="s">
        <v>69</v>
      </c>
    </row>
    <row r="288">
      <c r="A288" s="27" t="s">
        <v>327</v>
      </c>
      <c r="B288" s="35">
        <v>78.0</v>
      </c>
      <c r="C288" s="36">
        <v>34.0</v>
      </c>
      <c r="D288" s="36">
        <v>7.0</v>
      </c>
      <c r="E288" s="37">
        <v>-2.1539739435291736</v>
      </c>
      <c r="F288" s="37">
        <v>-1.6206469310559204</v>
      </c>
      <c r="G288" s="37" t="s">
        <v>69</v>
      </c>
      <c r="H288" s="37">
        <v>0.05881852080654187</v>
      </c>
      <c r="I288" s="37" t="s">
        <v>69</v>
      </c>
      <c r="J288" s="37" t="s">
        <v>69</v>
      </c>
      <c r="K288" s="37">
        <v>-2.2091716075458083</v>
      </c>
      <c r="L288" s="37" t="s">
        <v>69</v>
      </c>
      <c r="M288" s="37">
        <v>-0.4891794760340609</v>
      </c>
      <c r="N288" s="37">
        <v>0.31744307468626687</v>
      </c>
      <c r="O288" s="34" t="s">
        <v>69</v>
      </c>
      <c r="P288" s="34" t="s">
        <v>69</v>
      </c>
      <c r="Q288" s="34" t="s">
        <v>69</v>
      </c>
      <c r="R288" s="34" t="s">
        <v>69</v>
      </c>
    </row>
    <row r="289">
      <c r="A289" s="27" t="s">
        <v>328</v>
      </c>
      <c r="B289" s="29">
        <v>82.4479411764706</v>
      </c>
      <c r="C289" s="31">
        <v>23.0</v>
      </c>
      <c r="D289" s="31">
        <v>6.0</v>
      </c>
      <c r="E289" s="32">
        <v>-0.7103465934813072</v>
      </c>
      <c r="F289" s="32">
        <v>-0.8980149807455167</v>
      </c>
      <c r="G289" s="32">
        <v>-1.7842905314423176</v>
      </c>
      <c r="H289" s="32">
        <v>-1.452381234950561</v>
      </c>
      <c r="I289" s="32">
        <v>-1.26089445323259</v>
      </c>
      <c r="J289" s="32">
        <v>1.0348296365820415</v>
      </c>
      <c r="K289" s="32">
        <v>0.3226188521921522</v>
      </c>
      <c r="L289" s="32">
        <v>2.145576968515439</v>
      </c>
      <c r="M289" s="32">
        <v>-1.915532023670174</v>
      </c>
      <c r="N289" s="32">
        <v>-1.6371791595873966</v>
      </c>
      <c r="O289" s="34" t="s">
        <v>69</v>
      </c>
      <c r="P289" s="34" t="s">
        <v>69</v>
      </c>
      <c r="Q289" s="34" t="s">
        <v>69</v>
      </c>
      <c r="R289" s="34" t="s">
        <v>69</v>
      </c>
    </row>
    <row r="290">
      <c r="A290" s="27" t="s">
        <v>329</v>
      </c>
      <c r="B290" s="35">
        <v>78.15176470588234</v>
      </c>
      <c r="C290" s="36">
        <v>28.0</v>
      </c>
      <c r="D290" s="36">
        <v>7.0</v>
      </c>
      <c r="E290" s="37">
        <v>-0.4820634622965325</v>
      </c>
      <c r="F290" s="37">
        <v>0.6619238271266946</v>
      </c>
      <c r="G290" s="37">
        <v>-0.9576413449029217</v>
      </c>
      <c r="H290" s="37">
        <v>-1.2159416093292048</v>
      </c>
      <c r="I290" s="37">
        <v>0.5333223309632845</v>
      </c>
      <c r="J290" s="37">
        <v>-0.784490537235814</v>
      </c>
      <c r="K290" s="37">
        <v>-0.3311672334409809</v>
      </c>
      <c r="L290" s="37">
        <v>0.0</v>
      </c>
      <c r="M290" s="37">
        <v>-2.0657142903978354</v>
      </c>
      <c r="N290" s="37">
        <v>-1.5154109246501206</v>
      </c>
      <c r="O290" s="34" t="s">
        <v>69</v>
      </c>
      <c r="P290" s="34" t="s">
        <v>69</v>
      </c>
      <c r="Q290" s="34" t="s">
        <v>69</v>
      </c>
      <c r="R290" s="34" t="s">
        <v>69</v>
      </c>
    </row>
    <row r="291">
      <c r="A291" s="27" t="s">
        <v>330</v>
      </c>
      <c r="B291" s="29">
        <v>74.71529411764706</v>
      </c>
      <c r="C291" s="31">
        <v>23.0</v>
      </c>
      <c r="D291" s="31">
        <v>6.0</v>
      </c>
      <c r="E291" s="32">
        <v>-0.2713556288832174</v>
      </c>
      <c r="F291" s="32">
        <v>-1.2072571278434694</v>
      </c>
      <c r="G291" s="32">
        <v>-0.6602597615836516</v>
      </c>
      <c r="H291" s="32">
        <v>0.393849591512895</v>
      </c>
      <c r="I291" s="32">
        <v>-0.6474121501398795</v>
      </c>
      <c r="J291" s="32">
        <v>-0.7855803644704893</v>
      </c>
      <c r="K291" s="32">
        <v>-0.8414072254618873</v>
      </c>
      <c r="L291" s="32">
        <v>0.0</v>
      </c>
      <c r="M291" s="32">
        <v>-0.5762173069549141</v>
      </c>
      <c r="N291" s="32">
        <v>-1.5817633401897295</v>
      </c>
      <c r="O291" s="34" t="s">
        <v>69</v>
      </c>
      <c r="P291" s="34" t="s">
        <v>69</v>
      </c>
      <c r="Q291" s="34" t="s">
        <v>69</v>
      </c>
      <c r="R291" s="34" t="s">
        <v>69</v>
      </c>
    </row>
    <row r="292">
      <c r="A292" s="27" t="s">
        <v>331</v>
      </c>
      <c r="B292" s="35">
        <v>77.63926470588235</v>
      </c>
      <c r="C292" s="36">
        <v>31.0</v>
      </c>
      <c r="D292" s="36">
        <v>7.0</v>
      </c>
      <c r="E292" s="37">
        <v>0.7945586686071048</v>
      </c>
      <c r="F292" s="37">
        <v>0.7014580417657509</v>
      </c>
      <c r="G292" s="37">
        <v>-1.980881269159856</v>
      </c>
      <c r="H292" s="37">
        <v>-1.7096095529196207</v>
      </c>
      <c r="I292" s="37">
        <v>0.7243022150590068</v>
      </c>
      <c r="J292" s="37">
        <v>-0.7217502675405305</v>
      </c>
      <c r="K292" s="37">
        <v>0.4798234861445987</v>
      </c>
      <c r="L292" s="37">
        <v>0.0</v>
      </c>
      <c r="M292" s="37">
        <v>-2.257686320247857</v>
      </c>
      <c r="N292" s="37">
        <v>-2.2194861103284937</v>
      </c>
      <c r="O292" s="34" t="s">
        <v>69</v>
      </c>
      <c r="P292" s="34" t="s">
        <v>69</v>
      </c>
      <c r="Q292" s="34" t="s">
        <v>69</v>
      </c>
      <c r="R292" s="34" t="s">
        <v>69</v>
      </c>
    </row>
    <row r="293">
      <c r="A293" s="27" t="s">
        <v>332</v>
      </c>
      <c r="B293" s="29">
        <v>80.51808823529412</v>
      </c>
      <c r="C293" s="31">
        <v>28.0</v>
      </c>
      <c r="D293" s="31">
        <v>6.0</v>
      </c>
      <c r="E293" s="32">
        <v>-1.6730412769744551</v>
      </c>
      <c r="F293" s="32">
        <v>-0.45926378806878143</v>
      </c>
      <c r="G293" s="32">
        <v>0.45524787896806146</v>
      </c>
      <c r="H293" s="32">
        <v>-1.7235122121097273</v>
      </c>
      <c r="I293" s="32">
        <v>-0.9016630307167492</v>
      </c>
      <c r="J293" s="32">
        <v>-0.6566698913897623</v>
      </c>
      <c r="K293" s="32">
        <v>-0.394896693944411</v>
      </c>
      <c r="L293" s="32">
        <v>0.0</v>
      </c>
      <c r="M293" s="32">
        <v>-1.7471186235932237</v>
      </c>
      <c r="N293" s="32">
        <v>0.9014804858977924</v>
      </c>
      <c r="O293" s="34" t="s">
        <v>69</v>
      </c>
      <c r="P293" s="34" t="s">
        <v>69</v>
      </c>
      <c r="Q293" s="34" t="s">
        <v>69</v>
      </c>
      <c r="R293" s="34" t="s">
        <v>69</v>
      </c>
    </row>
    <row r="294">
      <c r="A294" s="27" t="s">
        <v>333</v>
      </c>
      <c r="B294" s="35">
        <v>79.72645833333333</v>
      </c>
      <c r="C294" s="36">
        <v>23.0</v>
      </c>
      <c r="D294" s="36">
        <v>7.0</v>
      </c>
      <c r="E294" s="37">
        <v>-2.0707677450789728</v>
      </c>
      <c r="F294" s="37">
        <v>-0.9581821973475102</v>
      </c>
      <c r="G294" s="37">
        <v>1.928325532861081</v>
      </c>
      <c r="H294" s="37">
        <v>-2.132113806257361</v>
      </c>
      <c r="I294" s="37">
        <v>-1.7185545545881828</v>
      </c>
      <c r="J294" s="37">
        <v>1.014666779148476</v>
      </c>
      <c r="K294" s="37">
        <v>-1.0716264378566773</v>
      </c>
      <c r="L294" s="37">
        <v>0.0</v>
      </c>
      <c r="M294" s="37">
        <v>-2.135859223056403</v>
      </c>
      <c r="N294" s="37">
        <v>0.9316500758667325</v>
      </c>
      <c r="O294" s="34" t="s">
        <v>69</v>
      </c>
      <c r="P294" s="34" t="s">
        <v>69</v>
      </c>
      <c r="Q294" s="34" t="s">
        <v>69</v>
      </c>
      <c r="R294" s="34" t="s">
        <v>69</v>
      </c>
    </row>
    <row r="295">
      <c r="A295" s="27" t="s">
        <v>334</v>
      </c>
      <c r="B295" s="29">
        <v>76.92323529411765</v>
      </c>
      <c r="C295" s="31">
        <v>24.0</v>
      </c>
      <c r="D295" s="31">
        <v>7.0</v>
      </c>
      <c r="E295" s="32">
        <v>0.3379723753591881</v>
      </c>
      <c r="F295" s="32">
        <v>-0.7015408207819535</v>
      </c>
      <c r="G295" s="32">
        <v>-0.376932930585752</v>
      </c>
      <c r="H295" s="32">
        <v>-0.505112087288488</v>
      </c>
      <c r="I295" s="32">
        <v>-0.47814265062081884</v>
      </c>
      <c r="J295" s="32">
        <v>-0.7871777123417198</v>
      </c>
      <c r="K295" s="32">
        <v>-0.6905642261002202</v>
      </c>
      <c r="L295" s="32">
        <v>0.0</v>
      </c>
      <c r="M295" s="32">
        <v>-1.425973253533381</v>
      </c>
      <c r="N295" s="32">
        <v>-1.586451966799308</v>
      </c>
      <c r="O295" s="34" t="s">
        <v>69</v>
      </c>
      <c r="P295" s="34" t="s">
        <v>69</v>
      </c>
      <c r="Q295" s="34" t="s">
        <v>69</v>
      </c>
      <c r="R295" s="34" t="s">
        <v>69</v>
      </c>
    </row>
    <row r="296">
      <c r="A296" s="27" t="s">
        <v>335</v>
      </c>
      <c r="B296" s="35">
        <v>77.27867647058824</v>
      </c>
      <c r="C296" s="36">
        <v>25.0</v>
      </c>
      <c r="D296" s="36">
        <v>6.0</v>
      </c>
      <c r="E296" s="37">
        <v>0.30309835888496844</v>
      </c>
      <c r="F296" s="37">
        <v>-0.5435622235526406</v>
      </c>
      <c r="G296" s="37">
        <v>-2.0167639763297536</v>
      </c>
      <c r="H296" s="37">
        <v>-1.4137176672066023</v>
      </c>
      <c r="I296" s="37">
        <v>0.07653048248467031</v>
      </c>
      <c r="J296" s="37">
        <v>-0.11014390831050927</v>
      </c>
      <c r="K296" s="37">
        <v>0.4154462128481566</v>
      </c>
      <c r="L296" s="37">
        <v>0.0</v>
      </c>
      <c r="M296" s="37">
        <v>-1.378247183330065</v>
      </c>
      <c r="N296" s="37">
        <v>-1.5509913010935577</v>
      </c>
      <c r="O296" s="34" t="s">
        <v>69</v>
      </c>
      <c r="P296" s="34" t="s">
        <v>69</v>
      </c>
      <c r="Q296" s="34" t="s">
        <v>69</v>
      </c>
      <c r="R296" s="34" t="s">
        <v>69</v>
      </c>
    </row>
    <row r="297">
      <c r="A297" s="27" t="s">
        <v>336</v>
      </c>
      <c r="B297" s="29">
        <v>82.0909090909091</v>
      </c>
      <c r="C297" s="31">
        <v>33.0</v>
      </c>
      <c r="D297" s="31">
        <v>8.0</v>
      </c>
      <c r="E297" s="32">
        <v>-2.2042769970616263</v>
      </c>
      <c r="F297" s="32">
        <v>-1.089165760134679</v>
      </c>
      <c r="G297" s="32">
        <v>0.33501700289057307</v>
      </c>
      <c r="H297" s="32">
        <v>-1.3213772097101877</v>
      </c>
      <c r="I297" s="32">
        <v>-1.6675665926936811</v>
      </c>
      <c r="J297" s="32">
        <v>-0.16952108464970286</v>
      </c>
      <c r="K297" s="32">
        <v>-1.6115320746076747</v>
      </c>
      <c r="L297" s="32">
        <v>0.0</v>
      </c>
      <c r="M297" s="32">
        <v>-0.16578240933414534</v>
      </c>
      <c r="N297" s="32">
        <v>1.6751229559165166</v>
      </c>
      <c r="O297" s="34" t="s">
        <v>69</v>
      </c>
      <c r="P297" s="34" t="s">
        <v>69</v>
      </c>
      <c r="Q297" s="34" t="s">
        <v>69</v>
      </c>
      <c r="R297" s="34" t="s">
        <v>69</v>
      </c>
    </row>
    <row r="298">
      <c r="A298" s="27" t="s">
        <v>337</v>
      </c>
      <c r="B298" s="35">
        <v>79.74514705882353</v>
      </c>
      <c r="C298" s="36">
        <v>21.0</v>
      </c>
      <c r="D298" s="36">
        <v>7.0</v>
      </c>
      <c r="E298" s="37">
        <v>-0.2510202037174761</v>
      </c>
      <c r="F298" s="37">
        <v>-0.8068144286292841</v>
      </c>
      <c r="G298" s="37">
        <v>-1.6320033314944435</v>
      </c>
      <c r="H298" s="37">
        <v>-0.2461095144403201</v>
      </c>
      <c r="I298" s="37">
        <v>-0.5905049644245567</v>
      </c>
      <c r="J298" s="37">
        <v>-0.7793156205336071</v>
      </c>
      <c r="K298" s="37">
        <v>-1.2620607094769405</v>
      </c>
      <c r="L298" s="37">
        <v>0.0</v>
      </c>
      <c r="M298" s="37">
        <v>0.658007049366638</v>
      </c>
      <c r="N298" s="37">
        <v>-1.3365025668434285</v>
      </c>
      <c r="O298" s="34" t="s">
        <v>69</v>
      </c>
      <c r="P298" s="34" t="s">
        <v>69</v>
      </c>
      <c r="Q298" s="34" t="s">
        <v>69</v>
      </c>
      <c r="R298" s="34" t="s">
        <v>69</v>
      </c>
    </row>
    <row r="299">
      <c r="A299" s="27" t="s">
        <v>338</v>
      </c>
      <c r="B299" s="29">
        <v>79.36338235294117</v>
      </c>
      <c r="C299" s="31">
        <v>25.0</v>
      </c>
      <c r="D299" s="31">
        <v>6.0</v>
      </c>
      <c r="E299" s="32">
        <v>0.033883669714207046</v>
      </c>
      <c r="F299" s="32">
        <v>0.275175782263837</v>
      </c>
      <c r="G299" s="32">
        <v>-0.11188941942365813</v>
      </c>
      <c r="H299" s="32">
        <v>-2.004914889231756</v>
      </c>
      <c r="I299" s="32">
        <v>0.2357608661622895</v>
      </c>
      <c r="J299" s="32">
        <v>-0.7839910009620548</v>
      </c>
      <c r="K299" s="32">
        <v>-0.8072398407439518</v>
      </c>
      <c r="L299" s="32">
        <v>0.6533345638108096</v>
      </c>
      <c r="M299" s="32">
        <v>-1.9453356597652993</v>
      </c>
      <c r="N299" s="32">
        <v>-1.8088463399655255</v>
      </c>
      <c r="O299" s="34" t="s">
        <v>69</v>
      </c>
      <c r="P299" s="34" t="s">
        <v>69</v>
      </c>
      <c r="Q299" s="34" t="s">
        <v>69</v>
      </c>
      <c r="R299" s="34" t="s">
        <v>69</v>
      </c>
    </row>
    <row r="300">
      <c r="A300" s="27" t="s">
        <v>339</v>
      </c>
      <c r="B300" s="35">
        <v>80.0</v>
      </c>
      <c r="C300" s="36">
        <v>24.0</v>
      </c>
      <c r="D300" s="36">
        <v>7.0</v>
      </c>
      <c r="E300" s="37">
        <v>-1.3994281405423823</v>
      </c>
      <c r="F300" s="37">
        <v>-1.3770513943836846</v>
      </c>
      <c r="G300" s="37" t="s">
        <v>69</v>
      </c>
      <c r="H300" s="37">
        <v>0.1209894996586468</v>
      </c>
      <c r="I300" s="37" t="s">
        <v>69</v>
      </c>
      <c r="J300" s="37" t="s">
        <v>69</v>
      </c>
      <c r="K300" s="37">
        <v>-0.9210472118499012</v>
      </c>
      <c r="L300" s="37" t="s">
        <v>69</v>
      </c>
      <c r="M300" s="37">
        <v>-0.858030969159541</v>
      </c>
      <c r="N300" s="37">
        <v>-1.8374316065449108</v>
      </c>
      <c r="O300" s="34" t="s">
        <v>69</v>
      </c>
      <c r="P300" s="34" t="s">
        <v>69</v>
      </c>
      <c r="Q300" s="34" t="s">
        <v>69</v>
      </c>
      <c r="R300" s="34" t="s">
        <v>69</v>
      </c>
    </row>
    <row r="301">
      <c r="A301" s="27" t="s">
        <v>340</v>
      </c>
      <c r="B301" s="29">
        <v>78.33735294117648</v>
      </c>
      <c r="C301" s="31">
        <v>29.0</v>
      </c>
      <c r="D301" s="31">
        <v>7.0</v>
      </c>
      <c r="E301" s="32">
        <v>-0.5861692456839607</v>
      </c>
      <c r="F301" s="32">
        <v>-1.0979922827315964</v>
      </c>
      <c r="G301" s="32">
        <v>-0.20477337152512104</v>
      </c>
      <c r="H301" s="32">
        <v>-0.9659055041140797</v>
      </c>
      <c r="I301" s="32">
        <v>-0.7648931428595026</v>
      </c>
      <c r="J301" s="32">
        <v>-0.78466850880438</v>
      </c>
      <c r="K301" s="32">
        <v>-1.0815814812289803</v>
      </c>
      <c r="L301" s="32">
        <v>0.0</v>
      </c>
      <c r="M301" s="32">
        <v>0.5236370632062821</v>
      </c>
      <c r="N301" s="32">
        <v>-1.368801558069982</v>
      </c>
      <c r="O301" s="34" t="s">
        <v>69</v>
      </c>
      <c r="P301" s="34" t="s">
        <v>69</v>
      </c>
      <c r="Q301" s="34" t="s">
        <v>69</v>
      </c>
      <c r="R301" s="34" t="s">
        <v>69</v>
      </c>
    </row>
    <row r="302">
      <c r="A302" s="27" t="s">
        <v>341</v>
      </c>
      <c r="B302" s="35">
        <v>76.57142857142857</v>
      </c>
      <c r="C302" s="36">
        <v>29.0</v>
      </c>
      <c r="D302" s="36">
        <v>6.0</v>
      </c>
      <c r="E302" s="37">
        <v>-2.1216362662583115</v>
      </c>
      <c r="F302" s="37">
        <v>-1.6322467185165028</v>
      </c>
      <c r="G302" s="37">
        <v>-1.038391575754247</v>
      </c>
      <c r="H302" s="37">
        <v>0.946975361550898</v>
      </c>
      <c r="I302" s="37">
        <v>-1.72461069241107</v>
      </c>
      <c r="J302" s="37">
        <v>-0.16952108464970286</v>
      </c>
      <c r="K302" s="37">
        <v>-2.0731298984085367</v>
      </c>
      <c r="L302" s="37">
        <v>0.0</v>
      </c>
      <c r="M302" s="37">
        <v>-0.304168250910804</v>
      </c>
      <c r="N302" s="37">
        <v>1.7685630485153576</v>
      </c>
      <c r="O302" s="34" t="s">
        <v>69</v>
      </c>
      <c r="P302" s="34" t="s">
        <v>69</v>
      </c>
      <c r="Q302" s="34" t="s">
        <v>69</v>
      </c>
      <c r="R302" s="34" t="s">
        <v>69</v>
      </c>
    </row>
    <row r="303">
      <c r="A303" s="27" t="s">
        <v>342</v>
      </c>
      <c r="B303" s="29">
        <v>71.0</v>
      </c>
      <c r="C303" s="31">
        <v>23.0</v>
      </c>
      <c r="D303" s="31">
        <v>6.0</v>
      </c>
      <c r="E303" s="32">
        <v>-2.330034630892758</v>
      </c>
      <c r="F303" s="32">
        <v>-1.7668042530592618</v>
      </c>
      <c r="G303" s="32">
        <v>-0.5251990259941328</v>
      </c>
      <c r="H303" s="32">
        <v>0.45671278546001337</v>
      </c>
      <c r="I303" s="32">
        <v>-1.72461069241107</v>
      </c>
      <c r="J303" s="32">
        <v>-0.16952108464970286</v>
      </c>
      <c r="K303" s="32">
        <v>-2.549604483551155</v>
      </c>
      <c r="L303" s="32">
        <v>0.0</v>
      </c>
      <c r="M303" s="32">
        <v>1.7690113318786005</v>
      </c>
      <c r="N303" s="32">
        <v>0.49103020178544493</v>
      </c>
      <c r="O303" s="34" t="s">
        <v>69</v>
      </c>
      <c r="P303" s="34" t="s">
        <v>69</v>
      </c>
      <c r="Q303" s="34" t="s">
        <v>69</v>
      </c>
      <c r="R303" s="34" t="s">
        <v>69</v>
      </c>
    </row>
    <row r="304">
      <c r="A304" s="27" t="s">
        <v>343</v>
      </c>
      <c r="B304" s="35">
        <v>80.5</v>
      </c>
      <c r="C304" s="36">
        <v>33.0</v>
      </c>
      <c r="D304" s="36">
        <v>6.0</v>
      </c>
      <c r="E304" s="37">
        <v>-0.582003520640025</v>
      </c>
      <c r="F304" s="37">
        <v>-1.133455857711449</v>
      </c>
      <c r="G304" s="37">
        <v>-3.0761230606103633</v>
      </c>
      <c r="H304" s="37">
        <v>-1.2856288968702274</v>
      </c>
      <c r="I304" s="37">
        <v>-0.44111844876981776</v>
      </c>
      <c r="J304" s="37">
        <v>-0.16952108464970286</v>
      </c>
      <c r="K304" s="37">
        <v>-0.58176444691214</v>
      </c>
      <c r="L304" s="37">
        <v>0.0</v>
      </c>
      <c r="M304" s="37">
        <v>1.3653238644023806</v>
      </c>
      <c r="N304" s="37">
        <v>-0.4644472176354625</v>
      </c>
      <c r="O304" s="34" t="s">
        <v>69</v>
      </c>
      <c r="P304" s="34" t="s">
        <v>69</v>
      </c>
      <c r="Q304" s="34" t="s">
        <v>69</v>
      </c>
      <c r="R304" s="34" t="s">
        <v>69</v>
      </c>
    </row>
    <row r="305">
      <c r="A305" s="27" t="s">
        <v>344</v>
      </c>
      <c r="B305" s="29">
        <v>82.74058823529411</v>
      </c>
      <c r="C305" s="31">
        <v>26.0</v>
      </c>
      <c r="D305" s="31">
        <v>6.0</v>
      </c>
      <c r="E305" s="32">
        <v>0.11576622609514217</v>
      </c>
      <c r="F305" s="32">
        <v>-0.11037076708121374</v>
      </c>
      <c r="G305" s="32">
        <v>-2.7031060220860383</v>
      </c>
      <c r="H305" s="32">
        <v>-1.5933425243791295</v>
      </c>
      <c r="I305" s="32">
        <v>-0.1283705552801101</v>
      </c>
      <c r="J305" s="32">
        <v>-0.6658703835687689</v>
      </c>
      <c r="K305" s="32">
        <v>-0.2672975811441681</v>
      </c>
      <c r="L305" s="32">
        <v>1.4701840614065929</v>
      </c>
      <c r="M305" s="32">
        <v>-1.8537894568353217</v>
      </c>
      <c r="N305" s="32">
        <v>-0.6365865882424729</v>
      </c>
      <c r="O305" s="34" t="s">
        <v>69</v>
      </c>
      <c r="P305" s="34" t="s">
        <v>69</v>
      </c>
      <c r="Q305" s="34" t="s">
        <v>69</v>
      </c>
      <c r="R305" s="34" t="s">
        <v>69</v>
      </c>
    </row>
    <row r="306">
      <c r="A306" s="27" t="s">
        <v>345</v>
      </c>
      <c r="B306" s="35">
        <v>78.90205882352942</v>
      </c>
      <c r="C306" s="36">
        <v>26.0</v>
      </c>
      <c r="D306" s="36">
        <v>5.0</v>
      </c>
      <c r="E306" s="37">
        <v>-0.08761139002429921</v>
      </c>
      <c r="F306" s="37">
        <v>-0.22511218484554818</v>
      </c>
      <c r="G306" s="37">
        <v>-0.9160356830394645</v>
      </c>
      <c r="H306" s="37">
        <v>-1.5172596951326545</v>
      </c>
      <c r="I306" s="37">
        <v>-0.08825787572847102</v>
      </c>
      <c r="J306" s="37">
        <v>-0.7854821573249496</v>
      </c>
      <c r="K306" s="37">
        <v>0.013092817859772607</v>
      </c>
      <c r="L306" s="37">
        <v>0.0</v>
      </c>
      <c r="M306" s="37">
        <v>-1.3460913347476051</v>
      </c>
      <c r="N306" s="37">
        <v>-1.4861277482497022</v>
      </c>
      <c r="O306" s="34" t="s">
        <v>69</v>
      </c>
      <c r="P306" s="34" t="s">
        <v>69</v>
      </c>
      <c r="Q306" s="34" t="s">
        <v>69</v>
      </c>
      <c r="R306" s="34" t="s">
        <v>69</v>
      </c>
    </row>
    <row r="307">
      <c r="A307" s="27" t="s">
        <v>346</v>
      </c>
      <c r="B307" s="29">
        <v>70.75</v>
      </c>
      <c r="C307" s="31">
        <v>23.0</v>
      </c>
      <c r="D307" s="31">
        <v>6.0</v>
      </c>
      <c r="E307" s="32">
        <v>-1.100753760193444</v>
      </c>
      <c r="F307" s="32">
        <v>-1.6510963731399497</v>
      </c>
      <c r="G307" s="32">
        <v>-0.42250629688485963</v>
      </c>
      <c r="H307" s="32">
        <v>-0.39192107587121894</v>
      </c>
      <c r="I307" s="32">
        <v>-1.1412051271195918</v>
      </c>
      <c r="J307" s="32">
        <v>-0.7871777123417198</v>
      </c>
      <c r="K307" s="32">
        <v>-1.7031227378081304</v>
      </c>
      <c r="L307" s="32">
        <v>0.0</v>
      </c>
      <c r="M307" s="32">
        <v>2.241346160575396</v>
      </c>
      <c r="N307" s="32">
        <v>-1.4895091319711269</v>
      </c>
      <c r="O307" s="34" t="s">
        <v>69</v>
      </c>
      <c r="P307" s="34" t="s">
        <v>69</v>
      </c>
      <c r="Q307" s="34" t="s">
        <v>69</v>
      </c>
      <c r="R307" s="34" t="s">
        <v>69</v>
      </c>
    </row>
    <row r="308">
      <c r="A308" s="27" t="s">
        <v>347</v>
      </c>
      <c r="B308" s="35">
        <v>80.89308823529412</v>
      </c>
      <c r="C308" s="36">
        <v>18.0</v>
      </c>
      <c r="D308" s="36">
        <v>6.0</v>
      </c>
      <c r="E308" s="37">
        <v>-0.5007793805106984</v>
      </c>
      <c r="F308" s="37">
        <v>0.6620667140169918</v>
      </c>
      <c r="G308" s="37">
        <v>-1.0758964830486346</v>
      </c>
      <c r="H308" s="37">
        <v>-1.2265581940618524</v>
      </c>
      <c r="I308" s="37">
        <v>0.051582042843888835</v>
      </c>
      <c r="J308" s="37">
        <v>-0.7845029949699509</v>
      </c>
      <c r="K308" s="37">
        <v>0.4319270943341803</v>
      </c>
      <c r="L308" s="37">
        <v>0.0</v>
      </c>
      <c r="M308" s="37">
        <v>-2.055708512197195</v>
      </c>
      <c r="N308" s="37">
        <v>-1.994023409108403</v>
      </c>
      <c r="O308" s="34" t="s">
        <v>69</v>
      </c>
      <c r="P308" s="34" t="s">
        <v>69</v>
      </c>
      <c r="Q308" s="34" t="s">
        <v>69</v>
      </c>
      <c r="R308" s="34" t="s">
        <v>69</v>
      </c>
    </row>
    <row r="309">
      <c r="A309" s="27" t="s">
        <v>348</v>
      </c>
      <c r="B309" s="29">
        <v>76.78323529411765</v>
      </c>
      <c r="C309" s="31">
        <v>28.0</v>
      </c>
      <c r="D309" s="31">
        <v>7.0</v>
      </c>
      <c r="E309" s="32">
        <v>-1.7553569368410318</v>
      </c>
      <c r="F309" s="32">
        <v>-0.7729207857475302</v>
      </c>
      <c r="G309" s="32">
        <v>0.11947985540997198</v>
      </c>
      <c r="H309" s="32">
        <v>-0.1484237903476972</v>
      </c>
      <c r="I309" s="32">
        <v>-0.9600226318474316</v>
      </c>
      <c r="J309" s="32">
        <v>-0.3583929423899625</v>
      </c>
      <c r="K309" s="32">
        <v>-1.373521238048045</v>
      </c>
      <c r="L309" s="32">
        <v>0.0</v>
      </c>
      <c r="M309" s="32">
        <v>-1.4052497214539839</v>
      </c>
      <c r="N309" s="32">
        <v>0.15060110796848442</v>
      </c>
      <c r="O309" s="34" t="s">
        <v>69</v>
      </c>
      <c r="P309" s="34" t="s">
        <v>69</v>
      </c>
      <c r="Q309" s="34" t="s">
        <v>69</v>
      </c>
      <c r="R309" s="34" t="s">
        <v>69</v>
      </c>
    </row>
    <row r="310">
      <c r="A310" s="27" t="s">
        <v>349</v>
      </c>
      <c r="B310" s="35">
        <v>81.391</v>
      </c>
      <c r="C310" s="36">
        <v>28.0</v>
      </c>
      <c r="D310" s="36">
        <v>7.0</v>
      </c>
      <c r="E310" s="37">
        <v>-0.1418929633429592</v>
      </c>
      <c r="F310" s="37">
        <v>-0.833515320448183</v>
      </c>
      <c r="G310" s="37">
        <v>-1.3343464981834656</v>
      </c>
      <c r="H310" s="37">
        <v>-1.5486570370501465</v>
      </c>
      <c r="I310" s="37">
        <v>-0.4785190360769676</v>
      </c>
      <c r="J310" s="37">
        <v>0.37118670179477586</v>
      </c>
      <c r="K310" s="37">
        <v>-0.11226436404374651</v>
      </c>
      <c r="L310" s="37">
        <v>0.3582460887072574</v>
      </c>
      <c r="M310" s="37">
        <v>-1.9153533287431606</v>
      </c>
      <c r="N310" s="37">
        <v>-0.8807767636556041</v>
      </c>
      <c r="O310" s="34" t="s">
        <v>69</v>
      </c>
      <c r="P310" s="34" t="s">
        <v>69</v>
      </c>
      <c r="Q310" s="34" t="s">
        <v>69</v>
      </c>
      <c r="R310" s="34" t="s">
        <v>69</v>
      </c>
    </row>
    <row r="311">
      <c r="A311" s="27" t="s">
        <v>350</v>
      </c>
      <c r="B311" s="29">
        <v>79.90735294117647</v>
      </c>
      <c r="C311" s="31">
        <v>29.0</v>
      </c>
      <c r="D311" s="31">
        <v>6.0</v>
      </c>
      <c r="E311" s="32">
        <v>-0.6010114284503327</v>
      </c>
      <c r="F311" s="32">
        <v>-0.47864231920381795</v>
      </c>
      <c r="G311" s="32">
        <v>-0.7441263840561335</v>
      </c>
      <c r="H311" s="32">
        <v>-1.4790551624196997</v>
      </c>
      <c r="I311" s="32">
        <v>-1.0416957797992346</v>
      </c>
      <c r="J311" s="32">
        <v>-0.2985346351771294</v>
      </c>
      <c r="K311" s="32">
        <v>-0.7691082894138394</v>
      </c>
      <c r="L311" s="32">
        <v>1.5806611458877362</v>
      </c>
      <c r="M311" s="32">
        <v>-1.7961276577199152</v>
      </c>
      <c r="N311" s="32">
        <v>-0.8895194674433924</v>
      </c>
      <c r="O311" s="34" t="s">
        <v>69</v>
      </c>
      <c r="P311" s="34" t="s">
        <v>69</v>
      </c>
      <c r="Q311" s="34" t="s">
        <v>69</v>
      </c>
      <c r="R311" s="34" t="s">
        <v>69</v>
      </c>
    </row>
    <row r="312">
      <c r="A312" s="27" t="s">
        <v>351</v>
      </c>
      <c r="B312" s="35">
        <v>78.29617647058824</v>
      </c>
      <c r="C312" s="36">
        <v>18.0</v>
      </c>
      <c r="D312" s="36">
        <v>6.0</v>
      </c>
      <c r="E312" s="37">
        <v>-0.6701676459669793</v>
      </c>
      <c r="F312" s="37">
        <v>-1.1804775784711343</v>
      </c>
      <c r="G312" s="37">
        <v>-0.6671548996674452</v>
      </c>
      <c r="H312" s="37">
        <v>-1.2770414734134579</v>
      </c>
      <c r="I312" s="37">
        <v>-1.2645081281205677</v>
      </c>
      <c r="J312" s="37">
        <v>-0.7327337496336034</v>
      </c>
      <c r="K312" s="37">
        <v>-0.1469449137888189</v>
      </c>
      <c r="L312" s="37">
        <v>0.0</v>
      </c>
      <c r="M312" s="37">
        <v>0.8955486328246591</v>
      </c>
      <c r="N312" s="37">
        <v>-1.4769839149788588</v>
      </c>
      <c r="O312" s="34" t="s">
        <v>69</v>
      </c>
      <c r="P312" s="34" t="s">
        <v>69</v>
      </c>
      <c r="Q312" s="34" t="s">
        <v>69</v>
      </c>
      <c r="R312" s="34" t="s">
        <v>69</v>
      </c>
    </row>
    <row r="313">
      <c r="A313" s="27" t="s">
        <v>352</v>
      </c>
      <c r="B313" s="29">
        <v>75.69573529411764</v>
      </c>
      <c r="C313" s="31">
        <v>25.0</v>
      </c>
      <c r="D313" s="31">
        <v>6.0</v>
      </c>
      <c r="E313" s="32">
        <v>0.021400896626553745</v>
      </c>
      <c r="F313" s="32">
        <v>-0.5740573325151915</v>
      </c>
      <c r="G313" s="32">
        <v>-1.2375851350978713</v>
      </c>
      <c r="H313" s="32">
        <v>-0.45373086165405613</v>
      </c>
      <c r="I313" s="32">
        <v>0.12032340578826982</v>
      </c>
      <c r="J313" s="32">
        <v>-0.7861557578302921</v>
      </c>
      <c r="K313" s="32">
        <v>-0.5413462073399651</v>
      </c>
      <c r="L313" s="32">
        <v>0.0</v>
      </c>
      <c r="M313" s="32">
        <v>-1.1260382939494886</v>
      </c>
      <c r="N313" s="32">
        <v>-1.9898346298351428</v>
      </c>
      <c r="O313" s="34" t="s">
        <v>69</v>
      </c>
      <c r="P313" s="34" t="s">
        <v>69</v>
      </c>
      <c r="Q313" s="34" t="s">
        <v>69</v>
      </c>
      <c r="R313" s="34" t="s">
        <v>69</v>
      </c>
    </row>
    <row r="314">
      <c r="A314" s="27" t="s">
        <v>353</v>
      </c>
      <c r="B314" s="35">
        <v>78.54661764705882</v>
      </c>
      <c r="C314" s="36">
        <v>26.0</v>
      </c>
      <c r="D314" s="36">
        <v>6.0</v>
      </c>
      <c r="E314" s="37">
        <v>-1.062863904871968</v>
      </c>
      <c r="F314" s="37">
        <v>-0.6390213681600054</v>
      </c>
      <c r="G314" s="37">
        <v>-4.367222589472796</v>
      </c>
      <c r="H314" s="37">
        <v>0.5534398045521054</v>
      </c>
      <c r="I314" s="37">
        <v>-0.539360391106642</v>
      </c>
      <c r="J314" s="37">
        <v>-0.7709417556107366</v>
      </c>
      <c r="K314" s="37">
        <v>0.8733197357713572</v>
      </c>
      <c r="L314" s="37">
        <v>0.0</v>
      </c>
      <c r="M314" s="37">
        <v>-0.7409902625161335</v>
      </c>
      <c r="N314" s="37">
        <v>0.0994963516441567</v>
      </c>
      <c r="O314" s="34" t="s">
        <v>69</v>
      </c>
      <c r="P314" s="34" t="s">
        <v>69</v>
      </c>
      <c r="Q314" s="34" t="s">
        <v>69</v>
      </c>
      <c r="R314" s="34" t="s">
        <v>69</v>
      </c>
    </row>
    <row r="315">
      <c r="A315" s="27" t="s">
        <v>354</v>
      </c>
      <c r="B315" s="29">
        <v>79.35714285714286</v>
      </c>
      <c r="C315" s="31">
        <v>21.0</v>
      </c>
      <c r="D315" s="31">
        <v>7.0</v>
      </c>
      <c r="E315" s="32">
        <v>-1.6796880102231904</v>
      </c>
      <c r="F315" s="32">
        <v>-1.2888930096832565</v>
      </c>
      <c r="G315" s="32">
        <v>-1.075482490673709</v>
      </c>
      <c r="H315" s="32">
        <v>-1.6082518692706147</v>
      </c>
      <c r="I315" s="32">
        <v>-1.664325450664284</v>
      </c>
      <c r="J315" s="32">
        <v>-0.16952108464970286</v>
      </c>
      <c r="K315" s="32">
        <v>-1.071547460122535</v>
      </c>
      <c r="L315" s="32">
        <v>0.0</v>
      </c>
      <c r="M315" s="32">
        <v>-0.6115444951820375</v>
      </c>
      <c r="N315" s="32">
        <v>2.5736481724753393</v>
      </c>
      <c r="O315" s="34" t="s">
        <v>69</v>
      </c>
      <c r="P315" s="34" t="s">
        <v>69</v>
      </c>
      <c r="Q315" s="34" t="s">
        <v>69</v>
      </c>
      <c r="R315" s="34" t="s">
        <v>69</v>
      </c>
    </row>
    <row r="316">
      <c r="A316" s="27" t="s">
        <v>355</v>
      </c>
      <c r="B316" s="35">
        <v>78.88888888888889</v>
      </c>
      <c r="C316" s="36">
        <v>27.0</v>
      </c>
      <c r="D316" s="36">
        <v>6.0</v>
      </c>
      <c r="E316" s="37">
        <v>-1.583872670161376</v>
      </c>
      <c r="F316" s="37">
        <v>-0.7527250559496588</v>
      </c>
      <c r="G316" s="37">
        <v>-0.026964494099751622</v>
      </c>
      <c r="H316" s="37">
        <v>0.02704224272657701</v>
      </c>
      <c r="I316" s="37">
        <v>-1.0245240140612961</v>
      </c>
      <c r="J316" s="37">
        <v>-0.16952108464970286</v>
      </c>
      <c r="K316" s="37">
        <v>-1.2701698159214505</v>
      </c>
      <c r="L316" s="37">
        <v>0.0</v>
      </c>
      <c r="M316" s="37">
        <v>-1.496462812816236</v>
      </c>
      <c r="N316" s="37">
        <v>-0.305076277669407</v>
      </c>
      <c r="O316" s="34" t="s">
        <v>69</v>
      </c>
      <c r="P316" s="34" t="s">
        <v>69</v>
      </c>
      <c r="Q316" s="34" t="s">
        <v>69</v>
      </c>
      <c r="R316" s="34" t="s">
        <v>69</v>
      </c>
    </row>
    <row r="317">
      <c r="A317" s="27" t="s">
        <v>356</v>
      </c>
      <c r="B317" s="29">
        <v>82.06044117647059</v>
      </c>
      <c r="C317" s="31">
        <v>23.0</v>
      </c>
      <c r="D317" s="31">
        <v>6.0</v>
      </c>
      <c r="E317" s="32">
        <v>0.7847714045448622</v>
      </c>
      <c r="F317" s="32">
        <v>-0.23744232018471412</v>
      </c>
      <c r="G317" s="32">
        <v>-0.9865959457696324</v>
      </c>
      <c r="H317" s="32">
        <v>-1.1522607834890841</v>
      </c>
      <c r="I317" s="32">
        <v>-0.327857216825222</v>
      </c>
      <c r="J317" s="32">
        <v>-0.6381093422986395</v>
      </c>
      <c r="K317" s="32">
        <v>0.27268124381930364</v>
      </c>
      <c r="L317" s="32">
        <v>0.0</v>
      </c>
      <c r="M317" s="32">
        <v>-2.1872932339762023</v>
      </c>
      <c r="N317" s="32">
        <v>-2.131842128284566</v>
      </c>
      <c r="O317" s="34" t="s">
        <v>69</v>
      </c>
      <c r="P317" s="34" t="s">
        <v>69</v>
      </c>
      <c r="Q317" s="34" t="s">
        <v>69</v>
      </c>
      <c r="R317" s="34" t="s">
        <v>69</v>
      </c>
    </row>
    <row r="318">
      <c r="A318" s="27" t="s">
        <v>357</v>
      </c>
      <c r="B318" s="35">
        <v>78.20044117647059</v>
      </c>
      <c r="C318" s="36">
        <v>26.0</v>
      </c>
      <c r="D318" s="36">
        <v>6.0</v>
      </c>
      <c r="E318" s="37">
        <v>-1.1619850258043294</v>
      </c>
      <c r="F318" s="37">
        <v>0.2171868907547547</v>
      </c>
      <c r="G318" s="37">
        <v>-3.640348455541733</v>
      </c>
      <c r="H318" s="37">
        <v>0.3789449066702764</v>
      </c>
      <c r="I318" s="37">
        <v>0.45348104461722993</v>
      </c>
      <c r="J318" s="37">
        <v>-0.7745638791724389</v>
      </c>
      <c r="K318" s="37">
        <v>-0.04185562685878306</v>
      </c>
      <c r="L318" s="37">
        <v>0.0</v>
      </c>
      <c r="M318" s="37">
        <v>-1.9655665938621734</v>
      </c>
      <c r="N318" s="37">
        <v>-0.07995949096737798</v>
      </c>
      <c r="O318" s="34" t="s">
        <v>69</v>
      </c>
      <c r="P318" s="34" t="s">
        <v>69</v>
      </c>
      <c r="Q318" s="34" t="s">
        <v>69</v>
      </c>
      <c r="R318" s="34" t="s">
        <v>69</v>
      </c>
    </row>
    <row r="319">
      <c r="A319" s="27" t="s">
        <v>358</v>
      </c>
      <c r="B319" s="29">
        <v>71.94279411764705</v>
      </c>
      <c r="C319" s="31">
        <v>25.0</v>
      </c>
      <c r="D319" s="31">
        <v>6.0</v>
      </c>
      <c r="E319" s="32">
        <v>0.10385702881837056</v>
      </c>
      <c r="F319" s="32">
        <v>-0.45700157447472534</v>
      </c>
      <c r="G319" s="32">
        <v>0.7207913062322561</v>
      </c>
      <c r="H319" s="32">
        <v>-1.7863304870768704</v>
      </c>
      <c r="I319" s="32">
        <v>-0.6245263726258605</v>
      </c>
      <c r="J319" s="32">
        <v>-0.720675108434122</v>
      </c>
      <c r="K319" s="32">
        <v>-0.6872679843739364</v>
      </c>
      <c r="L319" s="32">
        <v>0.4741260745369879</v>
      </c>
      <c r="M319" s="32">
        <v>-1.5824984647420945</v>
      </c>
      <c r="N319" s="32">
        <v>-2.0552662004178517</v>
      </c>
      <c r="O319" s="34" t="s">
        <v>69</v>
      </c>
      <c r="P319" s="34" t="s">
        <v>69</v>
      </c>
      <c r="Q319" s="34" t="s">
        <v>69</v>
      </c>
      <c r="R319" s="34" t="s">
        <v>69</v>
      </c>
    </row>
    <row r="320">
      <c r="A320" s="27" t="s">
        <v>359</v>
      </c>
      <c r="B320" s="35">
        <v>79.961</v>
      </c>
      <c r="C320" s="36">
        <v>23.0</v>
      </c>
      <c r="D320" s="36">
        <v>6.0</v>
      </c>
      <c r="E320" s="37">
        <v>-0.5515442741679246</v>
      </c>
      <c r="F320" s="37">
        <v>-1.0997205374803096</v>
      </c>
      <c r="G320" s="37">
        <v>-0.6023520298241161</v>
      </c>
      <c r="H320" s="37">
        <v>-1.591038325579762</v>
      </c>
      <c r="I320" s="37">
        <v>-1.2243365449848538</v>
      </c>
      <c r="J320" s="37">
        <v>-0.19630179078262672</v>
      </c>
      <c r="K320" s="37">
        <v>-1.0535461273149334</v>
      </c>
      <c r="L320" s="37">
        <v>0.6899847765332899</v>
      </c>
      <c r="M320" s="37">
        <v>0.37572965116516965</v>
      </c>
      <c r="N320" s="37">
        <v>-1.3853732109767967</v>
      </c>
      <c r="O320" s="34" t="s">
        <v>69</v>
      </c>
      <c r="P320" s="34" t="s">
        <v>69</v>
      </c>
      <c r="Q320" s="34" t="s">
        <v>69</v>
      </c>
      <c r="R320" s="34" t="s">
        <v>69</v>
      </c>
    </row>
    <row r="321">
      <c r="A321" s="27" t="s">
        <v>360</v>
      </c>
      <c r="B321" s="29">
        <v>79.25661764705882</v>
      </c>
      <c r="C321" s="31">
        <v>23.0</v>
      </c>
      <c r="D321" s="31">
        <v>7.0</v>
      </c>
      <c r="E321" s="32">
        <v>-0.3344953039879067</v>
      </c>
      <c r="F321" s="32">
        <v>-0.36587699539721596</v>
      </c>
      <c r="G321" s="32">
        <v>-0.1386022674919105</v>
      </c>
      <c r="H321" s="32">
        <v>-0.517330754498534</v>
      </c>
      <c r="I321" s="32">
        <v>-0.7182843505715908</v>
      </c>
      <c r="J321" s="32">
        <v>-0.784065724443486</v>
      </c>
      <c r="K321" s="32">
        <v>-0.5262760809474717</v>
      </c>
      <c r="L321" s="32">
        <v>0.0</v>
      </c>
      <c r="M321" s="32">
        <v>-1.5895946749908958</v>
      </c>
      <c r="N321" s="32">
        <v>-1.664985917611589</v>
      </c>
      <c r="O321" s="34" t="s">
        <v>69</v>
      </c>
      <c r="P321" s="34" t="s">
        <v>69</v>
      </c>
      <c r="Q321" s="34" t="s">
        <v>69</v>
      </c>
      <c r="R321" s="34" t="s">
        <v>69</v>
      </c>
    </row>
    <row r="322">
      <c r="A322" s="27" t="s">
        <v>361</v>
      </c>
      <c r="B322" s="35">
        <v>31.0</v>
      </c>
      <c r="C322" s="36">
        <v>33.0</v>
      </c>
      <c r="D322" s="36">
        <v>8.0</v>
      </c>
      <c r="E322" s="37" t="s">
        <v>69</v>
      </c>
      <c r="F322" s="37" t="s">
        <v>69</v>
      </c>
      <c r="G322" s="37" t="s">
        <v>69</v>
      </c>
      <c r="H322" s="37" t="s">
        <v>69</v>
      </c>
      <c r="I322" s="37" t="s">
        <v>69</v>
      </c>
      <c r="J322" s="37" t="s">
        <v>69</v>
      </c>
      <c r="K322" s="37" t="s">
        <v>69</v>
      </c>
      <c r="L322" s="37" t="s">
        <v>69</v>
      </c>
      <c r="M322" s="37" t="s">
        <v>69</v>
      </c>
      <c r="N322" s="37" t="s">
        <v>69</v>
      </c>
      <c r="O322" s="34">
        <v>-1.9885588924347912</v>
      </c>
      <c r="P322" s="34">
        <v>-2.3787151327057514</v>
      </c>
      <c r="Q322" s="34">
        <v>-2.2782129944098126</v>
      </c>
      <c r="R322" s="34">
        <v>0.0</v>
      </c>
    </row>
    <row r="323">
      <c r="A323" s="27" t="s">
        <v>362</v>
      </c>
      <c r="B323" s="29">
        <v>77.84160714285714</v>
      </c>
      <c r="C323" s="31">
        <v>23.0</v>
      </c>
      <c r="D323" s="31">
        <v>6.0</v>
      </c>
      <c r="E323" s="32">
        <v>-1.658720113581405</v>
      </c>
      <c r="F323" s="32">
        <v>-0.6329069081588266</v>
      </c>
      <c r="G323" s="32">
        <v>0.37058983786977934</v>
      </c>
      <c r="H323" s="32">
        <v>0.20034685415251136</v>
      </c>
      <c r="I323" s="32">
        <v>-1.2778775727621903</v>
      </c>
      <c r="J323" s="32">
        <v>-0.7378966525609921</v>
      </c>
      <c r="K323" s="32">
        <v>-1.5246875965340592</v>
      </c>
      <c r="L323" s="32">
        <v>0.0</v>
      </c>
      <c r="M323" s="32">
        <v>-1.712227621651925</v>
      </c>
      <c r="N323" s="32">
        <v>0.31658372327069945</v>
      </c>
      <c r="O323" s="34" t="s">
        <v>69</v>
      </c>
      <c r="P323" s="34" t="s">
        <v>69</v>
      </c>
      <c r="Q323" s="34" t="s">
        <v>69</v>
      </c>
      <c r="R323" s="34" t="s">
        <v>69</v>
      </c>
    </row>
    <row r="324">
      <c r="A324" s="27" t="s">
        <v>363</v>
      </c>
      <c r="B324" s="35">
        <v>78.42857142857143</v>
      </c>
      <c r="C324" s="36">
        <v>29.0</v>
      </c>
      <c r="D324" s="36">
        <v>6.0</v>
      </c>
      <c r="E324" s="37">
        <v>-2.2366146743324893</v>
      </c>
      <c r="F324" s="37">
        <v>-1.834083020330641</v>
      </c>
      <c r="G324" s="37">
        <v>-0.3110427625965703</v>
      </c>
      <c r="H324" s="37">
        <v>-0.17210225778699081</v>
      </c>
      <c r="I324" s="37">
        <v>-1.72461069241107</v>
      </c>
      <c r="J324" s="37">
        <v>-0.16952108464970286</v>
      </c>
      <c r="K324" s="37">
        <v>-1.8877977149461664</v>
      </c>
      <c r="L324" s="37">
        <v>0.0</v>
      </c>
      <c r="M324" s="37">
        <v>-0.36095967128091794</v>
      </c>
      <c r="N324" s="37">
        <v>2.024240639661438</v>
      </c>
      <c r="O324" s="34" t="s">
        <v>69</v>
      </c>
      <c r="P324" s="34" t="s">
        <v>69</v>
      </c>
      <c r="Q324" s="34" t="s">
        <v>69</v>
      </c>
      <c r="R324" s="34" t="s">
        <v>69</v>
      </c>
    </row>
    <row r="325">
      <c r="A325" s="27" t="s">
        <v>364</v>
      </c>
      <c r="B325" s="29">
        <v>79.65455882352941</v>
      </c>
      <c r="C325" s="31">
        <v>27.0</v>
      </c>
      <c r="D325" s="31">
        <v>6.0</v>
      </c>
      <c r="E325" s="32">
        <v>-1.6963394986585303</v>
      </c>
      <c r="F325" s="32">
        <v>0.6407586630212714</v>
      </c>
      <c r="G325" s="32">
        <v>-4.085695212973579</v>
      </c>
      <c r="H325" s="32">
        <v>-0.4474546526463296</v>
      </c>
      <c r="I325" s="32">
        <v>0.07175733027447559</v>
      </c>
      <c r="J325" s="32">
        <v>-0.43707059491055716</v>
      </c>
      <c r="K325" s="32">
        <v>-0.807967529937075</v>
      </c>
      <c r="L325" s="32">
        <v>0.0</v>
      </c>
      <c r="M325" s="32">
        <v>-0.21150120916920287</v>
      </c>
      <c r="N325" s="32">
        <v>0.2989162120716822</v>
      </c>
      <c r="O325" s="34" t="s">
        <v>69</v>
      </c>
      <c r="P325" s="34" t="s">
        <v>69</v>
      </c>
      <c r="Q325" s="34" t="s">
        <v>69</v>
      </c>
      <c r="R325" s="34" t="s">
        <v>69</v>
      </c>
    </row>
    <row r="326">
      <c r="A326" s="27" t="s">
        <v>365</v>
      </c>
      <c r="B326" s="35">
        <v>81.69382352941177</v>
      </c>
      <c r="C326" s="36">
        <v>29.0</v>
      </c>
      <c r="D326" s="36">
        <v>7.0</v>
      </c>
      <c r="E326" s="37">
        <v>-0.6958965001359493</v>
      </c>
      <c r="F326" s="37">
        <v>-1.31200941454794</v>
      </c>
      <c r="G326" s="37">
        <v>-1.9834542959966097</v>
      </c>
      <c r="H326" s="37">
        <v>-0.82705595064829</v>
      </c>
      <c r="I326" s="37">
        <v>-1.2104808308099537</v>
      </c>
      <c r="J326" s="37">
        <v>-0.2634143892522558</v>
      </c>
      <c r="K326" s="37">
        <v>-0.45869029128370636</v>
      </c>
      <c r="L326" s="37">
        <v>0.15038827475530445</v>
      </c>
      <c r="M326" s="37">
        <v>1.028865315995502</v>
      </c>
      <c r="N326" s="37">
        <v>-1.1271003658309549</v>
      </c>
      <c r="O326" s="34" t="s">
        <v>69</v>
      </c>
      <c r="P326" s="34" t="s">
        <v>69</v>
      </c>
      <c r="Q326" s="34" t="s">
        <v>69</v>
      </c>
      <c r="R326" s="34" t="s">
        <v>69</v>
      </c>
    </row>
    <row r="327">
      <c r="A327" s="27" t="s">
        <v>366</v>
      </c>
      <c r="B327" s="29">
        <v>83.5935294117647</v>
      </c>
      <c r="C327" s="31">
        <v>23.0</v>
      </c>
      <c r="D327" s="31">
        <v>6.0</v>
      </c>
      <c r="E327" s="32">
        <v>-1.7472091904578722</v>
      </c>
      <c r="F327" s="32">
        <v>-0.6893465741784995</v>
      </c>
      <c r="G327" s="32">
        <v>-0.48691507963750624</v>
      </c>
      <c r="H327" s="32">
        <v>-0.9925583067809564</v>
      </c>
      <c r="I327" s="32">
        <v>-1.2068116503801434</v>
      </c>
      <c r="J327" s="32">
        <v>-0.2026196833365029</v>
      </c>
      <c r="K327" s="32">
        <v>-0.8755436925574976</v>
      </c>
      <c r="L327" s="32">
        <v>0.0</v>
      </c>
      <c r="M327" s="32">
        <v>-1.914712556877132</v>
      </c>
      <c r="N327" s="32">
        <v>1.408471683336316</v>
      </c>
      <c r="O327" s="34" t="s">
        <v>69</v>
      </c>
      <c r="P327" s="34" t="s">
        <v>69</v>
      </c>
      <c r="Q327" s="34" t="s">
        <v>69</v>
      </c>
      <c r="R327" s="34" t="s">
        <v>69</v>
      </c>
    </row>
    <row r="328">
      <c r="A328" s="27" t="s">
        <v>367</v>
      </c>
      <c r="B328" s="35">
        <v>37.5</v>
      </c>
      <c r="C328" s="36">
        <v>21.0</v>
      </c>
      <c r="D328" s="36">
        <v>7.0</v>
      </c>
      <c r="E328" s="37" t="s">
        <v>69</v>
      </c>
      <c r="F328" s="37" t="s">
        <v>69</v>
      </c>
      <c r="G328" s="37" t="s">
        <v>69</v>
      </c>
      <c r="H328" s="37" t="s">
        <v>69</v>
      </c>
      <c r="I328" s="37" t="s">
        <v>69</v>
      </c>
      <c r="J328" s="37" t="s">
        <v>69</v>
      </c>
      <c r="K328" s="37" t="s">
        <v>69</v>
      </c>
      <c r="L328" s="37" t="s">
        <v>69</v>
      </c>
      <c r="M328" s="37" t="s">
        <v>69</v>
      </c>
      <c r="N328" s="37" t="s">
        <v>69</v>
      </c>
      <c r="O328" s="34">
        <v>-1.5535455474686408</v>
      </c>
      <c r="P328" s="34">
        <v>-2.5621575757635786</v>
      </c>
      <c r="Q328" s="34">
        <v>-2.6159937992636086</v>
      </c>
      <c r="R328" s="34">
        <v>0.0</v>
      </c>
    </row>
    <row r="329">
      <c r="A329" s="27" t="s">
        <v>368</v>
      </c>
      <c r="B329" s="29">
        <v>78.42857142857143</v>
      </c>
      <c r="C329" s="31">
        <v>29.0</v>
      </c>
      <c r="D329" s="31">
        <v>7.0</v>
      </c>
      <c r="E329" s="32">
        <v>-1.0760513678337575</v>
      </c>
      <c r="F329" s="32">
        <v>-1.9292012775074185</v>
      </c>
      <c r="G329" s="32">
        <v>-1.389932659002815</v>
      </c>
      <c r="H329" s="32">
        <v>1.7996059286654802</v>
      </c>
      <c r="I329" s="32">
        <v>-1.6966072252770792</v>
      </c>
      <c r="J329" s="32">
        <v>0.44813554304231407</v>
      </c>
      <c r="K329" s="32">
        <v>-1.6912930239701067</v>
      </c>
      <c r="L329" s="32">
        <v>0.0</v>
      </c>
      <c r="M329" s="32">
        <v>0.17416773303128652</v>
      </c>
      <c r="N329" s="32">
        <v>-1.3765278552815756</v>
      </c>
      <c r="O329" s="34" t="s">
        <v>69</v>
      </c>
      <c r="P329" s="34" t="s">
        <v>69</v>
      </c>
      <c r="Q329" s="34" t="s">
        <v>69</v>
      </c>
      <c r="R329" s="34" t="s">
        <v>69</v>
      </c>
    </row>
    <row r="330">
      <c r="A330" s="27" t="s">
        <v>369</v>
      </c>
      <c r="B330" s="35">
        <v>80.36705882352942</v>
      </c>
      <c r="C330" s="36">
        <v>25.0</v>
      </c>
      <c r="D330" s="36">
        <v>6.0</v>
      </c>
      <c r="E330" s="37">
        <v>-0.12063703869248214</v>
      </c>
      <c r="F330" s="37">
        <v>-1.6340185896702335</v>
      </c>
      <c r="G330" s="37">
        <v>-2.395942389385475</v>
      </c>
      <c r="H330" s="37">
        <v>-1.4760158738506994</v>
      </c>
      <c r="I330" s="37">
        <v>-1.097694322866291</v>
      </c>
      <c r="J330" s="37">
        <v>-0.7042809343948022</v>
      </c>
      <c r="K330" s="37">
        <v>-0.32233362563136</v>
      </c>
      <c r="L330" s="37">
        <v>0.0</v>
      </c>
      <c r="M330" s="37">
        <v>2.2283687462190707</v>
      </c>
      <c r="N330" s="37">
        <v>-1.2287201725945716</v>
      </c>
      <c r="O330" s="34" t="s">
        <v>69</v>
      </c>
      <c r="P330" s="34" t="s">
        <v>69</v>
      </c>
      <c r="Q330" s="34" t="s">
        <v>69</v>
      </c>
      <c r="R330" s="34" t="s">
        <v>69</v>
      </c>
    </row>
    <row r="331">
      <c r="A331" s="27" t="s">
        <v>370</v>
      </c>
      <c r="B331" s="29">
        <v>80.89985294117648</v>
      </c>
      <c r="C331" s="31">
        <v>25.0</v>
      </c>
      <c r="D331" s="31">
        <v>7.0</v>
      </c>
      <c r="E331" s="32">
        <v>-1.8226189386956113</v>
      </c>
      <c r="F331" s="32">
        <v>-0.6058124189311292</v>
      </c>
      <c r="G331" s="32">
        <v>-0.8915359907819429</v>
      </c>
      <c r="H331" s="32">
        <v>0.739329800709024</v>
      </c>
      <c r="I331" s="32">
        <v>-0.925488817975919</v>
      </c>
      <c r="J331" s="32">
        <v>-0.7673583555621418</v>
      </c>
      <c r="K331" s="32">
        <v>-1.2423677874931611</v>
      </c>
      <c r="L331" s="32">
        <v>0.0</v>
      </c>
      <c r="M331" s="32">
        <v>-0.8209758264933679</v>
      </c>
      <c r="N331" s="32">
        <v>-0.4334141725041234</v>
      </c>
      <c r="O331" s="34" t="s">
        <v>69</v>
      </c>
      <c r="P331" s="34" t="s">
        <v>69</v>
      </c>
      <c r="Q331" s="34" t="s">
        <v>69</v>
      </c>
      <c r="R331" s="34" t="s">
        <v>69</v>
      </c>
    </row>
    <row r="332">
      <c r="A332" s="27" t="s">
        <v>371</v>
      </c>
      <c r="B332" s="35">
        <v>82.87183333333333</v>
      </c>
      <c r="C332" s="36">
        <v>25.0</v>
      </c>
      <c r="D332" s="36">
        <v>6.0</v>
      </c>
      <c r="E332" s="37">
        <v>-1.313171334839465</v>
      </c>
      <c r="F332" s="37">
        <v>-0.8929714504402853</v>
      </c>
      <c r="G332" s="37">
        <v>-0.589852915405457</v>
      </c>
      <c r="H332" s="37">
        <v>0.8568807003580463</v>
      </c>
      <c r="I332" s="37">
        <v>-1.5736272465958705</v>
      </c>
      <c r="J332" s="37">
        <v>-0.6360915887039947</v>
      </c>
      <c r="K332" s="37">
        <v>-1.8036072329311506</v>
      </c>
      <c r="L332" s="37">
        <v>0.1022108985603818</v>
      </c>
      <c r="M332" s="37">
        <v>0.7057065959269748</v>
      </c>
      <c r="N332" s="37">
        <v>-1.6307280767183174</v>
      </c>
      <c r="O332" s="34" t="s">
        <v>69</v>
      </c>
      <c r="P332" s="34" t="s">
        <v>69</v>
      </c>
      <c r="Q332" s="34" t="s">
        <v>69</v>
      </c>
      <c r="R332" s="34" t="s">
        <v>69</v>
      </c>
    </row>
    <row r="333">
      <c r="A333" s="27" t="s">
        <v>372</v>
      </c>
      <c r="B333" s="29">
        <v>78.32397058823528</v>
      </c>
      <c r="C333" s="31">
        <v>31.0</v>
      </c>
      <c r="D333" s="31">
        <v>7.0</v>
      </c>
      <c r="E333" s="32">
        <v>0.04814185648544024</v>
      </c>
      <c r="F333" s="32">
        <v>-0.23852996590119613</v>
      </c>
      <c r="G333" s="32">
        <v>-3.858819953518596</v>
      </c>
      <c r="H333" s="32">
        <v>-0.8729483325792052</v>
      </c>
      <c r="I333" s="32">
        <v>-0.13105390881801207</v>
      </c>
      <c r="J333" s="32">
        <v>0.19444556299767388</v>
      </c>
      <c r="K333" s="32">
        <v>-0.04119401708928735</v>
      </c>
      <c r="L333" s="32">
        <v>0.8758507680886423</v>
      </c>
      <c r="M333" s="32">
        <v>-1.685897929825221</v>
      </c>
      <c r="N333" s="32">
        <v>-1.1029120847720155</v>
      </c>
      <c r="O333" s="34" t="s">
        <v>69</v>
      </c>
      <c r="P333" s="34" t="s">
        <v>69</v>
      </c>
      <c r="Q333" s="34" t="s">
        <v>69</v>
      </c>
      <c r="R333" s="34" t="s">
        <v>69</v>
      </c>
    </row>
    <row r="334">
      <c r="A334" s="27" t="s">
        <v>373</v>
      </c>
      <c r="B334" s="35">
        <v>75.0</v>
      </c>
      <c r="C334" s="36">
        <v>28.0</v>
      </c>
      <c r="D334" s="36">
        <v>6.0</v>
      </c>
      <c r="E334" s="37">
        <v>-2.5312468450225696</v>
      </c>
      <c r="F334" s="37">
        <v>-1.7830439555040773</v>
      </c>
      <c r="G334" s="37" t="s">
        <v>69</v>
      </c>
      <c r="H334" s="37">
        <v>0.3075024362149616</v>
      </c>
      <c r="I334" s="37" t="s">
        <v>69</v>
      </c>
      <c r="J334" s="37" t="s">
        <v>69</v>
      </c>
      <c r="K334" s="37">
        <v>-2.324182714304371</v>
      </c>
      <c r="L334" s="37" t="s">
        <v>69</v>
      </c>
      <c r="M334" s="37">
        <v>-1.0834402149584454</v>
      </c>
      <c r="N334" s="37">
        <v>0.5868024098401641</v>
      </c>
      <c r="O334" s="34" t="s">
        <v>69</v>
      </c>
      <c r="P334" s="34" t="s">
        <v>69</v>
      </c>
      <c r="Q334" s="34" t="s">
        <v>69</v>
      </c>
      <c r="R334" s="34" t="s">
        <v>69</v>
      </c>
    </row>
    <row r="335">
      <c r="A335" s="27" t="s">
        <v>374</v>
      </c>
      <c r="B335" s="29">
        <v>79.73705882352941</v>
      </c>
      <c r="C335" s="31">
        <v>28.0</v>
      </c>
      <c r="D335" s="31">
        <v>7.0</v>
      </c>
      <c r="E335" s="32">
        <v>-1.9215128750300567</v>
      </c>
      <c r="F335" s="32">
        <v>-0.42480708304045695</v>
      </c>
      <c r="G335" s="32">
        <v>-1.7144257339495155</v>
      </c>
      <c r="H335" s="32">
        <v>-0.03350342037220663</v>
      </c>
      <c r="I335" s="32">
        <v>-0.7787372077169493</v>
      </c>
      <c r="J335" s="32">
        <v>-0.7652213296826083</v>
      </c>
      <c r="K335" s="32">
        <v>-1.0773429460224446</v>
      </c>
      <c r="L335" s="32">
        <v>0.0</v>
      </c>
      <c r="M335" s="32">
        <v>-0.5073108127534174</v>
      </c>
      <c r="N335" s="32">
        <v>0.3938991495081969</v>
      </c>
      <c r="O335" s="34" t="s">
        <v>69</v>
      </c>
      <c r="P335" s="34" t="s">
        <v>69</v>
      </c>
      <c r="Q335" s="34" t="s">
        <v>69</v>
      </c>
      <c r="R335" s="34" t="s">
        <v>69</v>
      </c>
    </row>
    <row r="336">
      <c r="A336" s="27" t="s">
        <v>375</v>
      </c>
      <c r="B336" s="35">
        <v>75.14285714285714</v>
      </c>
      <c r="C336" s="36">
        <v>23.0</v>
      </c>
      <c r="D336" s="36">
        <v>6.0</v>
      </c>
      <c r="E336" s="37">
        <v>-1.7012464617370986</v>
      </c>
      <c r="F336" s="37">
        <v>-1.8108834454094755</v>
      </c>
      <c r="G336" s="37">
        <v>-1.5971320737752335</v>
      </c>
      <c r="H336" s="37">
        <v>1.2933565294411973</v>
      </c>
      <c r="I336" s="37">
        <v>-1.6499347800537607</v>
      </c>
      <c r="J336" s="37">
        <v>-0.16952108464970286</v>
      </c>
      <c r="K336" s="37">
        <v>-2.1434509751123434</v>
      </c>
      <c r="L336" s="37">
        <v>0.0</v>
      </c>
      <c r="M336" s="37">
        <v>2.095708368646883</v>
      </c>
      <c r="N336" s="37">
        <v>-1.173867022165786</v>
      </c>
      <c r="O336" s="34" t="s">
        <v>69</v>
      </c>
      <c r="P336" s="34" t="s">
        <v>69</v>
      </c>
      <c r="Q336" s="34" t="s">
        <v>69</v>
      </c>
      <c r="R336" s="34" t="s">
        <v>69</v>
      </c>
    </row>
    <row r="337">
      <c r="A337" s="27" t="s">
        <v>376</v>
      </c>
      <c r="B337" s="29">
        <v>82.14285714285714</v>
      </c>
      <c r="C337" s="31">
        <v>26.0</v>
      </c>
      <c r="D337" s="31">
        <v>5.0</v>
      </c>
      <c r="E337" s="32">
        <v>-2.2905108031172596</v>
      </c>
      <c r="F337" s="32">
        <v>-1.1589753901247308</v>
      </c>
      <c r="G337" s="32">
        <v>0.8166162012076149</v>
      </c>
      <c r="H337" s="32">
        <v>-0.5362465624921767</v>
      </c>
      <c r="I337" s="32">
        <v>-1.6499347800537607</v>
      </c>
      <c r="J337" s="32">
        <v>-0.16952108464970286</v>
      </c>
      <c r="K337" s="32">
        <v>-2.1401649434906704</v>
      </c>
      <c r="L337" s="32">
        <v>0.0</v>
      </c>
      <c r="M337" s="32">
        <v>-0.30124085810822093</v>
      </c>
      <c r="N337" s="32">
        <v>0.5714104478313697</v>
      </c>
      <c r="O337" s="34" t="s">
        <v>69</v>
      </c>
      <c r="P337" s="34" t="s">
        <v>69</v>
      </c>
      <c r="Q337" s="34" t="s">
        <v>69</v>
      </c>
      <c r="R337" s="34" t="s">
        <v>69</v>
      </c>
    </row>
    <row r="338">
      <c r="A338" s="27" t="s">
        <v>377</v>
      </c>
      <c r="B338" s="35">
        <v>34.9</v>
      </c>
      <c r="C338" s="36">
        <v>28.0</v>
      </c>
      <c r="D338" s="36">
        <v>6.0</v>
      </c>
      <c r="E338" s="37" t="s">
        <v>69</v>
      </c>
      <c r="F338" s="37" t="s">
        <v>69</v>
      </c>
      <c r="G338" s="37" t="s">
        <v>69</v>
      </c>
      <c r="H338" s="37" t="s">
        <v>69</v>
      </c>
      <c r="I338" s="37" t="s">
        <v>69</v>
      </c>
      <c r="J338" s="37" t="s">
        <v>69</v>
      </c>
      <c r="K338" s="37" t="s">
        <v>69</v>
      </c>
      <c r="L338" s="37" t="s">
        <v>69</v>
      </c>
      <c r="M338" s="37" t="s">
        <v>69</v>
      </c>
      <c r="N338" s="37" t="s">
        <v>69</v>
      </c>
      <c r="O338" s="34">
        <v>-1.2750826219292128</v>
      </c>
      <c r="P338" s="34">
        <v>-1.048029474333875</v>
      </c>
      <c r="Q338" s="34">
        <v>-4.546169826999713</v>
      </c>
      <c r="R338" s="34">
        <v>0.0</v>
      </c>
    </row>
    <row r="339">
      <c r="A339" s="27" t="s">
        <v>378</v>
      </c>
      <c r="B339" s="29">
        <v>78.88888888888889</v>
      </c>
      <c r="C339" s="31">
        <v>25.0</v>
      </c>
      <c r="D339" s="31">
        <v>6.0</v>
      </c>
      <c r="E339" s="32">
        <v>-1.997475554761543</v>
      </c>
      <c r="F339" s="32">
        <v>-1.858829233579884</v>
      </c>
      <c r="G339" s="32">
        <v>-0.24987548311938396</v>
      </c>
      <c r="H339" s="32">
        <v>0.9526990389690281</v>
      </c>
      <c r="I339" s="32">
        <v>-1.72461069241107</v>
      </c>
      <c r="J339" s="32">
        <v>-0.7871777123417198</v>
      </c>
      <c r="K339" s="32">
        <v>-2.452995153873962</v>
      </c>
      <c r="L339" s="32">
        <v>0.0</v>
      </c>
      <c r="M339" s="32">
        <v>1.9529817062276056</v>
      </c>
      <c r="N339" s="32">
        <v>-0.719424094461698</v>
      </c>
      <c r="O339" s="34" t="s">
        <v>69</v>
      </c>
      <c r="P339" s="34" t="s">
        <v>69</v>
      </c>
      <c r="Q339" s="34" t="s">
        <v>69</v>
      </c>
      <c r="R339" s="34" t="s">
        <v>69</v>
      </c>
    </row>
    <row r="340">
      <c r="A340" s="27" t="s">
        <v>379</v>
      </c>
      <c r="B340" s="35">
        <v>79.57142857142857</v>
      </c>
      <c r="C340" s="36">
        <v>24.0</v>
      </c>
      <c r="D340" s="36">
        <v>7.0</v>
      </c>
      <c r="E340" s="37">
        <v>-2.168346244538446</v>
      </c>
      <c r="F340" s="37">
        <v>-1.4280904592102484</v>
      </c>
      <c r="G340" s="37">
        <v>-0.15565199570455668</v>
      </c>
      <c r="H340" s="37">
        <v>1.1690145717369875</v>
      </c>
      <c r="I340" s="37">
        <v>-1.72461069241107</v>
      </c>
      <c r="J340" s="37">
        <v>-0.16952108464970286</v>
      </c>
      <c r="K340" s="37">
        <v>-2.1552806889503673</v>
      </c>
      <c r="L340" s="37">
        <v>0.0</v>
      </c>
      <c r="M340" s="37">
        <v>-0.38379333514106667</v>
      </c>
      <c r="N340" s="37">
        <v>0.11478224157047752</v>
      </c>
      <c r="O340" s="34" t="s">
        <v>69</v>
      </c>
      <c r="P340" s="34" t="s">
        <v>69</v>
      </c>
      <c r="Q340" s="34" t="s">
        <v>69</v>
      </c>
      <c r="R340" s="34" t="s">
        <v>69</v>
      </c>
    </row>
    <row r="341">
      <c r="A341" s="27" t="s">
        <v>380</v>
      </c>
      <c r="B341" s="29">
        <v>76.14285714285714</v>
      </c>
      <c r="C341" s="31">
        <v>34.0</v>
      </c>
      <c r="D341" s="31">
        <v>7.0</v>
      </c>
      <c r="E341" s="32">
        <v>-1.2269605284311158</v>
      </c>
      <c r="F341" s="32">
        <v>-1.889762000141438</v>
      </c>
      <c r="G341" s="32">
        <v>-0.6780658292771253</v>
      </c>
      <c r="H341" s="32">
        <v>0.35191027825217946</v>
      </c>
      <c r="I341" s="32">
        <v>-1.4445760210711605</v>
      </c>
      <c r="J341" s="32">
        <v>-0.16952108464970286</v>
      </c>
      <c r="K341" s="32">
        <v>-1.6374021053746657</v>
      </c>
      <c r="L341" s="32">
        <v>0.0</v>
      </c>
      <c r="M341" s="32">
        <v>1.1489895362914837</v>
      </c>
      <c r="N341" s="32">
        <v>-1.4056015612981865</v>
      </c>
      <c r="O341" s="34" t="s">
        <v>69</v>
      </c>
      <c r="P341" s="34" t="s">
        <v>69</v>
      </c>
      <c r="Q341" s="34" t="s">
        <v>69</v>
      </c>
      <c r="R341" s="34" t="s">
        <v>69</v>
      </c>
    </row>
    <row r="342">
      <c r="A342" s="27" t="s">
        <v>381</v>
      </c>
      <c r="B342" s="35">
        <v>80.91014705882354</v>
      </c>
      <c r="C342" s="36">
        <v>29.0</v>
      </c>
      <c r="D342" s="36">
        <v>7.0</v>
      </c>
      <c r="E342" s="37">
        <v>-1.1748970374585042</v>
      </c>
      <c r="F342" s="37">
        <v>-1.046021389772606</v>
      </c>
      <c r="G342" s="37">
        <v>-0.09458826697755776</v>
      </c>
      <c r="H342" s="37">
        <v>-1.0317286169189417</v>
      </c>
      <c r="I342" s="37">
        <v>-1.5281222638891707</v>
      </c>
      <c r="J342" s="37">
        <v>0.10271860851458373</v>
      </c>
      <c r="K342" s="37">
        <v>-1.455123114938344</v>
      </c>
      <c r="L342" s="37">
        <v>0.0</v>
      </c>
      <c r="M342" s="37">
        <v>0.15902371631651085</v>
      </c>
      <c r="N342" s="37">
        <v>-0.8850281421889562</v>
      </c>
      <c r="O342" s="34" t="s">
        <v>69</v>
      </c>
      <c r="P342" s="34" t="s">
        <v>69</v>
      </c>
      <c r="Q342" s="34" t="s">
        <v>69</v>
      </c>
      <c r="R342" s="34" t="s">
        <v>69</v>
      </c>
    </row>
    <row r="343">
      <c r="A343" s="27" t="s">
        <v>382</v>
      </c>
      <c r="B343" s="29">
        <v>80.05312500000001</v>
      </c>
      <c r="C343" s="31">
        <v>34.0</v>
      </c>
      <c r="D343" s="31">
        <v>7.0</v>
      </c>
      <c r="E343" s="32">
        <v>-0.8578294269253555</v>
      </c>
      <c r="F343" s="32">
        <v>-1.5271757875397307</v>
      </c>
      <c r="G343" s="32">
        <v>-2.0693288961551386</v>
      </c>
      <c r="H343" s="32">
        <v>0.6139042785741567</v>
      </c>
      <c r="I343" s="32">
        <v>-1.1808859411106858</v>
      </c>
      <c r="J343" s="32">
        <v>-0.2628776856507815</v>
      </c>
      <c r="K343" s="32">
        <v>-0.39480028687576507</v>
      </c>
      <c r="L343" s="32">
        <v>0.0</v>
      </c>
      <c r="M343" s="32">
        <v>-0.008091829824483891</v>
      </c>
      <c r="N343" s="32">
        <v>-1.2719678096667446</v>
      </c>
      <c r="O343" s="34" t="s">
        <v>69</v>
      </c>
      <c r="P343" s="34" t="s">
        <v>69</v>
      </c>
      <c r="Q343" s="34" t="s">
        <v>69</v>
      </c>
      <c r="R343" s="34" t="s">
        <v>69</v>
      </c>
    </row>
    <row r="344">
      <c r="A344" s="27" t="s">
        <v>383</v>
      </c>
      <c r="B344" s="35">
        <v>77.71161764705883</v>
      </c>
      <c r="C344" s="36">
        <v>24.0</v>
      </c>
      <c r="D344" s="36">
        <v>7.0</v>
      </c>
      <c r="E344" s="37">
        <v>-1.5012279931446364</v>
      </c>
      <c r="F344" s="37">
        <v>0.49889537568230397</v>
      </c>
      <c r="G344" s="37">
        <v>-1.5689915687109963</v>
      </c>
      <c r="H344" s="37">
        <v>-0.9881120005381274</v>
      </c>
      <c r="I344" s="37">
        <v>0.3689466693165379</v>
      </c>
      <c r="J344" s="37">
        <v>-0.7435983646739623</v>
      </c>
      <c r="K344" s="37">
        <v>-0.16127992129585045</v>
      </c>
      <c r="L344" s="37">
        <v>0.0</v>
      </c>
      <c r="M344" s="37">
        <v>-2.1688704092083007</v>
      </c>
      <c r="N344" s="37">
        <v>-0.727449052846709</v>
      </c>
      <c r="O344" s="34" t="s">
        <v>69</v>
      </c>
      <c r="P344" s="34" t="s">
        <v>69</v>
      </c>
      <c r="Q344" s="34" t="s">
        <v>69</v>
      </c>
      <c r="R344" s="34" t="s">
        <v>69</v>
      </c>
    </row>
    <row r="345">
      <c r="A345" s="27" t="s">
        <v>384</v>
      </c>
      <c r="B345" s="29">
        <v>78.39</v>
      </c>
      <c r="C345" s="31">
        <v>28.0</v>
      </c>
      <c r="D345" s="31">
        <v>7.0</v>
      </c>
      <c r="E345" s="32">
        <v>-0.2961980260860681</v>
      </c>
      <c r="F345" s="32">
        <v>-1.0069649903548266</v>
      </c>
      <c r="G345" s="32">
        <v>-0.14655942852512316</v>
      </c>
      <c r="H345" s="32">
        <v>-1.9323728825731423</v>
      </c>
      <c r="I345" s="32">
        <v>-1.3836544804816606</v>
      </c>
      <c r="J345" s="32">
        <v>0.2863658743449483</v>
      </c>
      <c r="K345" s="32">
        <v>0.1861518661864932</v>
      </c>
      <c r="L345" s="32">
        <v>0.0</v>
      </c>
      <c r="M345" s="32">
        <v>-1.2102465088625687</v>
      </c>
      <c r="N345" s="32">
        <v>-1.501348089082384</v>
      </c>
      <c r="O345" s="34" t="s">
        <v>69</v>
      </c>
      <c r="P345" s="34" t="s">
        <v>69</v>
      </c>
      <c r="Q345" s="34" t="s">
        <v>69</v>
      </c>
      <c r="R345" s="34" t="s">
        <v>69</v>
      </c>
    </row>
    <row r="346">
      <c r="A346" s="27" t="s">
        <v>385</v>
      </c>
      <c r="B346" s="35">
        <v>78.14285714285714</v>
      </c>
      <c r="C346" s="36">
        <v>28.0</v>
      </c>
      <c r="D346" s="36">
        <v>6.0</v>
      </c>
      <c r="E346" s="37">
        <v>-1.453324269327153</v>
      </c>
      <c r="F346" s="37">
        <v>-1.6345666760086195</v>
      </c>
      <c r="G346" s="37">
        <v>-0.6412924813871508</v>
      </c>
      <c r="H346" s="37">
        <v>0.5028969411787202</v>
      </c>
      <c r="I346" s="37">
        <v>-1.72461069241107</v>
      </c>
      <c r="J346" s="37">
        <v>-0.16952108464970286</v>
      </c>
      <c r="K346" s="37">
        <v>-2.2183724960864932</v>
      </c>
      <c r="L346" s="37">
        <v>1.1676702256594134</v>
      </c>
      <c r="M346" s="37">
        <v>0.03482383562832773</v>
      </c>
      <c r="N346" s="37">
        <v>-0.8771441989962548</v>
      </c>
      <c r="O346" s="34" t="s">
        <v>69</v>
      </c>
      <c r="P346" s="34" t="s">
        <v>69</v>
      </c>
      <c r="Q346" s="34" t="s">
        <v>69</v>
      </c>
      <c r="R346" s="34" t="s">
        <v>69</v>
      </c>
    </row>
    <row r="347">
      <c r="A347" s="27" t="s">
        <v>386</v>
      </c>
      <c r="B347" s="29">
        <v>81.20485294117647</v>
      </c>
      <c r="C347" s="31">
        <v>21.0</v>
      </c>
      <c r="D347" s="31">
        <v>7.0</v>
      </c>
      <c r="E347" s="32">
        <v>-0.05190745529288374</v>
      </c>
      <c r="F347" s="32">
        <v>-0.25027921194866626</v>
      </c>
      <c r="G347" s="32">
        <v>-1.3418438485969926</v>
      </c>
      <c r="H347" s="32">
        <v>-1.1822274028974578</v>
      </c>
      <c r="I347" s="32">
        <v>-0.17709196529747293</v>
      </c>
      <c r="J347" s="32">
        <v>-0.06821580844776473</v>
      </c>
      <c r="K347" s="32">
        <v>-0.4494358727763138</v>
      </c>
      <c r="L347" s="32">
        <v>0.0</v>
      </c>
      <c r="M347" s="32">
        <v>-1.9153290066254545</v>
      </c>
      <c r="N347" s="32">
        <v>-1.5913416698968912</v>
      </c>
      <c r="O347" s="34" t="s">
        <v>69</v>
      </c>
      <c r="P347" s="34" t="s">
        <v>69</v>
      </c>
      <c r="Q347" s="34" t="s">
        <v>69</v>
      </c>
      <c r="R347" s="34" t="s">
        <v>69</v>
      </c>
    </row>
    <row r="348">
      <c r="A348" s="27" t="s">
        <v>387</v>
      </c>
      <c r="B348" s="35">
        <v>77.11111111111111</v>
      </c>
      <c r="C348" s="36">
        <v>29.0</v>
      </c>
      <c r="D348" s="36">
        <v>6.0</v>
      </c>
      <c r="E348" s="37">
        <v>-2.1008762759115847</v>
      </c>
      <c r="F348" s="37">
        <v>-1.149695560156265</v>
      </c>
      <c r="G348" s="37">
        <v>0.15550053595082333</v>
      </c>
      <c r="H348" s="37">
        <v>-1.3462456012510298</v>
      </c>
      <c r="I348" s="37">
        <v>-1.1945450645176698</v>
      </c>
      <c r="J348" s="37">
        <v>-0.16952108464970286</v>
      </c>
      <c r="K348" s="37">
        <v>-1.3938706507462162</v>
      </c>
      <c r="L348" s="37">
        <v>0.0</v>
      </c>
      <c r="M348" s="37">
        <v>-0.44956209343910186</v>
      </c>
      <c r="N348" s="37">
        <v>0.609415292297528</v>
      </c>
      <c r="O348" s="34" t="s">
        <v>69</v>
      </c>
      <c r="P348" s="34" t="s">
        <v>69</v>
      </c>
      <c r="Q348" s="34" t="s">
        <v>69</v>
      </c>
      <c r="R348" s="34" t="s">
        <v>69</v>
      </c>
    </row>
    <row r="349">
      <c r="A349" s="27" t="s">
        <v>388</v>
      </c>
      <c r="B349" s="29">
        <v>79.39470588235294</v>
      </c>
      <c r="C349" s="31">
        <v>29.0</v>
      </c>
      <c r="D349" s="31">
        <v>7.0</v>
      </c>
      <c r="E349" s="32">
        <v>-1.5892944046725164</v>
      </c>
      <c r="F349" s="32">
        <v>-0.6287209155162407</v>
      </c>
      <c r="G349" s="32">
        <v>-2.485423645341344</v>
      </c>
      <c r="H349" s="32">
        <v>-0.6114411554589407</v>
      </c>
      <c r="I349" s="32">
        <v>-0.8470909271841393</v>
      </c>
      <c r="J349" s="32">
        <v>-0.2043853160044869</v>
      </c>
      <c r="K349" s="32">
        <v>-0.6244520918879889</v>
      </c>
      <c r="L349" s="32">
        <v>0.0</v>
      </c>
      <c r="M349" s="32">
        <v>-1.0600527090890717</v>
      </c>
      <c r="N349" s="32">
        <v>1.0032065884470627</v>
      </c>
      <c r="O349" s="34" t="s">
        <v>69</v>
      </c>
      <c r="P349" s="34" t="s">
        <v>69</v>
      </c>
      <c r="Q349" s="34" t="s">
        <v>69</v>
      </c>
      <c r="R349" s="34" t="s">
        <v>69</v>
      </c>
    </row>
    <row r="350">
      <c r="A350" s="27" t="s">
        <v>389</v>
      </c>
      <c r="B350" s="35">
        <v>79.94788461538461</v>
      </c>
      <c r="C350" s="36">
        <v>29.0</v>
      </c>
      <c r="D350" s="36">
        <v>6.0</v>
      </c>
      <c r="E350" s="37">
        <v>-1.0857211238704432</v>
      </c>
      <c r="F350" s="37">
        <v>-0.8459435088824461</v>
      </c>
      <c r="G350" s="37">
        <v>-0.827733281094749</v>
      </c>
      <c r="H350" s="37">
        <v>-0.9388966376201876</v>
      </c>
      <c r="I350" s="37">
        <v>-1.4578206223237284</v>
      </c>
      <c r="J350" s="37">
        <v>-0.2609694237186291</v>
      </c>
      <c r="K350" s="37">
        <v>-0.8587719188337062</v>
      </c>
      <c r="L350" s="37">
        <v>1.6837554453602988</v>
      </c>
      <c r="M350" s="37">
        <v>-1.032889640245164</v>
      </c>
      <c r="N350" s="37">
        <v>-1.4319492504274338</v>
      </c>
      <c r="O350" s="34" t="s">
        <v>69</v>
      </c>
      <c r="P350" s="34" t="s">
        <v>69</v>
      </c>
      <c r="Q350" s="34" t="s">
        <v>69</v>
      </c>
      <c r="R350" s="34" t="s">
        <v>69</v>
      </c>
    </row>
    <row r="351">
      <c r="A351" s="27" t="s">
        <v>390</v>
      </c>
      <c r="B351" s="29">
        <v>79.25729166666666</v>
      </c>
      <c r="C351" s="31">
        <v>34.0</v>
      </c>
      <c r="D351" s="31">
        <v>7.0</v>
      </c>
      <c r="E351" s="32">
        <v>-1.1274696760804026</v>
      </c>
      <c r="F351" s="32">
        <v>-0.7750227480572798</v>
      </c>
      <c r="G351" s="32">
        <v>-1.1020671675989444</v>
      </c>
      <c r="H351" s="32">
        <v>-1.9111693387449273</v>
      </c>
      <c r="I351" s="32">
        <v>-1.5720866949369887</v>
      </c>
      <c r="J351" s="32">
        <v>1.390220749974785</v>
      </c>
      <c r="K351" s="32">
        <v>-1.5126981368087726</v>
      </c>
      <c r="L351" s="32">
        <v>1.1724167151854725</v>
      </c>
      <c r="M351" s="32">
        <v>-1.6803341527581301</v>
      </c>
      <c r="N351" s="32">
        <v>0.05185584924798549</v>
      </c>
      <c r="O351" s="34" t="s">
        <v>69</v>
      </c>
      <c r="P351" s="34" t="s">
        <v>69</v>
      </c>
      <c r="Q351" s="34" t="s">
        <v>69</v>
      </c>
      <c r="R351" s="34" t="s">
        <v>69</v>
      </c>
    </row>
    <row r="352">
      <c r="A352" s="27" t="s">
        <v>391</v>
      </c>
      <c r="B352" s="35">
        <v>29.125</v>
      </c>
      <c r="C352" s="36">
        <v>33.0</v>
      </c>
      <c r="D352" s="36">
        <v>6.0</v>
      </c>
      <c r="E352" s="37" t="s">
        <v>69</v>
      </c>
      <c r="F352" s="37" t="s">
        <v>69</v>
      </c>
      <c r="G352" s="37" t="s">
        <v>69</v>
      </c>
      <c r="H352" s="37" t="s">
        <v>69</v>
      </c>
      <c r="I352" s="37" t="s">
        <v>69</v>
      </c>
      <c r="J352" s="37" t="s">
        <v>69</v>
      </c>
      <c r="K352" s="37" t="s">
        <v>69</v>
      </c>
      <c r="L352" s="37" t="s">
        <v>69</v>
      </c>
      <c r="M352" s="37" t="s">
        <v>69</v>
      </c>
      <c r="N352" s="37" t="s">
        <v>69</v>
      </c>
      <c r="O352" s="34">
        <v>-2.35954065559241</v>
      </c>
      <c r="P352" s="34">
        <v>-2.2971851580133777</v>
      </c>
      <c r="Q352" s="34">
        <v>-2.416082710676662</v>
      </c>
      <c r="R352" s="34">
        <v>0.0</v>
      </c>
    </row>
    <row r="353">
      <c r="A353" s="27" t="s">
        <v>392</v>
      </c>
      <c r="B353" s="29">
        <v>73.85714285714286</v>
      </c>
      <c r="C353" s="31">
        <v>25.0</v>
      </c>
      <c r="D353" s="31">
        <v>7.0</v>
      </c>
      <c r="E353" s="32">
        <v>-1.180250550150981</v>
      </c>
      <c r="F353" s="32">
        <v>-1.7296849331853972</v>
      </c>
      <c r="G353" s="32">
        <v>-1.3357466187507268</v>
      </c>
      <c r="H353" s="32">
        <v>0.21868675214052585</v>
      </c>
      <c r="I353" s="32">
        <v>-1.537920911517797</v>
      </c>
      <c r="J353" s="32">
        <v>-0.16952108464970286</v>
      </c>
      <c r="K353" s="32">
        <v>-2.2144292581404854</v>
      </c>
      <c r="L353" s="32">
        <v>0.0</v>
      </c>
      <c r="M353" s="32">
        <v>2.316433785961655</v>
      </c>
      <c r="N353" s="32">
        <v>-1.4475019023221263</v>
      </c>
      <c r="O353" s="34" t="s">
        <v>69</v>
      </c>
      <c r="P353" s="34" t="s">
        <v>69</v>
      </c>
      <c r="Q353" s="34" t="s">
        <v>69</v>
      </c>
      <c r="R353" s="34" t="s">
        <v>69</v>
      </c>
    </row>
    <row r="354">
      <c r="A354" s="27" t="s">
        <v>393</v>
      </c>
      <c r="B354" s="35">
        <v>78.15897058823529</v>
      </c>
      <c r="C354" s="36">
        <v>26.0</v>
      </c>
      <c r="D354" s="36">
        <v>6.0</v>
      </c>
      <c r="E354" s="37">
        <v>-0.3428089300294106</v>
      </c>
      <c r="F354" s="37">
        <v>-0.9441394387349705</v>
      </c>
      <c r="G354" s="37">
        <v>-1.9480056872633031</v>
      </c>
      <c r="H354" s="37">
        <v>-1.3490307318885344</v>
      </c>
      <c r="I354" s="37">
        <v>-0.4572399500745492</v>
      </c>
      <c r="J354" s="37">
        <v>-0.7798611475601467</v>
      </c>
      <c r="K354" s="37">
        <v>0.01096317522488081</v>
      </c>
      <c r="L354" s="37">
        <v>0.0</v>
      </c>
      <c r="M354" s="37">
        <v>0.2600755468706546</v>
      </c>
      <c r="N354" s="37">
        <v>-1.5638585908048546</v>
      </c>
      <c r="O354" s="34" t="s">
        <v>69</v>
      </c>
      <c r="P354" s="34" t="s">
        <v>69</v>
      </c>
      <c r="Q354" s="34" t="s">
        <v>69</v>
      </c>
      <c r="R354" s="34" t="s">
        <v>69</v>
      </c>
    </row>
    <row r="355">
      <c r="A355" s="27" t="s">
        <v>394</v>
      </c>
      <c r="B355" s="29">
        <v>81.119</v>
      </c>
      <c r="C355" s="31">
        <v>23.0</v>
      </c>
      <c r="D355" s="31">
        <v>7.0</v>
      </c>
      <c r="E355" s="32">
        <v>-1.066866421469625</v>
      </c>
      <c r="F355" s="32">
        <v>-1.2426303152673124</v>
      </c>
      <c r="G355" s="32">
        <v>0.8829616206134969</v>
      </c>
      <c r="H355" s="32">
        <v>-1.0655569087942554</v>
      </c>
      <c r="I355" s="32">
        <v>-1.7218208661748193</v>
      </c>
      <c r="J355" s="32">
        <v>0.1674939460524245</v>
      </c>
      <c r="K355" s="32">
        <v>-1.25130991355618</v>
      </c>
      <c r="L355" s="32">
        <v>0.0</v>
      </c>
      <c r="M355" s="32">
        <v>-0.6760976458700997</v>
      </c>
      <c r="N355" s="32">
        <v>-1.1558830477624034</v>
      </c>
      <c r="O355" s="34" t="s">
        <v>69</v>
      </c>
      <c r="P355" s="34" t="s">
        <v>69</v>
      </c>
      <c r="Q355" s="34" t="s">
        <v>69</v>
      </c>
      <c r="R355" s="34" t="s">
        <v>69</v>
      </c>
    </row>
    <row r="356">
      <c r="A356" s="27" t="s">
        <v>395</v>
      </c>
      <c r="B356" s="35">
        <v>82.06735294117647</v>
      </c>
      <c r="C356" s="36">
        <v>25.0</v>
      </c>
      <c r="D356" s="36">
        <v>6.0</v>
      </c>
      <c r="E356" s="37">
        <v>-0.854798891697444</v>
      </c>
      <c r="F356" s="37">
        <v>-1.217894756844791</v>
      </c>
      <c r="G356" s="37">
        <v>-0.20654777355185633</v>
      </c>
      <c r="H356" s="37">
        <v>-0.34483628275630634</v>
      </c>
      <c r="I356" s="37">
        <v>-1.258988166474426</v>
      </c>
      <c r="J356" s="37">
        <v>-0.39365188396698786</v>
      </c>
      <c r="K356" s="37">
        <v>-1.6163522227976441</v>
      </c>
      <c r="L356" s="37">
        <v>0.0</v>
      </c>
      <c r="M356" s="37">
        <v>0.03726391736283</v>
      </c>
      <c r="N356" s="37">
        <v>-1.301610210319734</v>
      </c>
      <c r="O356" s="34" t="s">
        <v>69</v>
      </c>
      <c r="P356" s="34" t="s">
        <v>69</v>
      </c>
      <c r="Q356" s="34" t="s">
        <v>69</v>
      </c>
      <c r="R356" s="34" t="s">
        <v>69</v>
      </c>
    </row>
    <row r="357">
      <c r="A357" s="27" t="s">
        <v>396</v>
      </c>
      <c r="B357" s="29">
        <v>79.77777777777777</v>
      </c>
      <c r="C357" s="31">
        <v>23.0</v>
      </c>
      <c r="D357" s="31">
        <v>6.0</v>
      </c>
      <c r="E357" s="32">
        <v>-2.1008762759115847</v>
      </c>
      <c r="F357" s="32">
        <v>-1.432988147249161</v>
      </c>
      <c r="G357" s="32">
        <v>-1.5830410114197988</v>
      </c>
      <c r="H357" s="32">
        <v>1.2746065516921496</v>
      </c>
      <c r="I357" s="32">
        <v>-1.7079419619741707</v>
      </c>
      <c r="J357" s="32">
        <v>-0.7871777123417198</v>
      </c>
      <c r="K357" s="32">
        <v>-2.0297542810024494</v>
      </c>
      <c r="L357" s="32">
        <v>0.0</v>
      </c>
      <c r="M357" s="32">
        <v>-0.4582141655000698</v>
      </c>
      <c r="N357" s="32">
        <v>1.659584157008648</v>
      </c>
      <c r="O357" s="34" t="s">
        <v>69</v>
      </c>
      <c r="P357" s="34" t="s">
        <v>69</v>
      </c>
      <c r="Q357" s="34" t="s">
        <v>69</v>
      </c>
      <c r="R357" s="34" t="s">
        <v>69</v>
      </c>
    </row>
    <row r="358">
      <c r="A358" s="27" t="s">
        <v>397</v>
      </c>
      <c r="B358" s="35">
        <v>82.0</v>
      </c>
      <c r="C358" s="36">
        <v>33.0</v>
      </c>
      <c r="D358" s="36">
        <v>6.0</v>
      </c>
      <c r="E358" s="37">
        <v>-1.3994281405423823</v>
      </c>
      <c r="F358" s="37">
        <v>-1.864242467728156</v>
      </c>
      <c r="G358" s="37" t="s">
        <v>69</v>
      </c>
      <c r="H358" s="37">
        <v>-0.9359171408271372</v>
      </c>
      <c r="I358" s="37" t="s">
        <v>69</v>
      </c>
      <c r="J358" s="37" t="s">
        <v>69</v>
      </c>
      <c r="K358" s="37">
        <v>-2.1861693861940954</v>
      </c>
      <c r="L358" s="37" t="s">
        <v>69</v>
      </c>
      <c r="M358" s="37">
        <v>0.5354080048700505</v>
      </c>
      <c r="N358" s="37">
        <v>-1.328641751254216</v>
      </c>
      <c r="O358" s="34" t="s">
        <v>69</v>
      </c>
      <c r="P358" s="34" t="s">
        <v>69</v>
      </c>
      <c r="Q358" s="34" t="s">
        <v>69</v>
      </c>
      <c r="R358" s="34" t="s">
        <v>69</v>
      </c>
    </row>
    <row r="359">
      <c r="A359" s="27" t="s">
        <v>398</v>
      </c>
      <c r="B359" s="29">
        <v>77.9585</v>
      </c>
      <c r="C359" s="31">
        <v>16.0</v>
      </c>
      <c r="D359" s="31">
        <v>6.0</v>
      </c>
      <c r="E359" s="32">
        <v>-2.0154445545142945</v>
      </c>
      <c r="F359" s="32">
        <v>-0.7921238504168553</v>
      </c>
      <c r="G359" s="32">
        <v>1.7629279339761952</v>
      </c>
      <c r="H359" s="32">
        <v>-1.640200630381526</v>
      </c>
      <c r="I359" s="32">
        <v>-1.6596538467789597</v>
      </c>
      <c r="J359" s="32">
        <v>-0.14478073056543952</v>
      </c>
      <c r="K359" s="32">
        <v>-2.1642122098698247</v>
      </c>
      <c r="L359" s="32">
        <v>0.0</v>
      </c>
      <c r="M359" s="32">
        <v>-1.7797575254075984</v>
      </c>
      <c r="N359" s="32">
        <v>1.2465191592262241</v>
      </c>
      <c r="O359" s="34" t="s">
        <v>69</v>
      </c>
      <c r="P359" s="34" t="s">
        <v>69</v>
      </c>
      <c r="Q359" s="34" t="s">
        <v>69</v>
      </c>
      <c r="R359" s="34" t="s">
        <v>69</v>
      </c>
    </row>
    <row r="360">
      <c r="A360" s="27" t="s">
        <v>399</v>
      </c>
      <c r="B360" s="35">
        <v>72.2</v>
      </c>
      <c r="C360" s="36">
        <v>29.0</v>
      </c>
      <c r="D360" s="36">
        <v>7.0</v>
      </c>
      <c r="E360" s="37">
        <v>-1.977913256165589</v>
      </c>
      <c r="F360" s="37">
        <v>-2.140317409290023</v>
      </c>
      <c r="G360" s="37">
        <v>-0.5921658530257347</v>
      </c>
      <c r="H360" s="37">
        <v>0.48158117700085523</v>
      </c>
      <c r="I360" s="37">
        <v>-1.72461069241107</v>
      </c>
      <c r="J360" s="37">
        <v>-0.16952108464970286</v>
      </c>
      <c r="K360" s="37">
        <v>-2.4971594188692503</v>
      </c>
      <c r="L360" s="37">
        <v>0.0</v>
      </c>
      <c r="M360" s="37">
        <v>2.299337811994569</v>
      </c>
      <c r="N360" s="37">
        <v>-0.8761180681956686</v>
      </c>
      <c r="O360" s="34" t="s">
        <v>69</v>
      </c>
      <c r="P360" s="34" t="s">
        <v>69</v>
      </c>
      <c r="Q360" s="34" t="s">
        <v>69</v>
      </c>
      <c r="R360" s="34" t="s">
        <v>69</v>
      </c>
    </row>
    <row r="361">
      <c r="A361" s="27" t="s">
        <v>400</v>
      </c>
      <c r="B361" s="29">
        <v>76.41911764705883</v>
      </c>
      <c r="C361" s="31">
        <v>33.0</v>
      </c>
      <c r="D361" s="31">
        <v>6.0</v>
      </c>
      <c r="E361" s="32">
        <v>-1.695094619658354</v>
      </c>
      <c r="F361" s="32">
        <v>-0.5752982291844868</v>
      </c>
      <c r="G361" s="32">
        <v>-1.6624831528749922</v>
      </c>
      <c r="H361" s="32">
        <v>0.2881428943191573</v>
      </c>
      <c r="I361" s="32">
        <v>-0.8578110043913479</v>
      </c>
      <c r="J361" s="32">
        <v>-0.7696491265993466</v>
      </c>
      <c r="K361" s="32">
        <v>-1.3063093834162722</v>
      </c>
      <c r="L361" s="32">
        <v>0.0</v>
      </c>
      <c r="M361" s="32">
        <v>-1.614776569071333</v>
      </c>
      <c r="N361" s="32">
        <v>0.9796311970448071</v>
      </c>
      <c r="O361" s="34" t="s">
        <v>69</v>
      </c>
      <c r="P361" s="34" t="s">
        <v>69</v>
      </c>
      <c r="Q361" s="34" t="s">
        <v>69</v>
      </c>
      <c r="R361" s="34" t="s">
        <v>69</v>
      </c>
    </row>
    <row r="362">
      <c r="A362" s="27" t="s">
        <v>401</v>
      </c>
      <c r="B362" s="35">
        <v>83.06099999999999</v>
      </c>
      <c r="C362" s="36">
        <v>27.0</v>
      </c>
      <c r="D362" s="36">
        <v>6.0</v>
      </c>
      <c r="E362" s="37">
        <v>-0.49200602521457154</v>
      </c>
      <c r="F362" s="37">
        <v>-1.3071729522500548</v>
      </c>
      <c r="G362" s="37">
        <v>-0.5524340706960934</v>
      </c>
      <c r="H362" s="37">
        <v>-1.7267809811110755</v>
      </c>
      <c r="I362" s="37">
        <v>-0.8712668512776889</v>
      </c>
      <c r="J362" s="37">
        <v>-0.7712249223172938</v>
      </c>
      <c r="K362" s="37">
        <v>-0.506721243853244</v>
      </c>
      <c r="L362" s="37">
        <v>0.0</v>
      </c>
      <c r="M362" s="37">
        <v>0.2634049976973553</v>
      </c>
      <c r="N362" s="37">
        <v>-1.2535558163193499</v>
      </c>
      <c r="O362" s="34" t="s">
        <v>69</v>
      </c>
      <c r="P362" s="34" t="s">
        <v>69</v>
      </c>
      <c r="Q362" s="34" t="s">
        <v>69</v>
      </c>
      <c r="R362" s="34" t="s">
        <v>69</v>
      </c>
    </row>
    <row r="363">
      <c r="A363" s="27" t="s">
        <v>402</v>
      </c>
      <c r="B363" s="29">
        <v>82.14285714285714</v>
      </c>
      <c r="C363" s="31">
        <v>29.0</v>
      </c>
      <c r="D363" s="31">
        <v>7.0</v>
      </c>
      <c r="E363" s="32">
        <v>-1.568302677401331</v>
      </c>
      <c r="F363" s="32">
        <v>-1.6090471435953377</v>
      </c>
      <c r="G363" s="32">
        <v>-1.5377466728094744</v>
      </c>
      <c r="H363" s="32">
        <v>0.15651577328842092</v>
      </c>
      <c r="I363" s="32">
        <v>-1.6546020245760928</v>
      </c>
      <c r="J363" s="32">
        <v>-0.16952108464970286</v>
      </c>
      <c r="K363" s="32">
        <v>-2.161195545869379</v>
      </c>
      <c r="L363" s="32">
        <v>0.0</v>
      </c>
      <c r="M363" s="32">
        <v>2.6782595363609345</v>
      </c>
      <c r="N363" s="32">
        <v>-1.3560052392698498</v>
      </c>
      <c r="O363" s="34" t="s">
        <v>69</v>
      </c>
      <c r="P363" s="34" t="s">
        <v>69</v>
      </c>
      <c r="Q363" s="34" t="s">
        <v>69</v>
      </c>
      <c r="R363" s="34" t="s">
        <v>69</v>
      </c>
    </row>
    <row r="364">
      <c r="A364" s="27" t="s">
        <v>403</v>
      </c>
      <c r="B364" s="35">
        <v>76.0</v>
      </c>
      <c r="C364" s="36">
        <v>29.0</v>
      </c>
      <c r="D364" s="36">
        <v>7.0</v>
      </c>
      <c r="E364" s="37">
        <v>-1.90245867586691</v>
      </c>
      <c r="F364" s="37">
        <v>-1.6206469310559204</v>
      </c>
      <c r="G364" s="37" t="s">
        <v>69</v>
      </c>
      <c r="H364" s="37">
        <v>-0.06552343689766801</v>
      </c>
      <c r="I364" s="37" t="s">
        <v>69</v>
      </c>
      <c r="J364" s="37" t="s">
        <v>69</v>
      </c>
      <c r="K364" s="37">
        <v>-1.6341160737529925</v>
      </c>
      <c r="L364" s="37" t="s">
        <v>69</v>
      </c>
      <c r="M364" s="37">
        <v>-0.5301629752702254</v>
      </c>
      <c r="N364" s="37">
        <v>-1.4782858263397145</v>
      </c>
      <c r="O364" s="34" t="s">
        <v>69</v>
      </c>
      <c r="P364" s="34" t="s">
        <v>69</v>
      </c>
      <c r="Q364" s="34" t="s">
        <v>69</v>
      </c>
      <c r="R364" s="34" t="s">
        <v>69</v>
      </c>
    </row>
    <row r="365">
      <c r="A365" s="27" t="s">
        <v>404</v>
      </c>
      <c r="B365" s="29">
        <v>79.24882352941177</v>
      </c>
      <c r="C365" s="31">
        <v>29.0</v>
      </c>
      <c r="D365" s="31">
        <v>6.0</v>
      </c>
      <c r="E365" s="32">
        <v>-1.8866293473406777</v>
      </c>
      <c r="F365" s="32">
        <v>-0.7354200971275573</v>
      </c>
      <c r="G365" s="32">
        <v>-1.018296466848087</v>
      </c>
      <c r="H365" s="32">
        <v>-0.8134405416251534</v>
      </c>
      <c r="I365" s="32">
        <v>-0.9631223749083857</v>
      </c>
      <c r="J365" s="32">
        <v>-0.3307116069444869</v>
      </c>
      <c r="K365" s="32">
        <v>-1.58410039464902</v>
      </c>
      <c r="L365" s="32">
        <v>0.0</v>
      </c>
      <c r="M365" s="32">
        <v>-1.790222825306078</v>
      </c>
      <c r="N365" s="32">
        <v>1.8784957403623013</v>
      </c>
      <c r="O365" s="34" t="s">
        <v>69</v>
      </c>
      <c r="P365" s="34" t="s">
        <v>69</v>
      </c>
      <c r="Q365" s="34" t="s">
        <v>69</v>
      </c>
      <c r="R365" s="34" t="s">
        <v>69</v>
      </c>
    </row>
    <row r="366">
      <c r="A366" s="27" t="s">
        <v>405</v>
      </c>
      <c r="B366" s="35">
        <v>24.8</v>
      </c>
      <c r="C366" s="36">
        <v>31.0</v>
      </c>
      <c r="D366" s="36">
        <v>7.0</v>
      </c>
      <c r="E366" s="37" t="s">
        <v>69</v>
      </c>
      <c r="F366" s="37" t="s">
        <v>69</v>
      </c>
      <c r="G366" s="37" t="s">
        <v>69</v>
      </c>
      <c r="H366" s="37" t="s">
        <v>69</v>
      </c>
      <c r="I366" s="37" t="s">
        <v>69</v>
      </c>
      <c r="J366" s="37" t="s">
        <v>69</v>
      </c>
      <c r="K366" s="37" t="s">
        <v>69</v>
      </c>
      <c r="L366" s="37" t="s">
        <v>69</v>
      </c>
      <c r="M366" s="37" t="s">
        <v>69</v>
      </c>
      <c r="N366" s="37" t="s">
        <v>69</v>
      </c>
      <c r="O366" s="34">
        <v>-2.808646559682582</v>
      </c>
      <c r="P366" s="34">
        <v>-2.48062760107121</v>
      </c>
      <c r="Q366" s="34">
        <v>-1.954219161182671</v>
      </c>
      <c r="R366" s="34">
        <v>0.0</v>
      </c>
    </row>
    <row r="367">
      <c r="A367" s="27" t="s">
        <v>406</v>
      </c>
      <c r="B367" s="29">
        <v>76.66691176470589</v>
      </c>
      <c r="C367" s="31">
        <v>23.0</v>
      </c>
      <c r="D367" s="31">
        <v>6.0</v>
      </c>
      <c r="E367" s="32">
        <v>-0.4413149229335159</v>
      </c>
      <c r="F367" s="32">
        <v>-0.20472498318905596</v>
      </c>
      <c r="G367" s="32">
        <v>-2.9000813368509237</v>
      </c>
      <c r="H367" s="32">
        <v>-0.20215205438988212</v>
      </c>
      <c r="I367" s="32">
        <v>0.10447754353619973</v>
      </c>
      <c r="J367" s="32">
        <v>0.06321541507596648</v>
      </c>
      <c r="K367" s="32">
        <v>-0.7658038921028539</v>
      </c>
      <c r="L367" s="32">
        <v>0.0</v>
      </c>
      <c r="M367" s="32">
        <v>-1.6465672484997929</v>
      </c>
      <c r="N367" s="32">
        <v>-1.2625308510749482</v>
      </c>
      <c r="O367" s="34" t="s">
        <v>69</v>
      </c>
      <c r="P367" s="34" t="s">
        <v>69</v>
      </c>
      <c r="Q367" s="34" t="s">
        <v>69</v>
      </c>
      <c r="R367" s="34" t="s">
        <v>69</v>
      </c>
    </row>
    <row r="368">
      <c r="A368" s="27" t="s">
        <v>407</v>
      </c>
      <c r="B368" s="35">
        <v>78.66666666666667</v>
      </c>
      <c r="C368" s="36">
        <v>31.0</v>
      </c>
      <c r="D368" s="36">
        <v>7.0</v>
      </c>
      <c r="E368" s="37">
        <v>-2.1120547322521297</v>
      </c>
      <c r="F368" s="37">
        <v>-1.2363073065286152</v>
      </c>
      <c r="G368" s="37">
        <v>-0.7670038767441374</v>
      </c>
      <c r="H368" s="37">
        <v>0.13549606139080425</v>
      </c>
      <c r="I368" s="37">
        <v>-0.6569785079276647</v>
      </c>
      <c r="J368" s="37" t="s">
        <v>69</v>
      </c>
      <c r="K368" s="37">
        <v>-1.114265871204287</v>
      </c>
      <c r="L368" s="37">
        <v>0.0</v>
      </c>
      <c r="M368" s="37">
        <v>-1.105981139538336</v>
      </c>
      <c r="N368" s="37">
        <v>-0.4237939105705687</v>
      </c>
      <c r="O368" s="34" t="s">
        <v>69</v>
      </c>
      <c r="P368" s="34" t="s">
        <v>69</v>
      </c>
      <c r="Q368" s="34" t="s">
        <v>69</v>
      </c>
      <c r="R368" s="34" t="s">
        <v>69</v>
      </c>
    </row>
    <row r="369">
      <c r="A369" s="27" t="s">
        <v>408</v>
      </c>
      <c r="B369" s="29">
        <v>69.57142857142857</v>
      </c>
      <c r="C369" s="31">
        <v>16.0</v>
      </c>
      <c r="D369" s="31">
        <v>6.0</v>
      </c>
      <c r="E369" s="32">
        <v>-1.8629348480914112</v>
      </c>
      <c r="F369" s="32">
        <v>-1.838722935314874</v>
      </c>
      <c r="G369" s="32">
        <v>-0.7666616170951756</v>
      </c>
      <c r="H369" s="32">
        <v>2.545657674890739</v>
      </c>
      <c r="I369" s="32">
        <v>-1.6919399807547475</v>
      </c>
      <c r="J369" s="32">
        <v>-0.7871777123417198</v>
      </c>
      <c r="K369" s="32">
        <v>-1.869395937864796</v>
      </c>
      <c r="L369" s="32">
        <v>0.0</v>
      </c>
      <c r="M369" s="32">
        <v>0.6858759949228259</v>
      </c>
      <c r="N369" s="32">
        <v>-1.704034602468695</v>
      </c>
      <c r="O369" s="34" t="s">
        <v>69</v>
      </c>
      <c r="P369" s="34" t="s">
        <v>69</v>
      </c>
      <c r="Q369" s="34" t="s">
        <v>69</v>
      </c>
      <c r="R369" s="34" t="s">
        <v>69</v>
      </c>
    </row>
    <row r="370">
      <c r="A370" s="27" t="s">
        <v>409</v>
      </c>
      <c r="B370" s="35">
        <v>77.84720588235294</v>
      </c>
      <c r="C370" s="36">
        <v>30.0</v>
      </c>
      <c r="D370" s="36">
        <v>5.0</v>
      </c>
      <c r="E370" s="37">
        <v>-0.8751769557412933</v>
      </c>
      <c r="F370" s="37">
        <v>-1.1003962795390458</v>
      </c>
      <c r="G370" s="37">
        <v>-0.859649956839557</v>
      </c>
      <c r="H370" s="37">
        <v>0.02781036091758297</v>
      </c>
      <c r="I370" s="37">
        <v>-0.8978194053128755</v>
      </c>
      <c r="J370" s="37">
        <v>-0.6448949229068327</v>
      </c>
      <c r="K370" s="37">
        <v>-0.7081770006637655</v>
      </c>
      <c r="L370" s="37">
        <v>1.1252568866242583</v>
      </c>
      <c r="M370" s="37">
        <v>-1.8321396942774426</v>
      </c>
      <c r="N370" s="37">
        <v>-1.5452204965480973</v>
      </c>
      <c r="O370" s="34" t="s">
        <v>69</v>
      </c>
      <c r="P370" s="34" t="s">
        <v>69</v>
      </c>
      <c r="Q370" s="34" t="s">
        <v>69</v>
      </c>
      <c r="R370" s="34" t="s">
        <v>69</v>
      </c>
    </row>
    <row r="371">
      <c r="A371" s="27" t="s">
        <v>410</v>
      </c>
      <c r="B371" s="29">
        <v>80.11111111111111</v>
      </c>
      <c r="C371" s="31">
        <v>28.0</v>
      </c>
      <c r="D371" s="31">
        <v>7.0</v>
      </c>
      <c r="E371" s="32">
        <v>-2.0673409068899495</v>
      </c>
      <c r="F371" s="32">
        <v>-1.301266116307878</v>
      </c>
      <c r="G371" s="32">
        <v>0.42677718760446076</v>
      </c>
      <c r="H371" s="32">
        <v>-1.261969385473732</v>
      </c>
      <c r="I371" s="32">
        <v>-1.72461069241107</v>
      </c>
      <c r="J371" s="32">
        <v>-0.16952108464970286</v>
      </c>
      <c r="K371" s="32">
        <v>-2.1212520059348177</v>
      </c>
      <c r="L371" s="32">
        <v>0.0</v>
      </c>
      <c r="M371" s="32">
        <v>-0.3083967071812019</v>
      </c>
      <c r="N371" s="32">
        <v>1.2166376947555733</v>
      </c>
      <c r="O371" s="34" t="s">
        <v>69</v>
      </c>
      <c r="P371" s="34" t="s">
        <v>69</v>
      </c>
      <c r="Q371" s="34" t="s">
        <v>69</v>
      </c>
      <c r="R371" s="34" t="s">
        <v>69</v>
      </c>
    </row>
    <row r="372">
      <c r="A372" s="27" t="s">
        <v>411</v>
      </c>
      <c r="B372" s="35">
        <v>83.5</v>
      </c>
      <c r="C372" s="36">
        <v>26.0</v>
      </c>
      <c r="D372" s="36">
        <v>6.0</v>
      </c>
      <c r="E372" s="37">
        <v>-1.8665279233437295</v>
      </c>
      <c r="F372" s="37">
        <v>-1.2181343061737022</v>
      </c>
      <c r="G372" s="37">
        <v>-1.5487072144941074</v>
      </c>
      <c r="H372" s="37">
        <v>-0.4909505636142146</v>
      </c>
      <c r="I372" s="37">
        <v>-1.7207213219757935</v>
      </c>
      <c r="J372" s="37">
        <v>-0.7871777123417198</v>
      </c>
      <c r="K372" s="37">
        <v>-1.3764911946138112</v>
      </c>
      <c r="L372" s="37">
        <v>0.0</v>
      </c>
      <c r="M372" s="37">
        <v>-0.24386395917759104</v>
      </c>
      <c r="N372" s="37">
        <v>1.9036702705925503</v>
      </c>
      <c r="O372" s="34" t="s">
        <v>69</v>
      </c>
      <c r="P372" s="34" t="s">
        <v>69</v>
      </c>
      <c r="Q372" s="34" t="s">
        <v>69</v>
      </c>
      <c r="R372" s="34" t="s">
        <v>69</v>
      </c>
    </row>
    <row r="373">
      <c r="A373" s="27" t="s">
        <v>412</v>
      </c>
      <c r="B373" s="29">
        <v>82.28571428571429</v>
      </c>
      <c r="C373" s="31">
        <v>31.0</v>
      </c>
      <c r="D373" s="31">
        <v>7.0</v>
      </c>
      <c r="E373" s="32">
        <v>-2.3551861576589848</v>
      </c>
      <c r="F373" s="32">
        <v>-1.5023290989579774</v>
      </c>
      <c r="G373" s="32">
        <v>-0.5382520543576237</v>
      </c>
      <c r="H373" s="32">
        <v>0.44072596232661526</v>
      </c>
      <c r="I373" s="32">
        <v>-1.72461069241107</v>
      </c>
      <c r="J373" s="32">
        <v>-0.16952108464970286</v>
      </c>
      <c r="K373" s="32">
        <v>-2.4115911554408798</v>
      </c>
      <c r="L373" s="32">
        <v>0.0</v>
      </c>
      <c r="M373" s="32">
        <v>-1.1484283351757922</v>
      </c>
      <c r="N373" s="32">
        <v>2.019109985658506</v>
      </c>
      <c r="O373" s="34" t="s">
        <v>69</v>
      </c>
      <c r="P373" s="34" t="s">
        <v>69</v>
      </c>
      <c r="Q373" s="34" t="s">
        <v>69</v>
      </c>
      <c r="R373" s="34" t="s">
        <v>69</v>
      </c>
    </row>
    <row r="374">
      <c r="A374" s="27" t="s">
        <v>413</v>
      </c>
      <c r="B374" s="35">
        <v>75.25750000000001</v>
      </c>
      <c r="C374" s="36">
        <v>31.0</v>
      </c>
      <c r="D374" s="36">
        <v>7.0</v>
      </c>
      <c r="E374" s="37">
        <v>-0.2222860693538207</v>
      </c>
      <c r="F374" s="37">
        <v>0.6443865689968311</v>
      </c>
      <c r="G374" s="37">
        <v>-2.2465890824273234</v>
      </c>
      <c r="H374" s="37">
        <v>-1.8101167974964478</v>
      </c>
      <c r="I374" s="37">
        <v>0.7661105005946058</v>
      </c>
      <c r="J374" s="37">
        <v>-0.7871777123417198</v>
      </c>
      <c r="K374" s="37">
        <v>0.4033172003314896</v>
      </c>
      <c r="L374" s="37">
        <v>0.0</v>
      </c>
      <c r="M374" s="37">
        <v>-2.1905193522945403</v>
      </c>
      <c r="N374" s="37">
        <v>-1.9841566584256571</v>
      </c>
      <c r="O374" s="34" t="s">
        <v>69</v>
      </c>
      <c r="P374" s="34" t="s">
        <v>69</v>
      </c>
      <c r="Q374" s="34" t="s">
        <v>69</v>
      </c>
      <c r="R374" s="34" t="s">
        <v>69</v>
      </c>
    </row>
    <row r="375">
      <c r="A375" s="27" t="s">
        <v>414</v>
      </c>
      <c r="B375" s="29">
        <v>34.0</v>
      </c>
      <c r="C375" s="31">
        <v>31.0</v>
      </c>
      <c r="D375" s="31">
        <v>7.0</v>
      </c>
      <c r="E375" s="32" t="s">
        <v>69</v>
      </c>
      <c r="F375" s="32" t="s">
        <v>69</v>
      </c>
      <c r="G375" s="32" t="s">
        <v>69</v>
      </c>
      <c r="H375" s="32" t="s">
        <v>69</v>
      </c>
      <c r="I375" s="32" t="s">
        <v>69</v>
      </c>
      <c r="J375" s="32" t="s">
        <v>69</v>
      </c>
      <c r="K375" s="32" t="s">
        <v>69</v>
      </c>
      <c r="L375" s="32" t="s">
        <v>69</v>
      </c>
      <c r="M375" s="32" t="s">
        <v>69</v>
      </c>
      <c r="N375" s="32" t="s">
        <v>69</v>
      </c>
      <c r="O375" s="34">
        <v>-1.8222753272731007</v>
      </c>
      <c r="P375" s="34">
        <v>-3.6831947277836505</v>
      </c>
      <c r="Q375" s="34">
        <v>-1.9335387037426588</v>
      </c>
      <c r="R375" s="34">
        <v>0.0</v>
      </c>
    </row>
    <row r="376">
      <c r="A376" s="27" t="s">
        <v>415</v>
      </c>
      <c r="B376" s="35">
        <v>83.77</v>
      </c>
      <c r="C376" s="36">
        <v>24.0</v>
      </c>
      <c r="D376" s="36">
        <v>7.0</v>
      </c>
      <c r="E376" s="37">
        <v>-0.0386025572762669</v>
      </c>
      <c r="F376" s="37">
        <v>-0.9544916733901407</v>
      </c>
      <c r="G376" s="37">
        <v>-1.1943841447828738</v>
      </c>
      <c r="H376" s="37">
        <v>-1.2902990365989464</v>
      </c>
      <c r="I376" s="37">
        <v>-0.8685306235399224</v>
      </c>
      <c r="J376" s="37">
        <v>0.28798484930653206</v>
      </c>
      <c r="K376" s="37">
        <v>-0.37207217013073335</v>
      </c>
      <c r="L376" s="37">
        <v>0.0</v>
      </c>
      <c r="M376" s="37">
        <v>-1.9251860426401863</v>
      </c>
      <c r="N376" s="37">
        <v>-1.119186537036524</v>
      </c>
      <c r="O376" s="34" t="s">
        <v>69</v>
      </c>
      <c r="P376" s="34" t="s">
        <v>69</v>
      </c>
      <c r="Q376" s="34" t="s">
        <v>69</v>
      </c>
      <c r="R376" s="34" t="s">
        <v>69</v>
      </c>
    </row>
    <row r="377">
      <c r="A377" s="27" t="s">
        <v>416</v>
      </c>
      <c r="B377" s="29">
        <v>81.56558823529411</v>
      </c>
      <c r="C377" s="31">
        <v>31.0</v>
      </c>
      <c r="D377" s="31">
        <v>7.0</v>
      </c>
      <c r="E377" s="32">
        <v>-1.9810647079448602</v>
      </c>
      <c r="F377" s="32">
        <v>-0.06236440418468236</v>
      </c>
      <c r="G377" s="32">
        <v>-2.186830861026301</v>
      </c>
      <c r="H377" s="32">
        <v>-0.46836688797820586</v>
      </c>
      <c r="I377" s="32">
        <v>-0.027802925589553405</v>
      </c>
      <c r="J377" s="32">
        <v>-0.762433882219846</v>
      </c>
      <c r="K377" s="32">
        <v>-1.3118460835730914</v>
      </c>
      <c r="L377" s="32">
        <v>0.0</v>
      </c>
      <c r="M377" s="32">
        <v>-0.2584455384309737</v>
      </c>
      <c r="N377" s="32">
        <v>-0.4248264934806191</v>
      </c>
      <c r="O377" s="34" t="s">
        <v>69</v>
      </c>
      <c r="P377" s="34" t="s">
        <v>69</v>
      </c>
      <c r="Q377" s="34" t="s">
        <v>69</v>
      </c>
      <c r="R377" s="34" t="s">
        <v>69</v>
      </c>
    </row>
    <row r="378">
      <c r="A378" s="27" t="s">
        <v>417</v>
      </c>
      <c r="B378" s="35">
        <v>79.13676470588236</v>
      </c>
      <c r="C378" s="36">
        <v>26.0</v>
      </c>
      <c r="D378" s="36">
        <v>6.0</v>
      </c>
      <c r="E378" s="37">
        <v>0.19281195763504544</v>
      </c>
      <c r="F378" s="37">
        <v>-0.29930499997331217</v>
      </c>
      <c r="G378" s="37">
        <v>-1.8969617094823847</v>
      </c>
      <c r="H378" s="37">
        <v>-1.3000000415394644</v>
      </c>
      <c r="I378" s="37">
        <v>-0.05668542948938876</v>
      </c>
      <c r="J378" s="37">
        <v>-0.7741064383455981</v>
      </c>
      <c r="K378" s="37">
        <v>-0.13841628711178294</v>
      </c>
      <c r="L378" s="37">
        <v>0.0</v>
      </c>
      <c r="M378" s="37">
        <v>-1.725576949309927</v>
      </c>
      <c r="N378" s="37">
        <v>-1.49432462077218</v>
      </c>
      <c r="O378" s="34" t="s">
        <v>69</v>
      </c>
      <c r="P378" s="34" t="s">
        <v>69</v>
      </c>
      <c r="Q378" s="34" t="s">
        <v>69</v>
      </c>
      <c r="R378" s="34" t="s">
        <v>69</v>
      </c>
    </row>
    <row r="379">
      <c r="A379" s="27" t="s">
        <v>418</v>
      </c>
      <c r="B379" s="29">
        <v>81.0</v>
      </c>
      <c r="C379" s="31">
        <v>29.0</v>
      </c>
      <c r="D379" s="31">
        <v>7.0</v>
      </c>
      <c r="E379" s="32">
        <v>-2.074926287978177</v>
      </c>
      <c r="F379" s="32">
        <v>-1.750564550614446</v>
      </c>
      <c r="G379" s="32">
        <v>-2.663616655306356</v>
      </c>
      <c r="H379" s="32">
        <v>0.8759228142913498</v>
      </c>
      <c r="I379" s="32">
        <v>-1.6265985574421018</v>
      </c>
      <c r="J379" s="32">
        <v>-0.7871777123417198</v>
      </c>
      <c r="K379" s="32">
        <v>-1.5874544247252325</v>
      </c>
      <c r="L379" s="32">
        <v>0.0</v>
      </c>
      <c r="M379" s="32">
        <v>0.3808416648936588</v>
      </c>
      <c r="N379" s="32">
        <v>1.740344451499235</v>
      </c>
      <c r="O379" s="34" t="s">
        <v>69</v>
      </c>
      <c r="P379" s="34" t="s">
        <v>69</v>
      </c>
      <c r="Q379" s="34" t="s">
        <v>69</v>
      </c>
      <c r="R379" s="34" t="s">
        <v>69</v>
      </c>
    </row>
    <row r="380">
      <c r="A380" s="27" t="s">
        <v>419</v>
      </c>
      <c r="B380" s="35">
        <v>81.0619642857143</v>
      </c>
      <c r="C380" s="36">
        <v>29.0</v>
      </c>
      <c r="D380" s="36">
        <v>7.0</v>
      </c>
      <c r="E380" s="37">
        <v>-1.1129469756039396</v>
      </c>
      <c r="F380" s="37">
        <v>-0.3986734454509176</v>
      </c>
      <c r="G380" s="37">
        <v>-0.9180597676769606</v>
      </c>
      <c r="H380" s="37">
        <v>-1.40750441749052</v>
      </c>
      <c r="I380" s="37">
        <v>-0.8906051563034001</v>
      </c>
      <c r="J380" s="37">
        <v>-0.1720943642753436</v>
      </c>
      <c r="K380" s="37">
        <v>-1.1773300682646657</v>
      </c>
      <c r="L380" s="37">
        <v>1.3468271697154526</v>
      </c>
      <c r="M380" s="37">
        <v>-1.8502287637724566</v>
      </c>
      <c r="N380" s="37">
        <v>-0.9246991366168618</v>
      </c>
      <c r="O380" s="34" t="s">
        <v>69</v>
      </c>
      <c r="P380" s="34" t="s">
        <v>69</v>
      </c>
      <c r="Q380" s="34" t="s">
        <v>69</v>
      </c>
      <c r="R380" s="34" t="s">
        <v>69</v>
      </c>
    </row>
    <row r="381">
      <c r="A381" s="27" t="s">
        <v>420</v>
      </c>
      <c r="B381" s="29">
        <v>78.0</v>
      </c>
      <c r="C381" s="31">
        <v>31.0</v>
      </c>
      <c r="D381" s="31">
        <v>7.0</v>
      </c>
      <c r="E381" s="32">
        <v>0.12457114618162979</v>
      </c>
      <c r="F381" s="32">
        <v>-0.3381012984568023</v>
      </c>
      <c r="G381" s="32">
        <v>-1.4978892145970248</v>
      </c>
      <c r="H381" s="32">
        <v>-1.4971167454247405</v>
      </c>
      <c r="I381" s="32">
        <v>-0.0442587856593719</v>
      </c>
      <c r="J381" s="32">
        <v>-0.784365563134223</v>
      </c>
      <c r="K381" s="32">
        <v>-0.6928545186462908</v>
      </c>
      <c r="L381" s="32">
        <v>0.4798509908878788</v>
      </c>
      <c r="M381" s="32">
        <v>-1.962418837524384</v>
      </c>
      <c r="N381" s="32">
        <v>-1.3255602105627347</v>
      </c>
      <c r="O381" s="34" t="s">
        <v>69</v>
      </c>
      <c r="P381" s="34" t="s">
        <v>69</v>
      </c>
      <c r="Q381" s="34" t="s">
        <v>69</v>
      </c>
      <c r="R381" s="34" t="s">
        <v>69</v>
      </c>
    </row>
    <row r="382">
      <c r="A382" s="27" t="s">
        <v>421</v>
      </c>
      <c r="B382" s="35">
        <v>78.10352941176471</v>
      </c>
      <c r="C382" s="36">
        <v>27.0</v>
      </c>
      <c r="D382" s="36">
        <v>6.0</v>
      </c>
      <c r="E382" s="37">
        <v>-1.8317480580058951</v>
      </c>
      <c r="F382" s="37">
        <v>-0.5737544996937743</v>
      </c>
      <c r="G382" s="37">
        <v>1.380495279251726</v>
      </c>
      <c r="H382" s="37">
        <v>-1.5535790699273964</v>
      </c>
      <c r="I382" s="37">
        <v>-1.2344320767167816</v>
      </c>
      <c r="J382" s="37">
        <v>-0.7824095703331476</v>
      </c>
      <c r="K382" s="37">
        <v>-1.264051501544694</v>
      </c>
      <c r="L382" s="37">
        <v>0.0</v>
      </c>
      <c r="M382" s="37">
        <v>-1.225864361069852</v>
      </c>
      <c r="N382" s="37">
        <v>-0.472031404673368</v>
      </c>
      <c r="O382" s="34" t="s">
        <v>69</v>
      </c>
      <c r="P382" s="34" t="s">
        <v>69</v>
      </c>
      <c r="Q382" s="34" t="s">
        <v>69</v>
      </c>
      <c r="R382" s="34" t="s">
        <v>69</v>
      </c>
    </row>
    <row r="383">
      <c r="A383" s="27" t="s">
        <v>422</v>
      </c>
      <c r="B383" s="29">
        <v>79.15191176470589</v>
      </c>
      <c r="C383" s="31">
        <v>21.0</v>
      </c>
      <c r="D383" s="31">
        <v>7.0</v>
      </c>
      <c r="E383" s="32">
        <v>-1.664055559644995</v>
      </c>
      <c r="F383" s="32">
        <v>-0.1751864595321174</v>
      </c>
      <c r="G383" s="32">
        <v>-0.01696216794820308</v>
      </c>
      <c r="H383" s="32">
        <v>-1.6939708893598753</v>
      </c>
      <c r="I383" s="32">
        <v>-0.7031617272099008</v>
      </c>
      <c r="J383" s="32">
        <v>-0.7337865576471051</v>
      </c>
      <c r="K383" s="32">
        <v>-1.294821136726566</v>
      </c>
      <c r="L383" s="32">
        <v>0.0</v>
      </c>
      <c r="M383" s="32">
        <v>-1.8073495289891621</v>
      </c>
      <c r="N383" s="32">
        <v>0.5296613082841268</v>
      </c>
      <c r="O383" s="34" t="s">
        <v>69</v>
      </c>
      <c r="P383" s="34" t="s">
        <v>69</v>
      </c>
      <c r="Q383" s="34" t="s">
        <v>69</v>
      </c>
      <c r="R383" s="34" t="s">
        <v>69</v>
      </c>
    </row>
    <row r="384">
      <c r="A384" s="27" t="s">
        <v>423</v>
      </c>
      <c r="B384" s="35">
        <v>77.32785714285714</v>
      </c>
      <c r="C384" s="36">
        <v>23.0</v>
      </c>
      <c r="D384" s="36">
        <v>6.0</v>
      </c>
      <c r="E384" s="37">
        <v>-1.9400853850186561</v>
      </c>
      <c r="F384" s="37">
        <v>-0.8179297686459044</v>
      </c>
      <c r="G384" s="37">
        <v>-0.7528842941798456</v>
      </c>
      <c r="H384" s="37">
        <v>0.3827931663583556</v>
      </c>
      <c r="I384" s="37">
        <v>-1.1576576954526228</v>
      </c>
      <c r="J384" s="37">
        <v>-0.7461455211926751</v>
      </c>
      <c r="K384" s="37">
        <v>-1.1454909653676897</v>
      </c>
      <c r="L384" s="37">
        <v>0.0</v>
      </c>
      <c r="M384" s="37">
        <v>-2.081681260455305</v>
      </c>
      <c r="N384" s="37">
        <v>0.6956862949402415</v>
      </c>
      <c r="O384" s="34" t="s">
        <v>69</v>
      </c>
      <c r="P384" s="34" t="s">
        <v>69</v>
      </c>
      <c r="Q384" s="34" t="s">
        <v>69</v>
      </c>
      <c r="R384" s="34" t="s">
        <v>69</v>
      </c>
    </row>
    <row r="385">
      <c r="A385" s="27" t="s">
        <v>424</v>
      </c>
      <c r="B385" s="29">
        <v>35.4</v>
      </c>
      <c r="C385" s="31">
        <v>29.0</v>
      </c>
      <c r="D385" s="31">
        <v>6.0</v>
      </c>
      <c r="E385" s="32" t="s">
        <v>69</v>
      </c>
      <c r="F385" s="32" t="s">
        <v>69</v>
      </c>
      <c r="G385" s="32" t="s">
        <v>69</v>
      </c>
      <c r="H385" s="32" t="s">
        <v>69</v>
      </c>
      <c r="I385" s="32" t="s">
        <v>69</v>
      </c>
      <c r="J385" s="32" t="s">
        <v>69</v>
      </c>
      <c r="K385" s="32" t="s">
        <v>69</v>
      </c>
      <c r="L385" s="32" t="s">
        <v>69</v>
      </c>
      <c r="M385" s="32" t="s">
        <v>69</v>
      </c>
      <c r="N385" s="32" t="s">
        <v>69</v>
      </c>
      <c r="O385" s="34">
        <v>-1.3790503150072713</v>
      </c>
      <c r="P385" s="34">
        <v>-2.5475986517113665</v>
      </c>
      <c r="Q385" s="34">
        <v>-3.6638036428917857</v>
      </c>
      <c r="R385" s="34">
        <v>0.0</v>
      </c>
    </row>
    <row r="386">
      <c r="A386" s="27" t="s">
        <v>425</v>
      </c>
      <c r="B386" s="35">
        <v>81.93485294117647</v>
      </c>
      <c r="C386" s="36">
        <v>31.0</v>
      </c>
      <c r="D386" s="36">
        <v>7.0</v>
      </c>
      <c r="E386" s="37">
        <v>0.776465849662603</v>
      </c>
      <c r="F386" s="37">
        <v>-0.6563409314541923</v>
      </c>
      <c r="G386" s="37">
        <v>-3.779701700833748</v>
      </c>
      <c r="H386" s="37">
        <v>-0.3333680555172403</v>
      </c>
      <c r="I386" s="37">
        <v>0.43790874667551755</v>
      </c>
      <c r="J386" s="37">
        <v>-0.7869062119935175</v>
      </c>
      <c r="K386" s="37">
        <v>-0.12490989805931947</v>
      </c>
      <c r="L386" s="37">
        <v>0.0</v>
      </c>
      <c r="M386" s="37">
        <v>-1.371943638976453</v>
      </c>
      <c r="N386" s="37">
        <v>-1.7874890851885357</v>
      </c>
      <c r="O386" s="34" t="s">
        <v>69</v>
      </c>
      <c r="P386" s="34" t="s">
        <v>69</v>
      </c>
      <c r="Q386" s="34" t="s">
        <v>69</v>
      </c>
      <c r="R386" s="34" t="s">
        <v>69</v>
      </c>
    </row>
    <row r="387">
      <c r="A387" s="27" t="s">
        <v>426</v>
      </c>
      <c r="B387" s="29">
        <v>81.85714285714286</v>
      </c>
      <c r="C387" s="31">
        <v>25.0</v>
      </c>
      <c r="D387" s="31">
        <v>7.0</v>
      </c>
      <c r="E387" s="32">
        <v>-1.7982594935496863</v>
      </c>
      <c r="F387" s="32">
        <v>-2.054478982081711</v>
      </c>
      <c r="G387" s="32">
        <v>-1.071161664313358</v>
      </c>
      <c r="H387" s="32">
        <v>1.5331588764421729</v>
      </c>
      <c r="I387" s="32">
        <v>-1.6546020245760928</v>
      </c>
      <c r="J387" s="32">
        <v>-0.16952108464970286</v>
      </c>
      <c r="K387" s="32">
        <v>-2.1309640549499855</v>
      </c>
      <c r="L387" s="32">
        <v>0.0</v>
      </c>
      <c r="M387" s="32">
        <v>0.7549624650637888</v>
      </c>
      <c r="N387" s="32">
        <v>-1.056717089098853</v>
      </c>
      <c r="O387" s="34" t="s">
        <v>69</v>
      </c>
      <c r="P387" s="34" t="s">
        <v>69</v>
      </c>
      <c r="Q387" s="34" t="s">
        <v>69</v>
      </c>
      <c r="R387" s="34" t="s">
        <v>69</v>
      </c>
    </row>
    <row r="388">
      <c r="A388" s="27" t="s">
        <v>427</v>
      </c>
      <c r="B388" s="35">
        <v>79.5464705882353</v>
      </c>
      <c r="C388" s="36">
        <v>25.0</v>
      </c>
      <c r="D388" s="36">
        <v>6.0</v>
      </c>
      <c r="E388" s="37">
        <v>0.07332414473374405</v>
      </c>
      <c r="F388" s="37">
        <v>-0.23992817910567577</v>
      </c>
      <c r="G388" s="37">
        <v>-1.4742078465558257</v>
      </c>
      <c r="H388" s="37">
        <v>-1.6744641393569801</v>
      </c>
      <c r="I388" s="37">
        <v>-0.3074713266143477</v>
      </c>
      <c r="J388" s="37">
        <v>-0.7651002711525637</v>
      </c>
      <c r="K388" s="37">
        <v>0.2279119210272671</v>
      </c>
      <c r="L388" s="37">
        <v>0.0</v>
      </c>
      <c r="M388" s="37">
        <v>-1.5636370134678343</v>
      </c>
      <c r="N388" s="37">
        <v>-1.9295833392221324</v>
      </c>
      <c r="O388" s="34" t="s">
        <v>69</v>
      </c>
      <c r="P388" s="34" t="s">
        <v>69</v>
      </c>
      <c r="Q388" s="34" t="s">
        <v>69</v>
      </c>
      <c r="R388" s="34" t="s">
        <v>69</v>
      </c>
    </row>
    <row r="389">
      <c r="A389" s="27" t="s">
        <v>428</v>
      </c>
      <c r="B389" s="29">
        <v>80.55911764705883</v>
      </c>
      <c r="C389" s="31">
        <v>25.0</v>
      </c>
      <c r="D389" s="31">
        <v>6.0</v>
      </c>
      <c r="E389" s="32">
        <v>-0.2501690286408265</v>
      </c>
      <c r="F389" s="32">
        <v>-0.7321128171918722</v>
      </c>
      <c r="G389" s="32">
        <v>-1.2256595292162369</v>
      </c>
      <c r="H389" s="32">
        <v>-1.8950158099463867</v>
      </c>
      <c r="I389" s="32">
        <v>-1.0757648449768265</v>
      </c>
      <c r="J389" s="32">
        <v>2.18073363438417</v>
      </c>
      <c r="K389" s="32">
        <v>-1.339478537995918</v>
      </c>
      <c r="L389" s="32">
        <v>0.0</v>
      </c>
      <c r="M389" s="32">
        <v>-2.1940098900551734</v>
      </c>
      <c r="N389" s="32">
        <v>-1.1430625394224871</v>
      </c>
      <c r="O389" s="34" t="s">
        <v>69</v>
      </c>
      <c r="P389" s="34" t="s">
        <v>69</v>
      </c>
      <c r="Q389" s="34" t="s">
        <v>69</v>
      </c>
      <c r="R389" s="34" t="s">
        <v>69</v>
      </c>
    </row>
    <row r="390">
      <c r="A390" s="27" t="s">
        <v>429</v>
      </c>
      <c r="B390" s="35">
        <v>78.0</v>
      </c>
      <c r="C390" s="36">
        <v>24.0</v>
      </c>
      <c r="D390" s="36">
        <v>7.0</v>
      </c>
      <c r="E390" s="37" t="s">
        <v>69</v>
      </c>
      <c r="F390" s="37">
        <v>-1.4582499066077632</v>
      </c>
      <c r="G390" s="37" t="s">
        <v>69</v>
      </c>
      <c r="H390" s="37">
        <v>-2.117165739017131</v>
      </c>
      <c r="I390" s="37" t="s">
        <v>69</v>
      </c>
      <c r="J390" s="37" t="s">
        <v>69</v>
      </c>
      <c r="K390" s="37">
        <v>-2.692218255931773</v>
      </c>
      <c r="L390" s="37" t="s">
        <v>69</v>
      </c>
      <c r="M390" s="37">
        <v>-1.6777009538828302</v>
      </c>
      <c r="N390" s="37">
        <v>0.25758544465206745</v>
      </c>
      <c r="O390" s="34" t="s">
        <v>69</v>
      </c>
      <c r="P390" s="34" t="s">
        <v>69</v>
      </c>
      <c r="Q390" s="34" t="s">
        <v>69</v>
      </c>
      <c r="R390" s="34" t="s">
        <v>69</v>
      </c>
    </row>
    <row r="391">
      <c r="A391" s="27" t="s">
        <v>430</v>
      </c>
      <c r="B391" s="29">
        <v>80.13985294117647</v>
      </c>
      <c r="C391" s="31">
        <v>23.0</v>
      </c>
      <c r="D391" s="31">
        <v>6.0</v>
      </c>
      <c r="E391" s="32">
        <v>-0.26473897506087896</v>
      </c>
      <c r="F391" s="32">
        <v>-0.6007797352942874</v>
      </c>
      <c r="G391" s="32">
        <v>-3.00227759727651</v>
      </c>
      <c r="H391" s="32">
        <v>-1.3172741812799509</v>
      </c>
      <c r="I391" s="32">
        <v>0.13386058929496816</v>
      </c>
      <c r="J391" s="32">
        <v>-0.7820319953336993</v>
      </c>
      <c r="K391" s="32">
        <v>-0.5281847028636427</v>
      </c>
      <c r="L391" s="32">
        <v>1.3419018610684512</v>
      </c>
      <c r="M391" s="32">
        <v>-1.3767697844862796</v>
      </c>
      <c r="N391" s="32">
        <v>-1.2979114101164926</v>
      </c>
      <c r="O391" s="34" t="s">
        <v>69</v>
      </c>
      <c r="P391" s="34" t="s">
        <v>69</v>
      </c>
      <c r="Q391" s="34" t="s">
        <v>69</v>
      </c>
      <c r="R391" s="34" t="s">
        <v>69</v>
      </c>
    </row>
    <row r="392">
      <c r="A392" s="27" t="s">
        <v>431</v>
      </c>
      <c r="B392" s="35">
        <v>78.06794117647058</v>
      </c>
      <c r="C392" s="36">
        <v>16.0</v>
      </c>
      <c r="D392" s="36">
        <v>6.0</v>
      </c>
      <c r="E392" s="37">
        <v>-1.0710782519237783</v>
      </c>
      <c r="F392" s="37">
        <v>-0.8709568553962354</v>
      </c>
      <c r="G392" s="37">
        <v>1.0841560292208023</v>
      </c>
      <c r="H392" s="37">
        <v>-0.7016753634858621</v>
      </c>
      <c r="I392" s="37">
        <v>-1.2742989078384241</v>
      </c>
      <c r="J392" s="37">
        <v>-0.7773267474113391</v>
      </c>
      <c r="K392" s="37">
        <v>-1.6981504985595297</v>
      </c>
      <c r="L392" s="37">
        <v>0.0</v>
      </c>
      <c r="M392" s="37">
        <v>-0.6369781170626887</v>
      </c>
      <c r="N392" s="37">
        <v>-1.7487026650521615</v>
      </c>
      <c r="O392" s="34" t="s">
        <v>69</v>
      </c>
      <c r="P392" s="34" t="s">
        <v>69</v>
      </c>
      <c r="Q392" s="34" t="s">
        <v>69</v>
      </c>
      <c r="R392" s="34" t="s">
        <v>69</v>
      </c>
    </row>
    <row r="393">
      <c r="A393" s="27" t="s">
        <v>432</v>
      </c>
      <c r="B393" s="29">
        <v>78.0909090909091</v>
      </c>
      <c r="C393" s="31">
        <v>33.0</v>
      </c>
      <c r="D393" s="31">
        <v>6.0</v>
      </c>
      <c r="E393" s="32">
        <v>-1.330833067543583</v>
      </c>
      <c r="F393" s="32">
        <v>-1.610312574954674</v>
      </c>
      <c r="G393" s="32">
        <v>-1.9175255656723456</v>
      </c>
      <c r="H393" s="32">
        <v>0.027167840663652153</v>
      </c>
      <c r="I393" s="32">
        <v>-1.6312658019644335</v>
      </c>
      <c r="J393" s="32">
        <v>-0.16952108464970286</v>
      </c>
      <c r="K393" s="32">
        <v>-1.82482539986901</v>
      </c>
      <c r="L393" s="32">
        <v>0.0</v>
      </c>
      <c r="M393" s="32">
        <v>1.963124087351707</v>
      </c>
      <c r="N393" s="32">
        <v>-1.2263396199230387</v>
      </c>
      <c r="O393" s="34" t="s">
        <v>69</v>
      </c>
      <c r="P393" s="34" t="s">
        <v>69</v>
      </c>
      <c r="Q393" s="34" t="s">
        <v>69</v>
      </c>
      <c r="R393" s="34" t="s">
        <v>69</v>
      </c>
    </row>
    <row r="394">
      <c r="A394" s="27" t="s">
        <v>433</v>
      </c>
      <c r="B394" s="35">
        <v>75.28107142857142</v>
      </c>
      <c r="C394" s="36">
        <v>29.0</v>
      </c>
      <c r="D394" s="36">
        <v>6.0</v>
      </c>
      <c r="E394" s="37">
        <v>-1.4999674306230562</v>
      </c>
      <c r="F394" s="37">
        <v>-1.030897160638576</v>
      </c>
      <c r="G394" s="37">
        <v>-1.460335822563175</v>
      </c>
      <c r="H394" s="37">
        <v>-1.1035066903372281</v>
      </c>
      <c r="I394" s="37">
        <v>-1.2793679122939432</v>
      </c>
      <c r="J394" s="37">
        <v>-0.26916213154916574</v>
      </c>
      <c r="K394" s="37">
        <v>-0.6260739961719303</v>
      </c>
      <c r="L394" s="37">
        <v>0.0</v>
      </c>
      <c r="M394" s="37">
        <v>-1.8817951777479223</v>
      </c>
      <c r="N394" s="37">
        <v>1.4286726196639083</v>
      </c>
      <c r="O394" s="34" t="s">
        <v>69</v>
      </c>
      <c r="P394" s="34" t="s">
        <v>69</v>
      </c>
      <c r="Q394" s="34" t="s">
        <v>69</v>
      </c>
      <c r="R394" s="34" t="s">
        <v>69</v>
      </c>
    </row>
    <row r="395">
      <c r="A395" s="27" t="s">
        <v>434</v>
      </c>
      <c r="B395" s="29">
        <v>79.3045</v>
      </c>
      <c r="C395" s="31">
        <v>24.0</v>
      </c>
      <c r="D395" s="31">
        <v>7.0</v>
      </c>
      <c r="E395" s="32">
        <v>-1.1137756680764757</v>
      </c>
      <c r="F395" s="32">
        <v>-1.1826622618556764</v>
      </c>
      <c r="G395" s="32">
        <v>-0.8601068501188167</v>
      </c>
      <c r="H395" s="32">
        <v>-0.6395075820628497</v>
      </c>
      <c r="I395" s="32">
        <v>-1.0805921913180467</v>
      </c>
      <c r="J395" s="32">
        <v>-0.22789691952687116</v>
      </c>
      <c r="K395" s="32">
        <v>-0.16191437347025162</v>
      </c>
      <c r="L395" s="32">
        <v>0.277468793533744</v>
      </c>
      <c r="M395" s="32">
        <v>-0.9016746270522735</v>
      </c>
      <c r="N395" s="32">
        <v>-1.8418862735619608</v>
      </c>
      <c r="O395" s="34" t="s">
        <v>69</v>
      </c>
      <c r="P395" s="34" t="s">
        <v>69</v>
      </c>
      <c r="Q395" s="34" t="s">
        <v>69</v>
      </c>
      <c r="R395" s="34" t="s">
        <v>69</v>
      </c>
    </row>
    <row r="396">
      <c r="A396" s="27" t="s">
        <v>435</v>
      </c>
      <c r="B396" s="35">
        <v>73.24708333333334</v>
      </c>
      <c r="C396" s="36">
        <v>25.0</v>
      </c>
      <c r="D396" s="36">
        <v>6.0</v>
      </c>
      <c r="E396" s="37">
        <v>-0.03495561559967009</v>
      </c>
      <c r="F396" s="37">
        <v>-1.1348203675990778</v>
      </c>
      <c r="G396" s="37">
        <v>-1.121559724573476</v>
      </c>
      <c r="H396" s="37">
        <v>-1.3018254390325468</v>
      </c>
      <c r="I396" s="37">
        <v>-1.1646671781040787</v>
      </c>
      <c r="J396" s="37">
        <v>-0.7832749912649523</v>
      </c>
      <c r="K396" s="37">
        <v>-0.3188214828805247</v>
      </c>
      <c r="L396" s="37">
        <v>0.6008468270148412</v>
      </c>
      <c r="M396" s="37">
        <v>-1.4655686839819932</v>
      </c>
      <c r="N396" s="37">
        <v>-1.10125228264746</v>
      </c>
      <c r="O396" s="34" t="s">
        <v>69</v>
      </c>
      <c r="P396" s="34" t="s">
        <v>69</v>
      </c>
      <c r="Q396" s="34" t="s">
        <v>69</v>
      </c>
      <c r="R396" s="34" t="s">
        <v>69</v>
      </c>
    </row>
    <row r="397">
      <c r="A397" s="27" t="s">
        <v>436</v>
      </c>
      <c r="B397" s="29">
        <v>82.58573529411764</v>
      </c>
      <c r="C397" s="31">
        <v>27.0</v>
      </c>
      <c r="D397" s="31">
        <v>6.0</v>
      </c>
      <c r="E397" s="32">
        <v>0.543092699768026</v>
      </c>
      <c r="F397" s="32">
        <v>-0.9486695729181177</v>
      </c>
      <c r="G397" s="32">
        <v>-4.325009808445907</v>
      </c>
      <c r="H397" s="32">
        <v>-1.8266208807010023</v>
      </c>
      <c r="I397" s="32">
        <v>0.7377907699075542</v>
      </c>
      <c r="J397" s="32">
        <v>-0.30292081348795313</v>
      </c>
      <c r="K397" s="32">
        <v>0.8233931187003646</v>
      </c>
      <c r="L397" s="32">
        <v>0.0</v>
      </c>
      <c r="M397" s="32">
        <v>-1.0749788451760889</v>
      </c>
      <c r="N397" s="32">
        <v>-1.4671993877661047</v>
      </c>
      <c r="O397" s="34" t="s">
        <v>69</v>
      </c>
      <c r="P397" s="34" t="s">
        <v>69</v>
      </c>
      <c r="Q397" s="34" t="s">
        <v>69</v>
      </c>
      <c r="R397" s="34" t="s">
        <v>69</v>
      </c>
    </row>
    <row r="398">
      <c r="A398" s="27" t="s">
        <v>437</v>
      </c>
      <c r="B398" s="35">
        <v>77.77777777777777</v>
      </c>
      <c r="C398" s="36">
        <v>28.0</v>
      </c>
      <c r="D398" s="36">
        <v>7.0</v>
      </c>
      <c r="E398" s="37">
        <v>0.2969026091353304</v>
      </c>
      <c r="F398" s="37">
        <v>-0.6119809680945889</v>
      </c>
      <c r="G398" s="37">
        <v>-2.042122274598999</v>
      </c>
      <c r="H398" s="37">
        <v>-2.0342711005476577</v>
      </c>
      <c r="I398" s="37">
        <v>-0.7185602064862098</v>
      </c>
      <c r="J398" s="37" t="s">
        <v>69</v>
      </c>
      <c r="K398" s="37">
        <v>0.1641464754764522</v>
      </c>
      <c r="L398" s="37">
        <v>0.0</v>
      </c>
      <c r="M398" s="37">
        <v>-1.303840366406263</v>
      </c>
      <c r="N398" s="37">
        <v>-1.5946756625173242</v>
      </c>
      <c r="O398" s="34" t="s">
        <v>69</v>
      </c>
      <c r="P398" s="34" t="s">
        <v>69</v>
      </c>
      <c r="Q398" s="34" t="s">
        <v>69</v>
      </c>
      <c r="R398" s="34" t="s">
        <v>69</v>
      </c>
    </row>
    <row r="399">
      <c r="A399" s="27" t="s">
        <v>438</v>
      </c>
      <c r="B399" s="29">
        <v>82.69916666666667</v>
      </c>
      <c r="C399" s="31">
        <v>34.0</v>
      </c>
      <c r="D399" s="31">
        <v>7.0</v>
      </c>
      <c r="E399" s="32">
        <v>-0.6190769621555653</v>
      </c>
      <c r="F399" s="32">
        <v>-1.2620255960058366</v>
      </c>
      <c r="G399" s="32">
        <v>-1.0619749478594847</v>
      </c>
      <c r="H399" s="32">
        <v>-0.5013307689542024</v>
      </c>
      <c r="I399" s="32">
        <v>-1.133965061986332</v>
      </c>
      <c r="J399" s="32">
        <v>0.24385561260746147</v>
      </c>
      <c r="K399" s="32">
        <v>-0.5744103471479497</v>
      </c>
      <c r="L399" s="32">
        <v>0.0</v>
      </c>
      <c r="M399" s="32">
        <v>-1.1560255506111878</v>
      </c>
      <c r="N399" s="32">
        <v>-1.7797405346826105</v>
      </c>
      <c r="O399" s="34" t="s">
        <v>69</v>
      </c>
      <c r="P399" s="34" t="s">
        <v>69</v>
      </c>
      <c r="Q399" s="34" t="s">
        <v>69</v>
      </c>
      <c r="R399" s="34" t="s">
        <v>69</v>
      </c>
    </row>
    <row r="400">
      <c r="A400" s="27" t="s">
        <v>439</v>
      </c>
      <c r="B400" s="35">
        <v>75.0</v>
      </c>
      <c r="C400" s="36">
        <v>24.0</v>
      </c>
      <c r="D400" s="36">
        <v>7.0</v>
      </c>
      <c r="E400" s="37">
        <v>-1.90245867586691</v>
      </c>
      <c r="F400" s="37">
        <v>-1.3770513943836846</v>
      </c>
      <c r="G400" s="37" t="s">
        <v>69</v>
      </c>
      <c r="H400" s="37">
        <v>-0.8737461619750322</v>
      </c>
      <c r="I400" s="37" t="s">
        <v>69</v>
      </c>
      <c r="J400" s="37" t="s">
        <v>69</v>
      </c>
      <c r="K400" s="37">
        <v>-3.0372515762074626</v>
      </c>
      <c r="L400" s="37" t="s">
        <v>69</v>
      </c>
      <c r="M400" s="37">
        <v>0.37147400792539265</v>
      </c>
      <c r="N400" s="37">
        <v>-1.0293536010832192</v>
      </c>
      <c r="O400" s="34" t="s">
        <v>69</v>
      </c>
      <c r="P400" s="34" t="s">
        <v>69</v>
      </c>
      <c r="Q400" s="34" t="s">
        <v>69</v>
      </c>
      <c r="R400" s="34" t="s">
        <v>69</v>
      </c>
    </row>
    <row r="401">
      <c r="A401" s="27" t="s">
        <v>440</v>
      </c>
      <c r="B401" s="29">
        <v>80.14285714285714</v>
      </c>
      <c r="C401" s="31">
        <v>23.0</v>
      </c>
      <c r="D401" s="31">
        <v>6.0</v>
      </c>
      <c r="E401" s="32">
        <v>-1.8773071491006836</v>
      </c>
      <c r="F401" s="32">
        <v>-1.6531263359455517</v>
      </c>
      <c r="G401" s="32">
        <v>-2.0451754151928268</v>
      </c>
      <c r="H401" s="32">
        <v>1.1512514349221</v>
      </c>
      <c r="I401" s="32">
        <v>-1.533253666995465</v>
      </c>
      <c r="J401" s="32">
        <v>-0.7871777123417198</v>
      </c>
      <c r="K401" s="32">
        <v>-1.8411360659184062</v>
      </c>
      <c r="L401" s="32">
        <v>0.0</v>
      </c>
      <c r="M401" s="32">
        <v>2.682357886284552</v>
      </c>
      <c r="N401" s="32">
        <v>-1.9520162126103784</v>
      </c>
      <c r="O401" s="34" t="s">
        <v>69</v>
      </c>
      <c r="P401" s="34" t="s">
        <v>69</v>
      </c>
      <c r="Q401" s="34" t="s">
        <v>69</v>
      </c>
      <c r="R401" s="34" t="s">
        <v>69</v>
      </c>
    </row>
    <row r="402">
      <c r="A402" s="27" t="s">
        <v>441</v>
      </c>
      <c r="B402" s="35">
        <v>78.23823529411764</v>
      </c>
      <c r="C402" s="36">
        <v>27.0</v>
      </c>
      <c r="D402" s="36">
        <v>6.0</v>
      </c>
      <c r="E402" s="37">
        <v>0.04468491026479969</v>
      </c>
      <c r="F402" s="37">
        <v>0.15860853884439147</v>
      </c>
      <c r="G402" s="37">
        <v>-3.8655407383173515</v>
      </c>
      <c r="H402" s="37">
        <v>-1.2400114944972331</v>
      </c>
      <c r="I402" s="37">
        <v>0.4443363774676614</v>
      </c>
      <c r="J402" s="37">
        <v>-0.6405836580810143</v>
      </c>
      <c r="K402" s="37">
        <v>-0.8204355753433067</v>
      </c>
      <c r="L402" s="37">
        <v>0.8952768827085846</v>
      </c>
      <c r="M402" s="37">
        <v>-1.414140143556276</v>
      </c>
      <c r="N402" s="37">
        <v>-1.4234496780635943</v>
      </c>
      <c r="O402" s="34" t="s">
        <v>69</v>
      </c>
      <c r="P402" s="34" t="s">
        <v>69</v>
      </c>
      <c r="Q402" s="34" t="s">
        <v>69</v>
      </c>
      <c r="R402" s="34" t="s">
        <v>69</v>
      </c>
    </row>
    <row r="403">
      <c r="A403" s="27" t="s">
        <v>442</v>
      </c>
      <c r="B403" s="29">
        <v>79.7635</v>
      </c>
      <c r="C403" s="31">
        <v>29.0</v>
      </c>
      <c r="D403" s="31">
        <v>7.0</v>
      </c>
      <c r="E403" s="32">
        <v>-1.1825168959384424</v>
      </c>
      <c r="F403" s="32">
        <v>-1.2559972930083958</v>
      </c>
      <c r="G403" s="32">
        <v>-1.0667309666896017</v>
      </c>
      <c r="H403" s="32">
        <v>-1.596498409147365</v>
      </c>
      <c r="I403" s="32">
        <v>-1.669020470750151</v>
      </c>
      <c r="J403" s="32">
        <v>0.9572588087581368</v>
      </c>
      <c r="K403" s="32">
        <v>-1.9400735648882923</v>
      </c>
      <c r="L403" s="32">
        <v>1.407927636741289</v>
      </c>
      <c r="M403" s="32">
        <v>-0.5590639080885436</v>
      </c>
      <c r="N403" s="32">
        <v>-0.9671814109933936</v>
      </c>
      <c r="O403" s="34" t="s">
        <v>69</v>
      </c>
      <c r="P403" s="34" t="s">
        <v>69</v>
      </c>
      <c r="Q403" s="34" t="s">
        <v>69</v>
      </c>
      <c r="R403" s="34" t="s">
        <v>69</v>
      </c>
    </row>
    <row r="404">
      <c r="A404" s="27" t="s">
        <v>443</v>
      </c>
      <c r="B404" s="35">
        <v>82.42999999999999</v>
      </c>
      <c r="C404" s="36">
        <v>33.0</v>
      </c>
      <c r="D404" s="36">
        <v>6.0</v>
      </c>
      <c r="E404" s="37">
        <v>-1.6324396505009173</v>
      </c>
      <c r="F404" s="37">
        <v>-0.9099740830567411</v>
      </c>
      <c r="G404" s="37">
        <v>-1.0445538868675301</v>
      </c>
      <c r="H404" s="37">
        <v>-0.4944291338668073</v>
      </c>
      <c r="I404" s="37">
        <v>-1.4142903091862948</v>
      </c>
      <c r="J404" s="37">
        <v>-0.2954438057332291</v>
      </c>
      <c r="K404" s="37">
        <v>-1.231818321244605</v>
      </c>
      <c r="L404" s="37">
        <v>0.0</v>
      </c>
      <c r="M404" s="37">
        <v>-1.5957264875399806</v>
      </c>
      <c r="N404" s="37">
        <v>0.7452620385585091</v>
      </c>
      <c r="O404" s="34" t="s">
        <v>69</v>
      </c>
      <c r="P404" s="34" t="s">
        <v>69</v>
      </c>
      <c r="Q404" s="34" t="s">
        <v>69</v>
      </c>
      <c r="R404" s="34" t="s">
        <v>69</v>
      </c>
    </row>
    <row r="405">
      <c r="A405" s="27" t="s">
        <v>444</v>
      </c>
      <c r="B405" s="29">
        <v>30.3</v>
      </c>
      <c r="C405" s="31">
        <v>29.0</v>
      </c>
      <c r="D405" s="31">
        <v>7.0</v>
      </c>
      <c r="E405" s="32" t="s">
        <v>69</v>
      </c>
      <c r="F405" s="32" t="s">
        <v>69</v>
      </c>
      <c r="G405" s="32" t="s">
        <v>69</v>
      </c>
      <c r="H405" s="32" t="s">
        <v>69</v>
      </c>
      <c r="I405" s="32" t="s">
        <v>69</v>
      </c>
      <c r="J405" s="32" t="s">
        <v>69</v>
      </c>
      <c r="K405" s="32" t="s">
        <v>69</v>
      </c>
      <c r="L405" s="32" t="s">
        <v>69</v>
      </c>
      <c r="M405" s="32" t="s">
        <v>69</v>
      </c>
      <c r="N405" s="32" t="s">
        <v>69</v>
      </c>
      <c r="O405" s="34">
        <v>-2.433564358188724</v>
      </c>
      <c r="P405" s="34">
        <v>-3.1008377656952963</v>
      </c>
      <c r="Q405" s="34">
        <v>-2.3402543667298796</v>
      </c>
      <c r="R405" s="34">
        <v>0.0</v>
      </c>
    </row>
    <row r="406">
      <c r="A406" s="27" t="s">
        <v>445</v>
      </c>
      <c r="B406" s="35">
        <v>75.9</v>
      </c>
      <c r="C406" s="36">
        <v>18.0</v>
      </c>
      <c r="D406" s="36">
        <v>6.0</v>
      </c>
      <c r="E406" s="37">
        <v>-0.35563977974398747</v>
      </c>
      <c r="F406" s="37">
        <v>-1.0035382381529232</v>
      </c>
      <c r="G406" s="37">
        <v>-0.49609697042367706</v>
      </c>
      <c r="H406" s="37">
        <v>-1.5327585378073445</v>
      </c>
      <c r="I406" s="37">
        <v>-0.8057469270769917</v>
      </c>
      <c r="J406" s="37">
        <v>-0.16952108464970286</v>
      </c>
      <c r="K406" s="37">
        <v>-0.3459916780570856</v>
      </c>
      <c r="L406" s="37">
        <v>0.0</v>
      </c>
      <c r="M406" s="37">
        <v>-1.5895864305250766</v>
      </c>
      <c r="N406" s="37">
        <v>-1.6548658349406025</v>
      </c>
      <c r="O406" s="34" t="s">
        <v>69</v>
      </c>
      <c r="P406" s="34" t="s">
        <v>69</v>
      </c>
      <c r="Q406" s="34" t="s">
        <v>69</v>
      </c>
      <c r="R406" s="34" t="s">
        <v>69</v>
      </c>
    </row>
    <row r="407">
      <c r="A407" s="27" t="s">
        <v>446</v>
      </c>
      <c r="B407" s="29">
        <v>81.49749999999999</v>
      </c>
      <c r="C407" s="31">
        <v>29.0</v>
      </c>
      <c r="D407" s="31">
        <v>6.0</v>
      </c>
      <c r="E407" s="32">
        <v>-0.4905479322102173</v>
      </c>
      <c r="F407" s="32">
        <v>-0.8862268672530509</v>
      </c>
      <c r="G407" s="32">
        <v>-0.11064992194792131</v>
      </c>
      <c r="H407" s="32">
        <v>-1.5896561552487414</v>
      </c>
      <c r="I407" s="32">
        <v>-0.999705623964773</v>
      </c>
      <c r="J407" s="32">
        <v>0.2692878453041424</v>
      </c>
      <c r="K407" s="32">
        <v>-0.46356499108733346</v>
      </c>
      <c r="L407" s="32">
        <v>0.0</v>
      </c>
      <c r="M407" s="32">
        <v>-2.1812400133554366</v>
      </c>
      <c r="N407" s="32">
        <v>-1.5092297114807893</v>
      </c>
      <c r="O407" s="34" t="s">
        <v>69</v>
      </c>
      <c r="P407" s="34" t="s">
        <v>69</v>
      </c>
      <c r="Q407" s="34" t="s">
        <v>69</v>
      </c>
      <c r="R407" s="34" t="s">
        <v>69</v>
      </c>
    </row>
    <row r="408">
      <c r="A408" s="27" t="s">
        <v>447</v>
      </c>
      <c r="B408" s="35">
        <v>10.0</v>
      </c>
      <c r="C408" s="36">
        <v>25.0</v>
      </c>
      <c r="D408" s="36">
        <v>6.0</v>
      </c>
      <c r="E408" s="37" t="s">
        <v>69</v>
      </c>
      <c r="F408" s="37" t="s">
        <v>69</v>
      </c>
      <c r="G408" s="37" t="s">
        <v>69</v>
      </c>
      <c r="H408" s="37" t="s">
        <v>69</v>
      </c>
      <c r="I408" s="37" t="s">
        <v>69</v>
      </c>
      <c r="J408" s="37" t="s">
        <v>69</v>
      </c>
      <c r="K408" s="37" t="s">
        <v>69</v>
      </c>
      <c r="L408" s="37" t="s">
        <v>69</v>
      </c>
      <c r="M408" s="37" t="s">
        <v>69</v>
      </c>
      <c r="N408" s="37" t="s">
        <v>69</v>
      </c>
      <c r="O408" s="34">
        <v>-4.123376577807199</v>
      </c>
      <c r="P408" s="34">
        <v>-1.9506827655708132</v>
      </c>
      <c r="Q408" s="34">
        <v>-1.8990712746759313</v>
      </c>
      <c r="R408" s="34">
        <v>0.0</v>
      </c>
    </row>
    <row r="409">
      <c r="A409" s="27" t="s">
        <v>448</v>
      </c>
      <c r="B409" s="29">
        <v>77.14285714285714</v>
      </c>
      <c r="C409" s="31">
        <v>25.0</v>
      </c>
      <c r="D409" s="31">
        <v>6.0</v>
      </c>
      <c r="E409" s="32">
        <v>-2.222242373323217</v>
      </c>
      <c r="F409" s="32">
        <v>-1.189134837522246</v>
      </c>
      <c r="G409" s="32">
        <v>-0.6918265740469932</v>
      </c>
      <c r="H409" s="32">
        <v>-0.3497336259358619</v>
      </c>
      <c r="I409" s="32">
        <v>-1.6499347800537607</v>
      </c>
      <c r="J409" s="32">
        <v>-0.16952108464970286</v>
      </c>
      <c r="K409" s="32">
        <v>-1.2358490412061969</v>
      </c>
      <c r="L409" s="32">
        <v>0.0</v>
      </c>
      <c r="M409" s="32">
        <v>-1.2584983045529194</v>
      </c>
      <c r="N409" s="32">
        <v>0.7928836789579077</v>
      </c>
      <c r="O409" s="34" t="s">
        <v>69</v>
      </c>
      <c r="P409" s="34" t="s">
        <v>69</v>
      </c>
      <c r="Q409" s="34" t="s">
        <v>69</v>
      </c>
      <c r="R409" s="34" t="s">
        <v>69</v>
      </c>
    </row>
    <row r="410">
      <c r="A410" s="27" t="s">
        <v>449</v>
      </c>
      <c r="B410" s="35">
        <v>55.23529411764706</v>
      </c>
      <c r="C410" s="36">
        <v>34.0</v>
      </c>
      <c r="D410" s="36">
        <v>7.0</v>
      </c>
      <c r="E410" s="37">
        <v>-0.42831607140585065</v>
      </c>
      <c r="F410" s="37">
        <v>-0.08689885749253169</v>
      </c>
      <c r="G410" s="37">
        <v>-0.9367531960087165</v>
      </c>
      <c r="H410" s="37">
        <v>-1.8473049146208174</v>
      </c>
      <c r="I410" s="37">
        <v>-0.3526391459930931</v>
      </c>
      <c r="J410" s="37">
        <v>0.710322280936186</v>
      </c>
      <c r="K410" s="37">
        <v>-0.4078648584899814</v>
      </c>
      <c r="L410" s="37">
        <v>0.0</v>
      </c>
      <c r="M410" s="37">
        <v>-2.5311885358086195</v>
      </c>
      <c r="N410" s="37">
        <v>-2.10226278977706</v>
      </c>
      <c r="O410" s="34" t="s">
        <v>69</v>
      </c>
      <c r="P410" s="34" t="s">
        <v>69</v>
      </c>
      <c r="Q410" s="34" t="s">
        <v>69</v>
      </c>
      <c r="R410" s="34" t="s">
        <v>69</v>
      </c>
    </row>
    <row r="411">
      <c r="A411" s="27" t="s">
        <v>450</v>
      </c>
      <c r="B411" s="29">
        <v>80.85714285714286</v>
      </c>
      <c r="C411" s="31">
        <v>29.0</v>
      </c>
      <c r="D411" s="31">
        <v>7.0</v>
      </c>
      <c r="E411" s="32">
        <v>-1.5323719248781502</v>
      </c>
      <c r="F411" s="32">
        <v>-1.0638571329479531</v>
      </c>
      <c r="G411" s="32">
        <v>-0.6193751006429329</v>
      </c>
      <c r="H411" s="32">
        <v>-1.2645351719025488</v>
      </c>
      <c r="I411" s="32">
        <v>-1.4772467327274834</v>
      </c>
      <c r="J411" s="32">
        <v>0.44813554304231407</v>
      </c>
      <c r="K411" s="32">
        <v>-1.559194552778843</v>
      </c>
      <c r="L411" s="32">
        <v>1.5028034952436613</v>
      </c>
      <c r="M411" s="32">
        <v>-1.2778190970499683</v>
      </c>
      <c r="N411" s="32">
        <v>-1.166171041161389</v>
      </c>
      <c r="O411" s="34" t="s">
        <v>69</v>
      </c>
      <c r="P411" s="34" t="s">
        <v>69</v>
      </c>
      <c r="Q411" s="34" t="s">
        <v>69</v>
      </c>
      <c r="R411" s="34" t="s">
        <v>69</v>
      </c>
    </row>
    <row r="412">
      <c r="A412" s="27" t="s">
        <v>451</v>
      </c>
      <c r="B412" s="35">
        <v>81.11529411764707</v>
      </c>
      <c r="C412" s="36">
        <v>25.0</v>
      </c>
      <c r="D412" s="36">
        <v>7.0</v>
      </c>
      <c r="E412" s="37">
        <v>-1.6765113627721364</v>
      </c>
      <c r="F412" s="37">
        <v>-0.26359640632054826</v>
      </c>
      <c r="G412" s="37">
        <v>-1.7537562134271247</v>
      </c>
      <c r="H412" s="37">
        <v>-1.252261480467238</v>
      </c>
      <c r="I412" s="37">
        <v>-0.7270145298323323</v>
      </c>
      <c r="J412" s="37">
        <v>-0.6924651758549334</v>
      </c>
      <c r="K412" s="37">
        <v>-0.7421731212480235</v>
      </c>
      <c r="L412" s="37">
        <v>0.0</v>
      </c>
      <c r="M412" s="37">
        <v>-1.7974935441066762</v>
      </c>
      <c r="N412" s="37">
        <v>0.8607186493629199</v>
      </c>
      <c r="O412" s="34" t="s">
        <v>69</v>
      </c>
      <c r="P412" s="34" t="s">
        <v>69</v>
      </c>
      <c r="Q412" s="34" t="s">
        <v>69</v>
      </c>
      <c r="R412" s="34" t="s">
        <v>69</v>
      </c>
    </row>
    <row r="413">
      <c r="A413" s="27" t="s">
        <v>452</v>
      </c>
      <c r="B413" s="29">
        <v>79.08573529411764</v>
      </c>
      <c r="C413" s="31">
        <v>23.0</v>
      </c>
      <c r="D413" s="31">
        <v>6.0</v>
      </c>
      <c r="E413" s="32">
        <v>-1.1061269334810948</v>
      </c>
      <c r="F413" s="32">
        <v>-0.805296704830399</v>
      </c>
      <c r="G413" s="32">
        <v>-1.2786824739423555</v>
      </c>
      <c r="H413" s="32">
        <v>-0.581828077887053</v>
      </c>
      <c r="I413" s="32">
        <v>-1.5687678958076894</v>
      </c>
      <c r="J413" s="32">
        <v>-0.24562074093730282</v>
      </c>
      <c r="K413" s="32">
        <v>-0.680514641557305</v>
      </c>
      <c r="L413" s="32">
        <v>0.0</v>
      </c>
      <c r="M413" s="32">
        <v>-0.48428574078035486</v>
      </c>
      <c r="N413" s="32">
        <v>-1.3021812067002</v>
      </c>
      <c r="O413" s="34" t="s">
        <v>69</v>
      </c>
      <c r="P413" s="34" t="s">
        <v>69</v>
      </c>
      <c r="Q413" s="34" t="s">
        <v>69</v>
      </c>
      <c r="R413" s="34" t="s">
        <v>69</v>
      </c>
    </row>
    <row r="414">
      <c r="A414" s="27" t="s">
        <v>453</v>
      </c>
      <c r="B414" s="35">
        <v>78.71428571428571</v>
      </c>
      <c r="C414" s="36">
        <v>27.0</v>
      </c>
      <c r="D414" s="36">
        <v>6.0</v>
      </c>
      <c r="E414" s="37">
        <v>-1.6221988061861015</v>
      </c>
      <c r="F414" s="37">
        <v>-1.5951273986426382</v>
      </c>
      <c r="G414" s="37">
        <v>-0.23625925215433902</v>
      </c>
      <c r="H414" s="37">
        <v>1.0713173192551084</v>
      </c>
      <c r="I414" s="37">
        <v>-1.7199434478887383</v>
      </c>
      <c r="J414" s="37">
        <v>-0.7871777123417198</v>
      </c>
      <c r="K414" s="37">
        <v>-1.9278873007305795</v>
      </c>
      <c r="L414" s="37">
        <v>0.0</v>
      </c>
      <c r="M414" s="37">
        <v>0.24735255309586618</v>
      </c>
      <c r="N414" s="37">
        <v>-1.4953880063494855</v>
      </c>
      <c r="O414" s="34" t="s">
        <v>69</v>
      </c>
      <c r="P414" s="34" t="s">
        <v>69</v>
      </c>
      <c r="Q414" s="34" t="s">
        <v>69</v>
      </c>
      <c r="R414" s="34" t="s">
        <v>69</v>
      </c>
    </row>
    <row r="415">
      <c r="A415" s="27" t="s">
        <v>454</v>
      </c>
      <c r="B415" s="29">
        <v>81.21875</v>
      </c>
      <c r="C415" s="31">
        <v>31.0</v>
      </c>
      <c r="D415" s="31">
        <v>7.0</v>
      </c>
      <c r="E415" s="32">
        <v>-0.8843418989398503</v>
      </c>
      <c r="F415" s="32">
        <v>-0.14127375650775395</v>
      </c>
      <c r="G415" s="32">
        <v>-2.6897242530164753</v>
      </c>
      <c r="H415" s="32">
        <v>-1.753023758137482</v>
      </c>
      <c r="I415" s="32">
        <v>-0.3154666505136227</v>
      </c>
      <c r="J415" s="32">
        <v>-0.11740850857644765</v>
      </c>
      <c r="K415" s="32">
        <v>-1.730435791722301</v>
      </c>
      <c r="L415" s="32">
        <v>1.6363240639155798</v>
      </c>
      <c r="M415" s="32">
        <v>-2.001622795886342</v>
      </c>
      <c r="N415" s="32">
        <v>-0.07933220791333584</v>
      </c>
      <c r="O415" s="34" t="s">
        <v>69</v>
      </c>
      <c r="P415" s="34" t="s">
        <v>69</v>
      </c>
      <c r="Q415" s="34" t="s">
        <v>69</v>
      </c>
      <c r="R415" s="34" t="s">
        <v>69</v>
      </c>
    </row>
    <row r="416">
      <c r="A416" s="27" t="s">
        <v>455</v>
      </c>
      <c r="B416" s="35">
        <v>10.0</v>
      </c>
      <c r="C416" s="36">
        <v>24.0</v>
      </c>
      <c r="D416" s="36">
        <v>7.0</v>
      </c>
      <c r="E416" s="37" t="s">
        <v>69</v>
      </c>
      <c r="F416" s="37" t="s">
        <v>69</v>
      </c>
      <c r="G416" s="37" t="s">
        <v>69</v>
      </c>
      <c r="H416" s="37" t="s">
        <v>69</v>
      </c>
      <c r="I416" s="37" t="s">
        <v>69</v>
      </c>
      <c r="J416" s="37" t="s">
        <v>69</v>
      </c>
      <c r="K416" s="37" t="s">
        <v>69</v>
      </c>
      <c r="L416" s="37" t="s">
        <v>69</v>
      </c>
      <c r="M416" s="37" t="s">
        <v>69</v>
      </c>
      <c r="N416" s="37" t="s">
        <v>69</v>
      </c>
      <c r="O416" s="34">
        <v>-4.12013938964701</v>
      </c>
      <c r="P416" s="34">
        <v>-1.8487702972053546</v>
      </c>
      <c r="Q416" s="34">
        <v>-2.1748107072096605</v>
      </c>
      <c r="R416" s="34">
        <v>0.0</v>
      </c>
    </row>
    <row r="417">
      <c r="A417" s="27" t="s">
        <v>456</v>
      </c>
      <c r="B417" s="29">
        <v>81.72720588235293</v>
      </c>
      <c r="C417" s="31">
        <v>23.0</v>
      </c>
      <c r="D417" s="31">
        <v>6.0</v>
      </c>
      <c r="E417" s="32">
        <v>0.3156025949441818</v>
      </c>
      <c r="F417" s="32">
        <v>-0.3654900726971862</v>
      </c>
      <c r="G417" s="32">
        <v>-3.4864842213900817</v>
      </c>
      <c r="H417" s="32">
        <v>-1.0873117012722389</v>
      </c>
      <c r="I417" s="32">
        <v>0.28253362673682814</v>
      </c>
      <c r="J417" s="32">
        <v>-0.7826372609312401</v>
      </c>
      <c r="K417" s="32">
        <v>0.8265787000664166</v>
      </c>
      <c r="L417" s="32">
        <v>0.0</v>
      </c>
      <c r="M417" s="32">
        <v>-2.0405078834614803</v>
      </c>
      <c r="N417" s="32">
        <v>-1.8385808670343373</v>
      </c>
      <c r="O417" s="34" t="s">
        <v>69</v>
      </c>
      <c r="P417" s="34" t="s">
        <v>69</v>
      </c>
      <c r="Q417" s="34" t="s">
        <v>69</v>
      </c>
      <c r="R417" s="34" t="s">
        <v>69</v>
      </c>
    </row>
    <row r="418">
      <c r="A418" s="27" t="s">
        <v>457</v>
      </c>
      <c r="B418" s="35">
        <v>33.2</v>
      </c>
      <c r="C418" s="36">
        <v>28.0</v>
      </c>
      <c r="D418" s="36">
        <v>7.0</v>
      </c>
      <c r="E418" s="37" t="s">
        <v>69</v>
      </c>
      <c r="F418" s="37" t="s">
        <v>69</v>
      </c>
      <c r="G418" s="37" t="s">
        <v>69</v>
      </c>
      <c r="H418" s="37" t="s">
        <v>69</v>
      </c>
      <c r="I418" s="37" t="s">
        <v>69</v>
      </c>
      <c r="J418" s="37" t="s">
        <v>69</v>
      </c>
      <c r="K418" s="37" t="s">
        <v>69</v>
      </c>
      <c r="L418" s="37" t="s">
        <v>69</v>
      </c>
      <c r="M418" s="37" t="s">
        <v>69</v>
      </c>
      <c r="N418" s="37" t="s">
        <v>69</v>
      </c>
      <c r="O418" s="34">
        <v>-1.8940329981572825</v>
      </c>
      <c r="P418" s="34">
        <v>-3.887019664514568</v>
      </c>
      <c r="Q418" s="34">
        <v>-2.3954022532366497</v>
      </c>
      <c r="R418" s="34">
        <v>0.0</v>
      </c>
    </row>
    <row r="419">
      <c r="A419" s="27" t="s">
        <v>458</v>
      </c>
      <c r="B419" s="29">
        <v>77.92857142857143</v>
      </c>
      <c r="C419" s="31">
        <v>31.0</v>
      </c>
      <c r="D419" s="31">
        <v>7.0</v>
      </c>
      <c r="E419" s="32">
        <v>-0.49936278983671006</v>
      </c>
      <c r="F419" s="32">
        <v>-0.3423503528997126</v>
      </c>
      <c r="G419" s="32">
        <v>-0.2974747133205115</v>
      </c>
      <c r="H419" s="32">
        <v>-1.6890741417783515</v>
      </c>
      <c r="I419" s="32">
        <v>-0.5577995618281134</v>
      </c>
      <c r="J419" s="32">
        <v>-0.7871777123417198</v>
      </c>
      <c r="K419" s="32">
        <v>-0.5865291927635661</v>
      </c>
      <c r="L419" s="32">
        <v>0.0</v>
      </c>
      <c r="M419" s="32">
        <v>-1.7666936950813588</v>
      </c>
      <c r="N419" s="32">
        <v>-1.6548658349406025</v>
      </c>
      <c r="O419" s="34" t="s">
        <v>69</v>
      </c>
      <c r="P419" s="34" t="s">
        <v>69</v>
      </c>
      <c r="Q419" s="34" t="s">
        <v>69</v>
      </c>
      <c r="R419" s="34" t="s">
        <v>69</v>
      </c>
    </row>
    <row r="420">
      <c r="A420" s="27" t="s">
        <v>459</v>
      </c>
      <c r="B420" s="35">
        <v>78.36363636363636</v>
      </c>
      <c r="C420" s="36">
        <v>21.0</v>
      </c>
      <c r="D420" s="36">
        <v>7.0</v>
      </c>
      <c r="E420" s="37">
        <v>-1.7332574958032054</v>
      </c>
      <c r="F420" s="37">
        <v>-1.1216451650243102</v>
      </c>
      <c r="G420" s="37">
        <v>-2.0386229439957955</v>
      </c>
      <c r="H420" s="37">
        <v>0.7144397523378304</v>
      </c>
      <c r="I420" s="37">
        <v>-1.2241783630721574</v>
      </c>
      <c r="J420" s="37">
        <v>-0.7871777123417198</v>
      </c>
      <c r="K420" s="37">
        <v>-1.2046018677855583</v>
      </c>
      <c r="L420" s="37">
        <v>0.0</v>
      </c>
      <c r="M420" s="37">
        <v>-0.3170487792421701</v>
      </c>
      <c r="N420" s="37">
        <v>-0.469412680126936</v>
      </c>
      <c r="O420" s="34" t="s">
        <v>69</v>
      </c>
      <c r="P420" s="34" t="s">
        <v>69</v>
      </c>
      <c r="Q420" s="34" t="s">
        <v>69</v>
      </c>
      <c r="R420" s="34" t="s">
        <v>69</v>
      </c>
    </row>
    <row r="421">
      <c r="A421" s="27" t="s">
        <v>460</v>
      </c>
      <c r="B421" s="29">
        <v>78.77470588235295</v>
      </c>
      <c r="C421" s="31">
        <v>25.0</v>
      </c>
      <c r="D421" s="31">
        <v>7.0</v>
      </c>
      <c r="E421" s="32">
        <v>-0.6676637585754923</v>
      </c>
      <c r="F421" s="32">
        <v>-0.6962075325114592</v>
      </c>
      <c r="G421" s="32">
        <v>-1.8556780806803646</v>
      </c>
      <c r="H421" s="32">
        <v>-0.06722591013162087</v>
      </c>
      <c r="I421" s="32">
        <v>-0.8353807968697121</v>
      </c>
      <c r="J421" s="32">
        <v>-0.7097525525973726</v>
      </c>
      <c r="K421" s="32">
        <v>-0.994677184870867</v>
      </c>
      <c r="L421" s="32">
        <v>0.0</v>
      </c>
      <c r="M421" s="32">
        <v>-0.8474501991498644</v>
      </c>
      <c r="N421" s="32">
        <v>-1.516426049965889</v>
      </c>
      <c r="O421" s="34" t="s">
        <v>69</v>
      </c>
      <c r="P421" s="34" t="s">
        <v>69</v>
      </c>
      <c r="Q421" s="34" t="s">
        <v>69</v>
      </c>
      <c r="R421" s="34" t="s">
        <v>69</v>
      </c>
    </row>
    <row r="422">
      <c r="A422" s="27" t="s">
        <v>461</v>
      </c>
      <c r="B422" s="35">
        <v>27.8</v>
      </c>
      <c r="C422" s="36">
        <v>34.0</v>
      </c>
      <c r="D422" s="36">
        <v>7.0</v>
      </c>
      <c r="E422" s="37" t="s">
        <v>69</v>
      </c>
      <c r="F422" s="37" t="s">
        <v>69</v>
      </c>
      <c r="G422" s="37" t="s">
        <v>69</v>
      </c>
      <c r="H422" s="37" t="s">
        <v>69</v>
      </c>
      <c r="I422" s="37" t="s">
        <v>69</v>
      </c>
      <c r="J422" s="37" t="s">
        <v>69</v>
      </c>
      <c r="K422" s="37" t="s">
        <v>69</v>
      </c>
      <c r="L422" s="37" t="s">
        <v>69</v>
      </c>
      <c r="M422" s="37" t="s">
        <v>69</v>
      </c>
      <c r="N422" s="37" t="s">
        <v>69</v>
      </c>
      <c r="O422" s="34">
        <v>-2.3040768317811784</v>
      </c>
      <c r="P422" s="34">
        <v>-3.43860480370654</v>
      </c>
      <c r="Q422" s="34">
        <v>-2.45055013974342</v>
      </c>
      <c r="R422" s="34">
        <v>0.0</v>
      </c>
    </row>
    <row r="423">
      <c r="A423" s="27" t="s">
        <v>462</v>
      </c>
      <c r="B423" s="29">
        <v>69.1815</v>
      </c>
      <c r="C423" s="31">
        <v>29.0</v>
      </c>
      <c r="D423" s="31">
        <v>7.0</v>
      </c>
      <c r="E423" s="32">
        <v>-0.848061686068134</v>
      </c>
      <c r="F423" s="32">
        <v>-1.311402081272316</v>
      </c>
      <c r="G423" s="32">
        <v>-1.3070432923314992</v>
      </c>
      <c r="H423" s="32">
        <v>0.016790037447070697</v>
      </c>
      <c r="I423" s="32">
        <v>-1.0321703041743986</v>
      </c>
      <c r="J423" s="32">
        <v>-0.7812690454380372</v>
      </c>
      <c r="K423" s="32">
        <v>-1.3839766810479643</v>
      </c>
      <c r="L423" s="32">
        <v>0.0</v>
      </c>
      <c r="M423" s="32">
        <v>-0.43384632150393165</v>
      </c>
      <c r="N423" s="32">
        <v>-1.1423065809239998</v>
      </c>
      <c r="O423" s="34" t="s">
        <v>69</v>
      </c>
      <c r="P423" s="34" t="s">
        <v>69</v>
      </c>
      <c r="Q423" s="34" t="s">
        <v>69</v>
      </c>
      <c r="R423" s="34" t="s">
        <v>69</v>
      </c>
    </row>
    <row r="424">
      <c r="A424" s="27" t="s">
        <v>463</v>
      </c>
      <c r="B424" s="35">
        <v>45.8</v>
      </c>
      <c r="C424" s="36">
        <v>28.0</v>
      </c>
      <c r="D424" s="36">
        <v>7.0</v>
      </c>
      <c r="E424" s="37" t="s">
        <v>69</v>
      </c>
      <c r="F424" s="37" t="s">
        <v>69</v>
      </c>
      <c r="G424" s="37" t="s">
        <v>69</v>
      </c>
      <c r="H424" s="37" t="s">
        <v>69</v>
      </c>
      <c r="I424" s="37" t="s">
        <v>69</v>
      </c>
      <c r="J424" s="37" t="s">
        <v>69</v>
      </c>
      <c r="K424" s="37" t="s">
        <v>69</v>
      </c>
      <c r="L424" s="37" t="s">
        <v>69</v>
      </c>
      <c r="M424" s="37" t="s">
        <v>69</v>
      </c>
      <c r="N424" s="37" t="s">
        <v>69</v>
      </c>
      <c r="O424" s="34">
        <v>-0.5607431012475846</v>
      </c>
      <c r="P424" s="34">
        <v>-3.668635803731434</v>
      </c>
      <c r="Q424" s="34">
        <v>-3.9946909619322546</v>
      </c>
      <c r="R424" s="34">
        <v>0.0</v>
      </c>
    </row>
    <row r="425">
      <c r="A425" s="27" t="s">
        <v>464</v>
      </c>
      <c r="B425" s="29">
        <v>80.14285714285714</v>
      </c>
      <c r="C425" s="31">
        <v>28.0</v>
      </c>
      <c r="D425" s="31">
        <v>7.0</v>
      </c>
      <c r="E425" s="32">
        <v>-0.6269169612940008</v>
      </c>
      <c r="F425" s="32">
        <v>-1.4443301616550641</v>
      </c>
      <c r="G425" s="32">
        <v>-0.6775518530077199</v>
      </c>
      <c r="H425" s="32">
        <v>1.0446726140327771</v>
      </c>
      <c r="I425" s="32">
        <v>-0.6184737406184271</v>
      </c>
      <c r="J425" s="32">
        <v>-0.7871777123417198</v>
      </c>
      <c r="K425" s="32">
        <v>-1.3580894175324412</v>
      </c>
      <c r="L425" s="32">
        <v>0.0</v>
      </c>
      <c r="M425" s="32">
        <v>-1.9095504638474177</v>
      </c>
      <c r="N425" s="32">
        <v>-1.8613746585585904</v>
      </c>
      <c r="O425" s="34" t="s">
        <v>69</v>
      </c>
      <c r="P425" s="34" t="s">
        <v>69</v>
      </c>
      <c r="Q425" s="34" t="s">
        <v>69</v>
      </c>
      <c r="R425" s="34" t="s">
        <v>69</v>
      </c>
    </row>
    <row r="426">
      <c r="A426" s="27" t="s">
        <v>465</v>
      </c>
      <c r="B426" s="35">
        <v>81.85714285714286</v>
      </c>
      <c r="C426" s="36">
        <v>33.0</v>
      </c>
      <c r="D426" s="36">
        <v>6.0</v>
      </c>
      <c r="E426" s="37">
        <v>-2.074926287978177</v>
      </c>
      <c r="F426" s="37">
        <v>-1.2935329246674896</v>
      </c>
      <c r="G426" s="37">
        <v>-2.264575910503131</v>
      </c>
      <c r="H426" s="37">
        <v>-1.3533508559769847</v>
      </c>
      <c r="I426" s="37">
        <v>-1.645267535531429</v>
      </c>
      <c r="J426" s="37">
        <v>-0.16952108464970286</v>
      </c>
      <c r="K426" s="37">
        <v>-1.5342207124541263</v>
      </c>
      <c r="L426" s="37">
        <v>0.0</v>
      </c>
      <c r="M426" s="37">
        <v>0.5400918333541835</v>
      </c>
      <c r="N426" s="37">
        <v>1.518871220372697</v>
      </c>
      <c r="O426" s="34" t="s">
        <v>69</v>
      </c>
      <c r="P426" s="34" t="s">
        <v>69</v>
      </c>
      <c r="Q426" s="34" t="s">
        <v>69</v>
      </c>
      <c r="R426" s="34" t="s">
        <v>69</v>
      </c>
    </row>
    <row r="427">
      <c r="A427" s="27" t="s">
        <v>466</v>
      </c>
      <c r="B427" s="29">
        <v>80.20160714285714</v>
      </c>
      <c r="C427" s="31">
        <v>34.0</v>
      </c>
      <c r="D427" s="31">
        <v>7.0</v>
      </c>
      <c r="E427" s="32">
        <v>-1.5903196535436102</v>
      </c>
      <c r="F427" s="32">
        <v>-0.8600261440993635</v>
      </c>
      <c r="G427" s="32">
        <v>-1.5619624441935431</v>
      </c>
      <c r="H427" s="32">
        <v>-1.300104829309218</v>
      </c>
      <c r="I427" s="32">
        <v>-1.1776365082292568</v>
      </c>
      <c r="J427" s="32">
        <v>-0.12226083040850005</v>
      </c>
      <c r="K427" s="32">
        <v>-1.4569656792055372</v>
      </c>
      <c r="L427" s="32">
        <v>0.0</v>
      </c>
      <c r="M427" s="32">
        <v>-1.286330309434805</v>
      </c>
      <c r="N427" s="32">
        <v>1.069701452278671</v>
      </c>
      <c r="O427" s="34" t="s">
        <v>69</v>
      </c>
      <c r="P427" s="34" t="s">
        <v>69</v>
      </c>
      <c r="Q427" s="34" t="s">
        <v>69</v>
      </c>
      <c r="R427" s="34" t="s">
        <v>69</v>
      </c>
    </row>
    <row r="428">
      <c r="A428" s="27" t="s">
        <v>467</v>
      </c>
      <c r="B428" s="35">
        <v>77.0</v>
      </c>
      <c r="C428" s="36">
        <v>29.0</v>
      </c>
      <c r="D428" s="36">
        <v>6.0</v>
      </c>
      <c r="E428" s="37">
        <v>-1.2736705067112504</v>
      </c>
      <c r="F428" s="37">
        <v>-1.5394484188318418</v>
      </c>
      <c r="G428" s="37">
        <v>-2.5249486667214613</v>
      </c>
      <c r="H428" s="37">
        <v>-0.4385493100102976</v>
      </c>
      <c r="I428" s="37">
        <v>-1.2578862401778874</v>
      </c>
      <c r="J428" s="37">
        <v>-0.7871777123417198</v>
      </c>
      <c r="K428" s="37">
        <v>-1.8871405086218314</v>
      </c>
      <c r="L428" s="37">
        <v>0.0</v>
      </c>
      <c r="M428" s="37">
        <v>2.809992212477178</v>
      </c>
      <c r="N428" s="37">
        <v>-1.3884993812884154</v>
      </c>
      <c r="O428" s="34" t="s">
        <v>69</v>
      </c>
      <c r="P428" s="34" t="s">
        <v>69</v>
      </c>
      <c r="Q428" s="34" t="s">
        <v>69</v>
      </c>
      <c r="R428" s="34" t="s">
        <v>69</v>
      </c>
    </row>
    <row r="429">
      <c r="A429" s="27" t="s">
        <v>468</v>
      </c>
      <c r="B429" s="29">
        <v>75.0</v>
      </c>
      <c r="C429" s="31">
        <v>25.0</v>
      </c>
      <c r="D429" s="31">
        <v>6.0</v>
      </c>
      <c r="E429" s="32">
        <v>-2.175532395043082</v>
      </c>
      <c r="F429" s="32">
        <v>-1.5139288864185598</v>
      </c>
      <c r="G429" s="32">
        <v>-1.730810507824443</v>
      </c>
      <c r="H429" s="32">
        <v>0.6005941936605992</v>
      </c>
      <c r="I429" s="32">
        <v>-1.640600291009097</v>
      </c>
      <c r="J429" s="32">
        <v>-0.16952108464970286</v>
      </c>
      <c r="K429" s="32">
        <v>-1.804332511755666</v>
      </c>
      <c r="L429" s="32">
        <v>0.0</v>
      </c>
      <c r="M429" s="32">
        <v>-0.8767662830960733</v>
      </c>
      <c r="N429" s="32">
        <v>1.001530275077117</v>
      </c>
      <c r="O429" s="34" t="s">
        <v>69</v>
      </c>
      <c r="P429" s="34" t="s">
        <v>69</v>
      </c>
      <c r="Q429" s="34" t="s">
        <v>69</v>
      </c>
      <c r="R429" s="34" t="s">
        <v>69</v>
      </c>
    </row>
    <row r="430">
      <c r="A430" s="27" t="s">
        <v>469</v>
      </c>
      <c r="B430" s="35">
        <v>77.41176470588235</v>
      </c>
      <c r="C430" s="36">
        <v>31.0</v>
      </c>
      <c r="D430" s="36">
        <v>7.0</v>
      </c>
      <c r="E430" s="37">
        <v>-0.15273763113528363</v>
      </c>
      <c r="F430" s="37">
        <v>-0.611675718727852</v>
      </c>
      <c r="G430" s="37">
        <v>-0.8806063916829898</v>
      </c>
      <c r="H430" s="37">
        <v>-1.5690530090785997</v>
      </c>
      <c r="I430" s="37">
        <v>-0.5276450345523364</v>
      </c>
      <c r="J430" s="37">
        <v>-0.7855208155364981</v>
      </c>
      <c r="K430" s="37">
        <v>-0.6152314185882043</v>
      </c>
      <c r="L430" s="37">
        <v>0.0</v>
      </c>
      <c r="M430" s="37">
        <v>-1.5733176263968167</v>
      </c>
      <c r="N430" s="37">
        <v>-1.614912696384517</v>
      </c>
      <c r="O430" s="34" t="s">
        <v>69</v>
      </c>
      <c r="P430" s="34" t="s">
        <v>69</v>
      </c>
      <c r="Q430" s="34" t="s">
        <v>69</v>
      </c>
      <c r="R430" s="34" t="s">
        <v>69</v>
      </c>
    </row>
    <row r="431">
      <c r="A431" s="27" t="s">
        <v>470</v>
      </c>
      <c r="B431" s="29">
        <v>77.16666666666667</v>
      </c>
      <c r="C431" s="31">
        <v>24.0</v>
      </c>
      <c r="D431" s="31">
        <v>7.0</v>
      </c>
      <c r="E431" s="32">
        <v>-1.9506657688355105</v>
      </c>
      <c r="F431" s="32">
        <v>-1.0536106540244383</v>
      </c>
      <c r="G431" s="32">
        <v>0.11355963717402243</v>
      </c>
      <c r="H431" s="32">
        <v>-1.9793534025616315</v>
      </c>
      <c r="I431" s="32">
        <v>-0.9638498352709822</v>
      </c>
      <c r="J431" s="32">
        <v>-0.7871777123417198</v>
      </c>
      <c r="K431" s="32">
        <v>-1.6471506658522963</v>
      </c>
      <c r="L431" s="32">
        <v>0.0</v>
      </c>
      <c r="M431" s="32">
        <v>-1.2757211322081172</v>
      </c>
      <c r="N431" s="32">
        <v>1.192362100352814</v>
      </c>
      <c r="O431" s="34" t="s">
        <v>69</v>
      </c>
      <c r="P431" s="34" t="s">
        <v>69</v>
      </c>
      <c r="Q431" s="34" t="s">
        <v>69</v>
      </c>
      <c r="R431" s="34" t="s">
        <v>69</v>
      </c>
    </row>
    <row r="432">
      <c r="A432" s="27" t="s">
        <v>471</v>
      </c>
      <c r="B432" s="35">
        <v>74.0</v>
      </c>
      <c r="C432" s="36">
        <v>31.0</v>
      </c>
      <c r="D432" s="36">
        <v>7.0</v>
      </c>
      <c r="E432" s="37">
        <v>-2.1396016425199016</v>
      </c>
      <c r="F432" s="37">
        <v>-1.5951273986426382</v>
      </c>
      <c r="G432" s="37">
        <v>-0.622349674237077</v>
      </c>
      <c r="H432" s="37">
        <v>1.6930271077761578</v>
      </c>
      <c r="I432" s="37">
        <v>-1.6265985574421018</v>
      </c>
      <c r="J432" s="37">
        <v>-0.7871777123417198</v>
      </c>
      <c r="K432" s="37">
        <v>-1.4724433179666694</v>
      </c>
      <c r="L432" s="37">
        <v>0.0</v>
      </c>
      <c r="M432" s="37">
        <v>-1.262011175916019</v>
      </c>
      <c r="N432" s="37">
        <v>-0.5393761438032725</v>
      </c>
      <c r="O432" s="34" t="s">
        <v>69</v>
      </c>
      <c r="P432" s="34" t="s">
        <v>69</v>
      </c>
      <c r="Q432" s="34" t="s">
        <v>69</v>
      </c>
      <c r="R432" s="34" t="s">
        <v>69</v>
      </c>
    </row>
    <row r="433">
      <c r="A433" s="27" t="s">
        <v>472</v>
      </c>
      <c r="B433" s="29">
        <v>61.0</v>
      </c>
      <c r="C433" s="31">
        <v>31.0</v>
      </c>
      <c r="D433" s="31">
        <v>7.0</v>
      </c>
      <c r="E433" s="32">
        <v>-2.028216309698042</v>
      </c>
      <c r="F433" s="32">
        <v>-2.026639492176313</v>
      </c>
      <c r="G433" s="32" t="s">
        <v>69</v>
      </c>
      <c r="H433" s="32">
        <v>-0.998088119679242</v>
      </c>
      <c r="I433" s="32" t="s">
        <v>69</v>
      </c>
      <c r="J433" s="32" t="s">
        <v>69</v>
      </c>
      <c r="K433" s="32">
        <v>-1.5421071883461421</v>
      </c>
      <c r="L433" s="32" t="s">
        <v>69</v>
      </c>
      <c r="M433" s="32">
        <v>-0.7965557203052943</v>
      </c>
      <c r="N433" s="32">
        <v>-0.9694959710490197</v>
      </c>
      <c r="O433" s="34" t="s">
        <v>69</v>
      </c>
      <c r="P433" s="34" t="s">
        <v>69</v>
      </c>
      <c r="Q433" s="34" t="s">
        <v>69</v>
      </c>
      <c r="R433" s="34" t="s">
        <v>69</v>
      </c>
    </row>
    <row r="434">
      <c r="A434" s="27" t="s">
        <v>473</v>
      </c>
      <c r="B434" s="35">
        <v>81.51632352941176</v>
      </c>
      <c r="C434" s="36">
        <v>18.0</v>
      </c>
      <c r="D434" s="36">
        <v>6.0</v>
      </c>
      <c r="E434" s="37">
        <v>-0.18001237993310026</v>
      </c>
      <c r="F434" s="37">
        <v>-0.6859672885822826</v>
      </c>
      <c r="G434" s="37">
        <v>-0.7882684481683414</v>
      </c>
      <c r="H434" s="37">
        <v>-1.7027574517301696</v>
      </c>
      <c r="I434" s="37">
        <v>-0.7820075844718078</v>
      </c>
      <c r="J434" s="37">
        <v>-0.7246903817668382</v>
      </c>
      <c r="K434" s="37">
        <v>-0.6198960235252783</v>
      </c>
      <c r="L434" s="37">
        <v>0.0</v>
      </c>
      <c r="M434" s="37">
        <v>-1.1113725592985009</v>
      </c>
      <c r="N434" s="37">
        <v>-1.7688937798054556</v>
      </c>
      <c r="O434" s="34" t="s">
        <v>69</v>
      </c>
      <c r="P434" s="34" t="s">
        <v>69</v>
      </c>
      <c r="Q434" s="34" t="s">
        <v>69</v>
      </c>
      <c r="R434" s="34" t="s">
        <v>69</v>
      </c>
    </row>
    <row r="435">
      <c r="A435" s="27" t="s">
        <v>474</v>
      </c>
      <c r="B435" s="29">
        <v>80.07325</v>
      </c>
      <c r="C435" s="31">
        <v>27.0</v>
      </c>
      <c r="D435" s="31">
        <v>6.0</v>
      </c>
      <c r="E435" s="32">
        <v>-0.8846598715789742</v>
      </c>
      <c r="F435" s="32">
        <v>-1.1388163970285334</v>
      </c>
      <c r="G435" s="32">
        <v>0.37418163984709035</v>
      </c>
      <c r="H435" s="32">
        <v>-1.6255496942006187</v>
      </c>
      <c r="I435" s="32">
        <v>-1.5683739195509474</v>
      </c>
      <c r="J435" s="32">
        <v>-0.20301086216405434</v>
      </c>
      <c r="K435" s="32">
        <v>-1.5377369771060971</v>
      </c>
      <c r="L435" s="32">
        <v>0.0</v>
      </c>
      <c r="M435" s="32">
        <v>-0.6276651368024655</v>
      </c>
      <c r="N435" s="32">
        <v>-1.1754666773016549</v>
      </c>
      <c r="O435" s="34" t="s">
        <v>69</v>
      </c>
      <c r="P435" s="34" t="s">
        <v>69</v>
      </c>
      <c r="Q435" s="34" t="s">
        <v>69</v>
      </c>
      <c r="R435" s="34" t="s">
        <v>69</v>
      </c>
    </row>
    <row r="436">
      <c r="A436" s="27" t="s">
        <v>475</v>
      </c>
      <c r="B436" s="35">
        <v>81.26588235294118</v>
      </c>
      <c r="C436" s="36">
        <v>25.0</v>
      </c>
      <c r="D436" s="36">
        <v>6.0</v>
      </c>
      <c r="E436" s="37">
        <v>-1.6374883446044977</v>
      </c>
      <c r="F436" s="37">
        <v>-0.43116773205277137</v>
      </c>
      <c r="G436" s="37">
        <v>-0.9836543607646181</v>
      </c>
      <c r="H436" s="37">
        <v>-1.645407008104025</v>
      </c>
      <c r="I436" s="37">
        <v>-1.3164141135625511</v>
      </c>
      <c r="J436" s="37">
        <v>-0.014368894081880653</v>
      </c>
      <c r="K436" s="37">
        <v>-0.8740932859582164</v>
      </c>
      <c r="L436" s="37">
        <v>0.0</v>
      </c>
      <c r="M436" s="37">
        <v>-1.9977124366298489</v>
      </c>
      <c r="N436" s="37">
        <v>0.5032027921874351</v>
      </c>
      <c r="O436" s="34" t="s">
        <v>69</v>
      </c>
      <c r="P436" s="34" t="s">
        <v>69</v>
      </c>
      <c r="Q436" s="34" t="s">
        <v>69</v>
      </c>
      <c r="R436" s="34" t="s">
        <v>69</v>
      </c>
    </row>
    <row r="437">
      <c r="A437" s="27" t="s">
        <v>476</v>
      </c>
      <c r="B437" s="29">
        <v>80.0</v>
      </c>
      <c r="C437" s="31">
        <v>26.0</v>
      </c>
      <c r="D437" s="31">
        <v>5.0</v>
      </c>
      <c r="E437" s="32">
        <v>-1.0556906080706216</v>
      </c>
      <c r="F437" s="32">
        <v>-0.6652111038859295</v>
      </c>
      <c r="G437" s="32" t="s">
        <v>69</v>
      </c>
      <c r="H437" s="32">
        <v>-1.4477915333761344</v>
      </c>
      <c r="I437" s="32">
        <v>-0.5636336174810282</v>
      </c>
      <c r="J437" s="32" t="s">
        <v>69</v>
      </c>
      <c r="K437" s="32">
        <v>-0.7930015129920344</v>
      </c>
      <c r="L437" s="32" t="s">
        <v>69</v>
      </c>
      <c r="M437" s="32">
        <v>-2.034257397237461</v>
      </c>
      <c r="N437" s="32">
        <v>-1.8883105920739802</v>
      </c>
      <c r="O437" s="34" t="s">
        <v>69</v>
      </c>
      <c r="P437" s="34" t="s">
        <v>69</v>
      </c>
      <c r="Q437" s="34" t="s">
        <v>69</v>
      </c>
      <c r="R437" s="34" t="s">
        <v>69</v>
      </c>
    </row>
    <row r="438">
      <c r="A438" s="27" t="s">
        <v>477</v>
      </c>
      <c r="B438" s="35">
        <v>78.0</v>
      </c>
      <c r="C438" s="36">
        <v>24.0</v>
      </c>
      <c r="D438" s="36">
        <v>7.0</v>
      </c>
      <c r="E438" s="37">
        <v>-2.36021646301223</v>
      </c>
      <c r="F438" s="37">
        <v>-1.6438465059770855</v>
      </c>
      <c r="G438" s="37">
        <v>-0.42573032707134467</v>
      </c>
      <c r="H438" s="37">
        <v>-0.10104971052744213</v>
      </c>
      <c r="I438" s="37">
        <v>-1.72461069241107</v>
      </c>
      <c r="J438" s="37">
        <v>-0.16952108464970286</v>
      </c>
      <c r="K438" s="37">
        <v>-2.297237255006651</v>
      </c>
      <c r="L438" s="37">
        <v>0.0</v>
      </c>
      <c r="M438" s="37">
        <v>-0.7959702417447775</v>
      </c>
      <c r="N438" s="37">
        <v>1.0665185591142479</v>
      </c>
      <c r="O438" s="34" t="s">
        <v>69</v>
      </c>
      <c r="P438" s="34" t="s">
        <v>69</v>
      </c>
      <c r="Q438" s="34" t="s">
        <v>69</v>
      </c>
      <c r="R438" s="34" t="s">
        <v>69</v>
      </c>
    </row>
    <row r="439">
      <c r="A439" s="27" t="s">
        <v>478</v>
      </c>
      <c r="B439" s="29">
        <v>78.88196428571429</v>
      </c>
      <c r="C439" s="31">
        <v>23.0</v>
      </c>
      <c r="D439" s="31">
        <v>6.0</v>
      </c>
      <c r="E439" s="32">
        <v>-1.2264844665197003</v>
      </c>
      <c r="F439" s="32">
        <v>-0.5726280570438045</v>
      </c>
      <c r="G439" s="32">
        <v>-3.262257059209102</v>
      </c>
      <c r="H439" s="32">
        <v>-0.4413270927068327</v>
      </c>
      <c r="I439" s="32">
        <v>-0.43771729397170894</v>
      </c>
      <c r="J439" s="32">
        <v>-0.7646764597548191</v>
      </c>
      <c r="K439" s="32">
        <v>-0.6695393241651932</v>
      </c>
      <c r="L439" s="32">
        <v>0.0</v>
      </c>
      <c r="M439" s="32">
        <v>-2.0540996530846134</v>
      </c>
      <c r="N439" s="32">
        <v>0.970722098638244</v>
      </c>
      <c r="O439" s="34" t="s">
        <v>69</v>
      </c>
      <c r="P439" s="34" t="s">
        <v>69</v>
      </c>
      <c r="Q439" s="34" t="s">
        <v>69</v>
      </c>
      <c r="R439" s="34" t="s">
        <v>69</v>
      </c>
    </row>
    <row r="440">
      <c r="A440" s="27" t="s">
        <v>479</v>
      </c>
      <c r="B440" s="35">
        <v>74.71428571428571</v>
      </c>
      <c r="C440" s="36">
        <v>24.0</v>
      </c>
      <c r="D440" s="36">
        <v>7.0</v>
      </c>
      <c r="E440" s="37">
        <v>-1.6078265051768295</v>
      </c>
      <c r="F440" s="37">
        <v>-1.581207653689939</v>
      </c>
      <c r="G440" s="37">
        <v>-1.3961184060520233</v>
      </c>
      <c r="H440" s="37">
        <v>-0.12769441574977294</v>
      </c>
      <c r="I440" s="37">
        <v>-1.2392172620885602</v>
      </c>
      <c r="J440" s="37">
        <v>0.44813554304231407</v>
      </c>
      <c r="K440" s="37">
        <v>-2.104018595652265</v>
      </c>
      <c r="L440" s="37">
        <v>0.08838276691959143</v>
      </c>
      <c r="M440" s="37">
        <v>0.6003961250873971</v>
      </c>
      <c r="N440" s="37">
        <v>-1.5646518353890593</v>
      </c>
      <c r="O440" s="34" t="s">
        <v>69</v>
      </c>
      <c r="P440" s="34" t="s">
        <v>69</v>
      </c>
      <c r="Q440" s="34" t="s">
        <v>69</v>
      </c>
      <c r="R440" s="34" t="s">
        <v>69</v>
      </c>
    </row>
    <row r="441">
      <c r="A441" s="27" t="s">
        <v>480</v>
      </c>
      <c r="B441" s="29">
        <v>83.035</v>
      </c>
      <c r="C441" s="31">
        <v>18.0</v>
      </c>
      <c r="D441" s="31">
        <v>6.0</v>
      </c>
      <c r="E441" s="32">
        <v>-1.797515656191203</v>
      </c>
      <c r="F441" s="32">
        <v>-0.6215716624302982</v>
      </c>
      <c r="G441" s="32">
        <v>-2.8723384923623594</v>
      </c>
      <c r="H441" s="32">
        <v>-0.35082801643845796</v>
      </c>
      <c r="I441" s="32">
        <v>-1.038643376174306</v>
      </c>
      <c r="J441" s="32">
        <v>0.3392254029680211</v>
      </c>
      <c r="K441" s="32">
        <v>-0.8975103095601514</v>
      </c>
      <c r="L441" s="32">
        <v>0.0</v>
      </c>
      <c r="M441" s="32">
        <v>-1.322898700897649</v>
      </c>
      <c r="N441" s="32">
        <v>0.0737859807223344</v>
      </c>
      <c r="O441" s="34" t="s">
        <v>69</v>
      </c>
      <c r="P441" s="34" t="s">
        <v>69</v>
      </c>
      <c r="Q441" s="34" t="s">
        <v>69</v>
      </c>
      <c r="R441" s="34" t="s">
        <v>69</v>
      </c>
    </row>
    <row r="442">
      <c r="A442" s="27" t="s">
        <v>481</v>
      </c>
      <c r="B442" s="35">
        <v>83.27514705882353</v>
      </c>
      <c r="C442" s="36">
        <v>23.0</v>
      </c>
      <c r="D442" s="36">
        <v>6.0</v>
      </c>
      <c r="E442" s="37">
        <v>-0.3101143787627487</v>
      </c>
      <c r="F442" s="37">
        <v>-1.0753144339249137</v>
      </c>
      <c r="G442" s="37">
        <v>-3.1304337272854132</v>
      </c>
      <c r="H442" s="37">
        <v>-0.9711546085547761</v>
      </c>
      <c r="I442" s="37">
        <v>-1.2031850606071404</v>
      </c>
      <c r="J442" s="37">
        <v>0.9603796228446075</v>
      </c>
      <c r="K442" s="37">
        <v>-0.3076376591977437</v>
      </c>
      <c r="L442" s="37">
        <v>0.0</v>
      </c>
      <c r="M442" s="37">
        <v>-1.3881238767594213</v>
      </c>
      <c r="N442" s="37">
        <v>-1.0795308108965247</v>
      </c>
      <c r="O442" s="34" t="s">
        <v>69</v>
      </c>
      <c r="P442" s="34" t="s">
        <v>69</v>
      </c>
      <c r="Q442" s="34" t="s">
        <v>69</v>
      </c>
      <c r="R442" s="34" t="s">
        <v>69</v>
      </c>
    </row>
    <row r="443">
      <c r="A443" s="27" t="s">
        <v>482</v>
      </c>
      <c r="B443" s="29">
        <v>81.4279411764706</v>
      </c>
      <c r="C443" s="31">
        <v>26.0</v>
      </c>
      <c r="D443" s="31">
        <v>6.0</v>
      </c>
      <c r="E443" s="32">
        <v>-0.787356207516645</v>
      </c>
      <c r="F443" s="32">
        <v>0.2091421824110923</v>
      </c>
      <c r="G443" s="32">
        <v>-4.207734855586211</v>
      </c>
      <c r="H443" s="32">
        <v>-1.6266852356842019</v>
      </c>
      <c r="I443" s="32">
        <v>0.10419108325097007</v>
      </c>
      <c r="J443" s="32">
        <v>0.4546755282362766</v>
      </c>
      <c r="K443" s="32">
        <v>-1.7274620347426815</v>
      </c>
      <c r="L443" s="32">
        <v>2.2318266652977896</v>
      </c>
      <c r="M443" s="32">
        <v>-2.0754027427374204</v>
      </c>
      <c r="N443" s="32">
        <v>-1.0925781158871823</v>
      </c>
      <c r="O443" s="34" t="s">
        <v>69</v>
      </c>
      <c r="P443" s="34" t="s">
        <v>69</v>
      </c>
      <c r="Q443" s="34" t="s">
        <v>69</v>
      </c>
      <c r="R443" s="34" t="s">
        <v>69</v>
      </c>
    </row>
    <row r="444">
      <c r="A444" s="27" t="s">
        <v>483</v>
      </c>
      <c r="B444" s="35">
        <v>77.45454545454545</v>
      </c>
      <c r="C444" s="36">
        <v>33.0</v>
      </c>
      <c r="D444" s="36">
        <v>8.0</v>
      </c>
      <c r="E444" s="37">
        <v>-0.41394559179296697</v>
      </c>
      <c r="F444" s="37">
        <v>-0.8381885405329816</v>
      </c>
      <c r="G444" s="37">
        <v>-0.04599482786057522</v>
      </c>
      <c r="H444" s="37">
        <v>-1.1789491490671837</v>
      </c>
      <c r="I444" s="37">
        <v>-1.1412051271195918</v>
      </c>
      <c r="J444" s="37">
        <v>-0.16952108464970286</v>
      </c>
      <c r="K444" s="37">
        <v>-1.4036756380294717</v>
      </c>
      <c r="L444" s="37">
        <v>0.0</v>
      </c>
      <c r="M444" s="37">
        <v>-1.6899960036536794</v>
      </c>
      <c r="N444" s="37">
        <v>-1.6545937548040834</v>
      </c>
      <c r="O444" s="34" t="s">
        <v>69</v>
      </c>
      <c r="P444" s="34" t="s">
        <v>69</v>
      </c>
      <c r="Q444" s="34" t="s">
        <v>69</v>
      </c>
      <c r="R444" s="34" t="s">
        <v>69</v>
      </c>
    </row>
    <row r="445">
      <c r="A445" s="27" t="s">
        <v>484</v>
      </c>
      <c r="B445" s="29">
        <v>77.48058823529412</v>
      </c>
      <c r="C445" s="31">
        <v>24.0</v>
      </c>
      <c r="D445" s="31">
        <v>7.0</v>
      </c>
      <c r="E445" s="32">
        <v>-0.5453183599554857</v>
      </c>
      <c r="F445" s="32">
        <v>-0.8313508330038201</v>
      </c>
      <c r="G445" s="32">
        <v>-0.9867783113458035</v>
      </c>
      <c r="H445" s="32">
        <v>-1.0717798670252894</v>
      </c>
      <c r="I445" s="32">
        <v>-1.1205435910868862</v>
      </c>
      <c r="J445" s="32">
        <v>-0.7852573114910503</v>
      </c>
      <c r="K445" s="32">
        <v>0.05416404809888103</v>
      </c>
      <c r="L445" s="32">
        <v>0.0</v>
      </c>
      <c r="M445" s="32">
        <v>-1.2520888244750714</v>
      </c>
      <c r="N445" s="32">
        <v>-1.9999265179018832</v>
      </c>
      <c r="O445" s="34" t="s">
        <v>69</v>
      </c>
      <c r="P445" s="34" t="s">
        <v>69</v>
      </c>
      <c r="Q445" s="34" t="s">
        <v>69</v>
      </c>
      <c r="R445" s="34" t="s">
        <v>69</v>
      </c>
    </row>
    <row r="446">
      <c r="A446" s="27" t="s">
        <v>485</v>
      </c>
      <c r="B446" s="35">
        <v>78.77839285714286</v>
      </c>
      <c r="C446" s="36">
        <v>24.0</v>
      </c>
      <c r="D446" s="36">
        <v>7.0</v>
      </c>
      <c r="E446" s="37">
        <v>-0.6298737548555645</v>
      </c>
      <c r="F446" s="37">
        <v>-0.7673946723412215</v>
      </c>
      <c r="G446" s="37">
        <v>-0.7208130059100212</v>
      </c>
      <c r="H446" s="37">
        <v>-1.3759467626162187</v>
      </c>
      <c r="I446" s="37">
        <v>-0.707269725997068</v>
      </c>
      <c r="J446" s="37">
        <v>-0.7805144919970098</v>
      </c>
      <c r="K446" s="37">
        <v>-1.1750849191998731</v>
      </c>
      <c r="L446" s="37">
        <v>0.0</v>
      </c>
      <c r="M446" s="37">
        <v>-0.8984279693190251</v>
      </c>
      <c r="N446" s="37">
        <v>-1.4886998011727905</v>
      </c>
      <c r="O446" s="34" t="s">
        <v>69</v>
      </c>
      <c r="P446" s="34" t="s">
        <v>69</v>
      </c>
      <c r="Q446" s="34" t="s">
        <v>69</v>
      </c>
      <c r="R446" s="34" t="s">
        <v>69</v>
      </c>
    </row>
    <row r="447">
      <c r="A447" s="27" t="s">
        <v>486</v>
      </c>
      <c r="B447" s="29">
        <v>70.57142857142857</v>
      </c>
      <c r="C447" s="31">
        <v>24.0</v>
      </c>
      <c r="D447" s="31">
        <v>7.0</v>
      </c>
      <c r="E447" s="32">
        <v>-2.089298588987449</v>
      </c>
      <c r="F447" s="32">
        <v>-1.3283322870492373</v>
      </c>
      <c r="G447" s="32">
        <v>1.7212403310837736</v>
      </c>
      <c r="H447" s="32">
        <v>-1.5576269293481866</v>
      </c>
      <c r="I447" s="32">
        <v>-1.7106089588440747</v>
      </c>
      <c r="J447" s="32">
        <v>-0.7871777123417198</v>
      </c>
      <c r="K447" s="32">
        <v>-1.8463937165130833</v>
      </c>
      <c r="L447" s="32">
        <v>0.0</v>
      </c>
      <c r="M447" s="32">
        <v>-2.2655214286415317</v>
      </c>
      <c r="N447" s="32">
        <v>1.3093695152529992</v>
      </c>
      <c r="O447" s="34" t="s">
        <v>69</v>
      </c>
      <c r="P447" s="34" t="s">
        <v>69</v>
      </c>
      <c r="Q447" s="34" t="s">
        <v>69</v>
      </c>
      <c r="R447" s="34" t="s">
        <v>69</v>
      </c>
    </row>
    <row r="448">
      <c r="A448" s="27" t="s">
        <v>487</v>
      </c>
      <c r="B448" s="35">
        <v>76.0</v>
      </c>
      <c r="C448" s="36">
        <v>23.0</v>
      </c>
      <c r="D448" s="36">
        <v>7.0</v>
      </c>
      <c r="E448" s="37">
        <v>-1.9671340304086349</v>
      </c>
      <c r="F448" s="37">
        <v>-1.4466501191471806</v>
      </c>
      <c r="G448" s="37">
        <v>1.5257729013905938</v>
      </c>
      <c r="H448" s="37">
        <v>-1.0957853721611213</v>
      </c>
      <c r="I448" s="37">
        <v>-1.72461069241107</v>
      </c>
      <c r="J448" s="37">
        <v>-0.16952108464970286</v>
      </c>
      <c r="K448" s="37">
        <v>-1.4947883329940477</v>
      </c>
      <c r="L448" s="37">
        <v>0.0</v>
      </c>
      <c r="M448" s="37">
        <v>-1.5939775197289512</v>
      </c>
      <c r="N448" s="37">
        <v>-0.5992337738374719</v>
      </c>
      <c r="O448" s="34" t="s">
        <v>69</v>
      </c>
      <c r="P448" s="34" t="s">
        <v>69</v>
      </c>
      <c r="Q448" s="34" t="s">
        <v>69</v>
      </c>
      <c r="R448" s="34" t="s">
        <v>69</v>
      </c>
    </row>
    <row r="449">
      <c r="A449" s="27" t="s">
        <v>488</v>
      </c>
      <c r="B449" s="29">
        <v>79.85714285714286</v>
      </c>
      <c r="C449" s="31">
        <v>28.0</v>
      </c>
      <c r="D449" s="31">
        <v>7.0</v>
      </c>
      <c r="E449" s="32">
        <v>-2.1899046960523543</v>
      </c>
      <c r="F449" s="32">
        <v>-1.5417683763239582</v>
      </c>
      <c r="G449" s="32">
        <v>0.20905398276904502</v>
      </c>
      <c r="H449" s="32">
        <v>-1.1934826246430004</v>
      </c>
      <c r="I449" s="32">
        <v>-1.7152762033664064</v>
      </c>
      <c r="J449" s="32">
        <v>-0.16952108464970286</v>
      </c>
      <c r="K449" s="32">
        <v>-1.739926291970871</v>
      </c>
      <c r="L449" s="32">
        <v>0.0</v>
      </c>
      <c r="M449" s="32">
        <v>-0.7456190855403472</v>
      </c>
      <c r="N449" s="32">
        <v>0.5106977087966823</v>
      </c>
      <c r="O449" s="34" t="s">
        <v>69</v>
      </c>
      <c r="P449" s="34" t="s">
        <v>69</v>
      </c>
      <c r="Q449" s="34" t="s">
        <v>69</v>
      </c>
      <c r="R449" s="34" t="s">
        <v>69</v>
      </c>
    </row>
    <row r="450">
      <c r="A450" s="27" t="s">
        <v>489</v>
      </c>
      <c r="B450" s="35">
        <v>79.0</v>
      </c>
      <c r="C450" s="36">
        <v>29.0</v>
      </c>
      <c r="D450" s="36">
        <v>7.0</v>
      </c>
      <c r="E450" s="37">
        <v>-1.776701042035778</v>
      </c>
      <c r="F450" s="37">
        <v>-2.2702350288485484</v>
      </c>
      <c r="G450" s="37" t="s">
        <v>69</v>
      </c>
      <c r="H450" s="37">
        <v>-0.998088119679242</v>
      </c>
      <c r="I450" s="37" t="s">
        <v>69</v>
      </c>
      <c r="J450" s="37" t="s">
        <v>69</v>
      </c>
      <c r="K450" s="37">
        <v>-1.4270960815875788</v>
      </c>
      <c r="L450" s="37" t="s">
        <v>69</v>
      </c>
      <c r="M450" s="37">
        <v>-0.7145887218329654</v>
      </c>
      <c r="N450" s="37">
        <v>-1.418428196305515</v>
      </c>
      <c r="O450" s="34" t="s">
        <v>69</v>
      </c>
      <c r="P450" s="34" t="s">
        <v>69</v>
      </c>
      <c r="Q450" s="34" t="s">
        <v>69</v>
      </c>
      <c r="R450" s="34" t="s">
        <v>69</v>
      </c>
    </row>
    <row r="451">
      <c r="A451" s="27" t="s">
        <v>490</v>
      </c>
      <c r="B451" s="29">
        <v>78.42562500000001</v>
      </c>
      <c r="C451" s="31">
        <v>25.0</v>
      </c>
      <c r="D451" s="31">
        <v>7.0</v>
      </c>
      <c r="E451" s="32">
        <v>-0.6748790327826019</v>
      </c>
      <c r="F451" s="32">
        <v>-1.443622831548771</v>
      </c>
      <c r="G451" s="32">
        <v>-1.0104762622483108</v>
      </c>
      <c r="H451" s="32">
        <v>-1.0710731873117563</v>
      </c>
      <c r="I451" s="32">
        <v>-1.2759414023179654</v>
      </c>
      <c r="J451" s="32">
        <v>-0.556379944252627</v>
      </c>
      <c r="K451" s="32">
        <v>-1.2249717067785844</v>
      </c>
      <c r="L451" s="32">
        <v>0.846134534407309</v>
      </c>
      <c r="M451" s="32">
        <v>-0.5886563432825934</v>
      </c>
      <c r="N451" s="32">
        <v>-1.6286431868929812</v>
      </c>
      <c r="O451" s="34" t="s">
        <v>69</v>
      </c>
      <c r="P451" s="34" t="s">
        <v>69</v>
      </c>
      <c r="Q451" s="34" t="s">
        <v>69</v>
      </c>
      <c r="R451" s="34" t="s">
        <v>69</v>
      </c>
    </row>
    <row r="452">
      <c r="A452" s="27" t="s">
        <v>491</v>
      </c>
      <c r="B452" s="35">
        <v>79.4675</v>
      </c>
      <c r="C452" s="36">
        <v>25.0</v>
      </c>
      <c r="D452" s="36">
        <v>6.0</v>
      </c>
      <c r="E452" s="37">
        <v>-1.5951629042339823</v>
      </c>
      <c r="F452" s="37">
        <v>-1.1372538223727644</v>
      </c>
      <c r="G452" s="37">
        <v>-0.9132185504819736</v>
      </c>
      <c r="H452" s="37">
        <v>-0.8691540255407035</v>
      </c>
      <c r="I452" s="37">
        <v>-1.1786170434010028</v>
      </c>
      <c r="J452" s="37">
        <v>-0.7397402632010309</v>
      </c>
      <c r="K452" s="37">
        <v>-0.6461176533171282</v>
      </c>
      <c r="L452" s="37">
        <v>0.0</v>
      </c>
      <c r="M452" s="37">
        <v>-1.8164229451924216</v>
      </c>
      <c r="N452" s="37">
        <v>0.15507778370638717</v>
      </c>
      <c r="O452" s="34" t="s">
        <v>69</v>
      </c>
      <c r="P452" s="34" t="s">
        <v>69</v>
      </c>
      <c r="Q452" s="34" t="s">
        <v>69</v>
      </c>
      <c r="R452" s="34" t="s">
        <v>69</v>
      </c>
    </row>
    <row r="453">
      <c r="A453" s="27" t="s">
        <v>492</v>
      </c>
      <c r="B453" s="29">
        <v>76.57142857142857</v>
      </c>
      <c r="C453" s="31">
        <v>27.0</v>
      </c>
      <c r="D453" s="31">
        <v>6.0</v>
      </c>
      <c r="E453" s="32">
        <v>-2.1431947177722197</v>
      </c>
      <c r="F453" s="32">
        <v>-1.6740059533746006</v>
      </c>
      <c r="G453" s="32">
        <v>-1.0334043936310806</v>
      </c>
      <c r="H453" s="32">
        <v>-0.39414146797307975</v>
      </c>
      <c r="I453" s="32">
        <v>-1.7059417143217428</v>
      </c>
      <c r="J453" s="32">
        <v>-0.16952108464970286</v>
      </c>
      <c r="K453" s="32">
        <v>-1.8036753054313315</v>
      </c>
      <c r="L453" s="32">
        <v>0.0</v>
      </c>
      <c r="M453" s="32">
        <v>-0.185901581686444</v>
      </c>
      <c r="N453" s="32">
        <v>0.3473718897033665</v>
      </c>
      <c r="O453" s="34" t="s">
        <v>69</v>
      </c>
      <c r="P453" s="34" t="s">
        <v>69</v>
      </c>
      <c r="Q453" s="34" t="s">
        <v>69</v>
      </c>
      <c r="R453" s="34" t="s">
        <v>69</v>
      </c>
    </row>
    <row r="454">
      <c r="A454" s="27" t="s">
        <v>493</v>
      </c>
      <c r="B454" s="35">
        <v>76.7535</v>
      </c>
      <c r="C454" s="36">
        <v>28.0</v>
      </c>
      <c r="D454" s="36">
        <v>7.0</v>
      </c>
      <c r="E454" s="37">
        <v>-1.1694245210983167</v>
      </c>
      <c r="F454" s="37">
        <v>-1.583556648913543</v>
      </c>
      <c r="G454" s="37">
        <v>-1.0261629798466423</v>
      </c>
      <c r="H454" s="37">
        <v>-1.3613459910258974</v>
      </c>
      <c r="I454" s="37">
        <v>-1.663755036247219</v>
      </c>
      <c r="J454" s="37">
        <v>0.28976398914192</v>
      </c>
      <c r="K454" s="37">
        <v>-1.5295345307136616</v>
      </c>
      <c r="L454" s="37">
        <v>0.0</v>
      </c>
      <c r="M454" s="37">
        <v>0.42459982986122374</v>
      </c>
      <c r="N454" s="37">
        <v>-1.15172893738834</v>
      </c>
      <c r="O454" s="34" t="s">
        <v>69</v>
      </c>
      <c r="P454" s="34" t="s">
        <v>69</v>
      </c>
      <c r="Q454" s="34" t="s">
        <v>69</v>
      </c>
      <c r="R454" s="34" t="s">
        <v>69</v>
      </c>
    </row>
    <row r="455">
      <c r="A455" s="27" t="s">
        <v>494</v>
      </c>
      <c r="B455" s="29">
        <v>78.70588235294117</v>
      </c>
      <c r="C455" s="31">
        <v>25.0</v>
      </c>
      <c r="D455" s="31">
        <v>6.0</v>
      </c>
      <c r="E455" s="32">
        <v>-0.8536828008930316</v>
      </c>
      <c r="F455" s="32">
        <v>-0.8787085124198014</v>
      </c>
      <c r="G455" s="32">
        <v>-0.15104122280653123</v>
      </c>
      <c r="H455" s="32">
        <v>-1.6815492380908679</v>
      </c>
      <c r="I455" s="32">
        <v>-1.2718879737448827</v>
      </c>
      <c r="J455" s="32">
        <v>-0.47834939849571134</v>
      </c>
      <c r="K455" s="32">
        <v>-0.6998625776716362</v>
      </c>
      <c r="L455" s="32">
        <v>0.0</v>
      </c>
      <c r="M455" s="32">
        <v>-1.1532474709829237</v>
      </c>
      <c r="N455" s="32">
        <v>-1.6054207280370136</v>
      </c>
      <c r="O455" s="34" t="s">
        <v>69</v>
      </c>
      <c r="P455" s="34" t="s">
        <v>69</v>
      </c>
      <c r="Q455" s="34" t="s">
        <v>69</v>
      </c>
      <c r="R455" s="34" t="s">
        <v>69</v>
      </c>
    </row>
    <row r="456">
      <c r="A456" s="27" t="s">
        <v>495</v>
      </c>
      <c r="B456" s="35">
        <v>80.71428571428571</v>
      </c>
      <c r="C456" s="36">
        <v>26.0</v>
      </c>
      <c r="D456" s="36">
        <v>5.0</v>
      </c>
      <c r="E456" s="37">
        <v>-2.046181685959632</v>
      </c>
      <c r="F456" s="37">
        <v>-1.4466501191471806</v>
      </c>
      <c r="G456" s="37">
        <v>-2.8928008606332942</v>
      </c>
      <c r="H456" s="37">
        <v>-0.4119046047879668</v>
      </c>
      <c r="I456" s="37">
        <v>-1.7106089588440747</v>
      </c>
      <c r="J456" s="37">
        <v>-0.16952108464970286</v>
      </c>
      <c r="K456" s="37">
        <v>-1.8385072406210676</v>
      </c>
      <c r="L456" s="37">
        <v>0.0</v>
      </c>
      <c r="M456" s="37">
        <v>0.07639281342500846</v>
      </c>
      <c r="N456" s="37">
        <v>1.6454273524450043</v>
      </c>
      <c r="O456" s="34" t="s">
        <v>69</v>
      </c>
      <c r="P456" s="34" t="s">
        <v>69</v>
      </c>
      <c r="Q456" s="34" t="s">
        <v>69</v>
      </c>
      <c r="R456" s="34" t="s">
        <v>69</v>
      </c>
    </row>
    <row r="457">
      <c r="A457" s="27" t="s">
        <v>496</v>
      </c>
      <c r="B457" s="29">
        <v>77.0</v>
      </c>
      <c r="C457" s="31">
        <v>25.0</v>
      </c>
      <c r="D457" s="31">
        <v>6.0</v>
      </c>
      <c r="E457" s="32">
        <v>-1.6509434082046461</v>
      </c>
      <c r="F457" s="32">
        <v>-0.6462647843669778</v>
      </c>
      <c r="G457" s="32" t="s">
        <v>69</v>
      </c>
      <c r="H457" s="32">
        <v>-1.6819688870523963</v>
      </c>
      <c r="I457" s="32" t="s">
        <v>69</v>
      </c>
      <c r="J457" s="32" t="s">
        <v>69</v>
      </c>
      <c r="K457" s="32">
        <v>-1.17407164671874</v>
      </c>
      <c r="L457" s="32" t="s">
        <v>69</v>
      </c>
      <c r="M457" s="32">
        <v>-1.9236019492998169</v>
      </c>
      <c r="N457" s="32">
        <v>-1.717716346476512</v>
      </c>
      <c r="O457" s="34" t="s">
        <v>69</v>
      </c>
      <c r="P457" s="34" t="s">
        <v>69</v>
      </c>
      <c r="Q457" s="34" t="s">
        <v>69</v>
      </c>
      <c r="R457" s="34" t="s">
        <v>69</v>
      </c>
    </row>
    <row r="458">
      <c r="A458" s="27" t="s">
        <v>497</v>
      </c>
      <c r="B458" s="35">
        <v>73.58500000000001</v>
      </c>
      <c r="C458" s="36">
        <v>25.0</v>
      </c>
      <c r="D458" s="36">
        <v>7.0</v>
      </c>
      <c r="E458" s="37">
        <v>-1.373311107036772</v>
      </c>
      <c r="F458" s="37">
        <v>-1.2651649299720735</v>
      </c>
      <c r="G458" s="37">
        <v>-2.05612660695611</v>
      </c>
      <c r="H458" s="37">
        <v>-0.5577918175484332</v>
      </c>
      <c r="I458" s="37">
        <v>-1.6723370392640433</v>
      </c>
      <c r="J458" s="37">
        <v>1.0619527138959017</v>
      </c>
      <c r="K458" s="37">
        <v>-1.702356206042842</v>
      </c>
      <c r="L458" s="37">
        <v>0.8548760194053556</v>
      </c>
      <c r="M458" s="37">
        <v>-0.6286132293345876</v>
      </c>
      <c r="N458" s="37">
        <v>-1.4640494210065513</v>
      </c>
      <c r="O458" s="34" t="s">
        <v>69</v>
      </c>
      <c r="P458" s="34" t="s">
        <v>69</v>
      </c>
      <c r="Q458" s="34" t="s">
        <v>69</v>
      </c>
      <c r="R458" s="34" t="s">
        <v>69</v>
      </c>
    </row>
    <row r="459">
      <c r="A459" s="27" t="s">
        <v>498</v>
      </c>
      <c r="B459" s="29">
        <v>79.93058823529411</v>
      </c>
      <c r="C459" s="31">
        <v>23.0</v>
      </c>
      <c r="D459" s="31">
        <v>6.0</v>
      </c>
      <c r="E459" s="32">
        <v>-0.7181731525614378</v>
      </c>
      <c r="F459" s="32">
        <v>-0.7488665495799566</v>
      </c>
      <c r="G459" s="32">
        <v>-1.9589096733888907</v>
      </c>
      <c r="H459" s="32">
        <v>-0.6704546614902831</v>
      </c>
      <c r="I459" s="32">
        <v>-0.7192527534638683</v>
      </c>
      <c r="J459" s="32">
        <v>-0.402480184590546</v>
      </c>
      <c r="K459" s="32">
        <v>-0.34329249934126166</v>
      </c>
      <c r="L459" s="32">
        <v>0.0</v>
      </c>
      <c r="M459" s="32">
        <v>-1.6736683003061887</v>
      </c>
      <c r="N459" s="32">
        <v>-1.5762888390204841</v>
      </c>
      <c r="O459" s="34" t="s">
        <v>69</v>
      </c>
      <c r="P459" s="34" t="s">
        <v>69</v>
      </c>
      <c r="Q459" s="34" t="s">
        <v>69</v>
      </c>
      <c r="R459" s="34" t="s">
        <v>69</v>
      </c>
    </row>
    <row r="460">
      <c r="A460" s="27" t="s">
        <v>499</v>
      </c>
      <c r="B460" s="35">
        <v>80.49875</v>
      </c>
      <c r="C460" s="36">
        <v>33.0</v>
      </c>
      <c r="D460" s="36">
        <v>8.0</v>
      </c>
      <c r="E460" s="37">
        <v>-0.8788922471361056</v>
      </c>
      <c r="F460" s="37">
        <v>-1.2165472897075986</v>
      </c>
      <c r="G460" s="37">
        <v>0.20706374693493845</v>
      </c>
      <c r="H460" s="37">
        <v>-0.983804570019312</v>
      </c>
      <c r="I460" s="37">
        <v>-1.4022854034837373</v>
      </c>
      <c r="J460" s="37">
        <v>-0.7312465822591019</v>
      </c>
      <c r="K460" s="37">
        <v>-1.4115340593833425</v>
      </c>
      <c r="L460" s="37">
        <v>0.050771778207221945</v>
      </c>
      <c r="M460" s="37">
        <v>-0.8575900885792248</v>
      </c>
      <c r="N460" s="37">
        <v>-1.5916763533945273</v>
      </c>
      <c r="O460" s="34" t="s">
        <v>69</v>
      </c>
      <c r="P460" s="34" t="s">
        <v>69</v>
      </c>
      <c r="Q460" s="34" t="s">
        <v>69</v>
      </c>
      <c r="R460" s="34" t="s">
        <v>69</v>
      </c>
    </row>
    <row r="461">
      <c r="A461" s="27" t="s">
        <v>500</v>
      </c>
      <c r="B461" s="29">
        <v>72.0</v>
      </c>
      <c r="C461" s="31">
        <v>30.0</v>
      </c>
      <c r="D461" s="31">
        <v>5.0</v>
      </c>
      <c r="E461" s="32">
        <v>-2.1288224167629473</v>
      </c>
      <c r="F461" s="32">
        <v>-1.6856057408351832</v>
      </c>
      <c r="G461" s="32">
        <v>-0.8804908757093837</v>
      </c>
      <c r="H461" s="32">
        <v>1.787171732895059</v>
      </c>
      <c r="I461" s="32">
        <v>-1.72461069241107</v>
      </c>
      <c r="J461" s="32">
        <v>-0.7871777123417198</v>
      </c>
      <c r="K461" s="32">
        <v>-2.1079618335982726</v>
      </c>
      <c r="L461" s="32">
        <v>0.0</v>
      </c>
      <c r="M461" s="32">
        <v>-0.7801623206108286</v>
      </c>
      <c r="N461" s="32">
        <v>-0.5145779827891044</v>
      </c>
      <c r="O461" s="34" t="s">
        <v>69</v>
      </c>
      <c r="P461" s="34" t="s">
        <v>69</v>
      </c>
      <c r="Q461" s="34" t="s">
        <v>69</v>
      </c>
      <c r="R461" s="34" t="s">
        <v>69</v>
      </c>
    </row>
    <row r="462">
      <c r="A462" s="27" t="s">
        <v>501</v>
      </c>
      <c r="B462" s="35">
        <v>77.0909090909091</v>
      </c>
      <c r="C462" s="36">
        <v>25.0</v>
      </c>
      <c r="D462" s="36">
        <v>7.0</v>
      </c>
      <c r="E462" s="37">
        <v>-2.3254616260261716</v>
      </c>
      <c r="F462" s="37">
        <v>-1.439057530991163</v>
      </c>
      <c r="G462" s="37">
        <v>1.0151151555812807</v>
      </c>
      <c r="H462" s="37">
        <v>-1.3959823843327135</v>
      </c>
      <c r="I462" s="37">
        <v>-1.7116461242934817</v>
      </c>
      <c r="J462" s="37">
        <v>-0.16952108464970286</v>
      </c>
      <c r="K462" s="37">
        <v>-2.5358031507401275</v>
      </c>
      <c r="L462" s="37">
        <v>0.0</v>
      </c>
      <c r="M462" s="37">
        <v>-2.176209335500903</v>
      </c>
      <c r="N462" s="37">
        <v>1.9058469116847037</v>
      </c>
      <c r="O462" s="34" t="s">
        <v>69</v>
      </c>
      <c r="P462" s="34" t="s">
        <v>69</v>
      </c>
      <c r="Q462" s="34" t="s">
        <v>69</v>
      </c>
      <c r="R462" s="34" t="s">
        <v>69</v>
      </c>
    </row>
    <row r="463">
      <c r="A463" s="27" t="s">
        <v>503</v>
      </c>
      <c r="B463" s="29">
        <v>78.0</v>
      </c>
      <c r="C463" s="31">
        <v>28.0</v>
      </c>
      <c r="D463" s="31">
        <v>6.0</v>
      </c>
      <c r="E463" s="32">
        <v>-2.1539739435291736</v>
      </c>
      <c r="F463" s="32">
        <v>-2.2702350288485484</v>
      </c>
      <c r="G463" s="32" t="s">
        <v>69</v>
      </c>
      <c r="H463" s="32">
        <v>-0.5628912677145075</v>
      </c>
      <c r="I463" s="32" t="s">
        <v>69</v>
      </c>
      <c r="J463" s="32" t="s">
        <v>69</v>
      </c>
      <c r="K463" s="32">
        <v>-2.3701871570077966</v>
      </c>
      <c r="L463" s="32" t="s">
        <v>69</v>
      </c>
      <c r="M463" s="32">
        <v>0.1870482613626526</v>
      </c>
      <c r="N463" s="32">
        <v>-1.6877875314594122</v>
      </c>
      <c r="O463" s="34" t="s">
        <v>69</v>
      </c>
      <c r="P463" s="34" t="s">
        <v>69</v>
      </c>
      <c r="Q463" s="34" t="s">
        <v>69</v>
      </c>
      <c r="R463" s="34" t="s">
        <v>69</v>
      </c>
    </row>
    <row r="464">
      <c r="A464" s="27" t="s">
        <v>504</v>
      </c>
      <c r="B464" s="35">
        <v>81.13041666666668</v>
      </c>
      <c r="C464" s="36">
        <v>18.0</v>
      </c>
      <c r="D464" s="36">
        <v>6.0</v>
      </c>
      <c r="E464" s="37">
        <v>-1.3329061808619445</v>
      </c>
      <c r="F464" s="37">
        <v>-1.3439847952988255</v>
      </c>
      <c r="G464" s="37">
        <v>-0.6834983989483422</v>
      </c>
      <c r="H464" s="37">
        <v>-0.9597230063817423</v>
      </c>
      <c r="I464" s="37">
        <v>-1.4822581701351347</v>
      </c>
      <c r="J464" s="37">
        <v>-0.3886606090909563</v>
      </c>
      <c r="K464" s="37">
        <v>-1.4279246838911193</v>
      </c>
      <c r="L464" s="37">
        <v>1.348012262714656</v>
      </c>
      <c r="M464" s="37">
        <v>-1.6352442681889883</v>
      </c>
      <c r="N464" s="37">
        <v>-0.9680875962983467</v>
      </c>
      <c r="O464" s="34" t="s">
        <v>69</v>
      </c>
      <c r="P464" s="34" t="s">
        <v>69</v>
      </c>
      <c r="Q464" s="34" t="s">
        <v>69</v>
      </c>
      <c r="R464" s="34" t="s">
        <v>69</v>
      </c>
    </row>
    <row r="465">
      <c r="A465" s="27" t="s">
        <v>505</v>
      </c>
      <c r="B465" s="29">
        <v>82.20770833333334</v>
      </c>
      <c r="C465" s="31">
        <v>26.0</v>
      </c>
      <c r="D465" s="31">
        <v>5.0</v>
      </c>
      <c r="E465" s="32">
        <v>-1.0255829159364531</v>
      </c>
      <c r="F465" s="32">
        <v>-1.3363142053831696</v>
      </c>
      <c r="G465" s="32">
        <v>-0.7720319234596014</v>
      </c>
      <c r="H465" s="32">
        <v>-1.907371245812056</v>
      </c>
      <c r="I465" s="32">
        <v>-0.9811183087477108</v>
      </c>
      <c r="J465" s="32">
        <v>-0.32323230461496827</v>
      </c>
      <c r="K465" s="32">
        <v>-1.076844789623336</v>
      </c>
      <c r="L465" s="32">
        <v>0.0</v>
      </c>
      <c r="M465" s="32">
        <v>-0.6756230640588742</v>
      </c>
      <c r="N465" s="32">
        <v>-0.7884898497302085</v>
      </c>
      <c r="O465" s="34" t="s">
        <v>69</v>
      </c>
      <c r="P465" s="34" t="s">
        <v>69</v>
      </c>
      <c r="Q465" s="34" t="s">
        <v>69</v>
      </c>
      <c r="R465" s="34" t="s">
        <v>69</v>
      </c>
    </row>
    <row r="466">
      <c r="A466" s="27" t="s">
        <v>506</v>
      </c>
      <c r="B466" s="35">
        <v>80.4275</v>
      </c>
      <c r="C466" s="36">
        <v>33.0</v>
      </c>
      <c r="D466" s="36">
        <v>6.0</v>
      </c>
      <c r="E466" s="37">
        <v>-1.287134716785954</v>
      </c>
      <c r="F466" s="37">
        <v>-1.2384485294487666</v>
      </c>
      <c r="G466" s="37">
        <v>-1.3639323773370324</v>
      </c>
      <c r="H466" s="37">
        <v>-0.7963184257944061</v>
      </c>
      <c r="I466" s="37">
        <v>-1.1809789841990002</v>
      </c>
      <c r="J466" s="37">
        <v>-0.37905025650724433</v>
      </c>
      <c r="K466" s="37">
        <v>-1.765329140281841</v>
      </c>
      <c r="L466" s="37">
        <v>0.5904961756146304</v>
      </c>
      <c r="M466" s="37">
        <v>-0.21401308885218506</v>
      </c>
      <c r="N466" s="37">
        <v>-1.2572274431337602</v>
      </c>
      <c r="O466" s="34" t="s">
        <v>69</v>
      </c>
      <c r="P466" s="34" t="s">
        <v>69</v>
      </c>
      <c r="Q466" s="34" t="s">
        <v>69</v>
      </c>
      <c r="R466" s="34" t="s">
        <v>69</v>
      </c>
    </row>
    <row r="467">
      <c r="A467" s="27" t="s">
        <v>507</v>
      </c>
      <c r="B467" s="29">
        <v>81.0</v>
      </c>
      <c r="C467" s="31">
        <v>25.0</v>
      </c>
      <c r="D467" s="31">
        <v>6.0</v>
      </c>
      <c r="E467" s="32">
        <v>-2.4054892111914374</v>
      </c>
      <c r="F467" s="32">
        <v>-2.18903651662447</v>
      </c>
      <c r="G467" s="32" t="s">
        <v>69</v>
      </c>
      <c r="H467" s="32">
        <v>-1.5576269293481866</v>
      </c>
      <c r="I467" s="32" t="s">
        <v>69</v>
      </c>
      <c r="J467" s="32" t="s">
        <v>69</v>
      </c>
      <c r="K467" s="32">
        <v>-1.1510694253670275</v>
      </c>
      <c r="L467" s="32" t="s">
        <v>69</v>
      </c>
      <c r="M467" s="32">
        <v>-1.0834402149584454</v>
      </c>
      <c r="N467" s="32">
        <v>-0.5205637457925244</v>
      </c>
      <c r="O467" s="34" t="s">
        <v>69</v>
      </c>
      <c r="P467" s="34" t="s">
        <v>69</v>
      </c>
      <c r="Q467" s="34" t="s">
        <v>69</v>
      </c>
      <c r="R467" s="34" t="s">
        <v>69</v>
      </c>
    </row>
    <row r="468">
      <c r="A468" s="27" t="s">
        <v>508</v>
      </c>
      <c r="B468" s="35">
        <v>81.0</v>
      </c>
      <c r="C468" s="36">
        <v>23.0</v>
      </c>
      <c r="D468" s="36">
        <v>6.0</v>
      </c>
      <c r="E468" s="37">
        <v>-1.90245867586691</v>
      </c>
      <c r="F468" s="37">
        <v>-2.1078380044003917</v>
      </c>
      <c r="G468" s="37" t="s">
        <v>69</v>
      </c>
      <c r="H468" s="37">
        <v>-1.6197979082002913</v>
      </c>
      <c r="I468" s="37" t="s">
        <v>69</v>
      </c>
      <c r="J468" s="37" t="s">
        <v>69</v>
      </c>
      <c r="K468" s="37">
        <v>-1.8641382872701189</v>
      </c>
      <c r="L468" s="37" t="s">
        <v>69</v>
      </c>
      <c r="M468" s="37">
        <v>0.26901525983498153</v>
      </c>
      <c r="N468" s="37">
        <v>-1.6877875314594122</v>
      </c>
      <c r="O468" s="34" t="s">
        <v>69</v>
      </c>
      <c r="P468" s="34" t="s">
        <v>69</v>
      </c>
      <c r="Q468" s="34" t="s">
        <v>69</v>
      </c>
      <c r="R468" s="34" t="s">
        <v>69</v>
      </c>
    </row>
    <row r="469">
      <c r="A469" s="27" t="s">
        <v>509</v>
      </c>
      <c r="B469" s="29">
        <v>79.26357142857144</v>
      </c>
      <c r="C469" s="31">
        <v>29.0</v>
      </c>
      <c r="D469" s="31">
        <v>7.0</v>
      </c>
      <c r="E469" s="32">
        <v>-0.33905986626856177</v>
      </c>
      <c r="F469" s="32">
        <v>-1.0565228376819762</v>
      </c>
      <c r="G469" s="32">
        <v>-0.8590987407089052</v>
      </c>
      <c r="H469" s="32">
        <v>-1.4912670157360253</v>
      </c>
      <c r="I469" s="32">
        <v>-1.19100303037955</v>
      </c>
      <c r="J469" s="32">
        <v>-0.3847699670004312</v>
      </c>
      <c r="K469" s="32">
        <v>-1.138438575353495</v>
      </c>
      <c r="L469" s="32">
        <v>0.08677939308809189</v>
      </c>
      <c r="M469" s="32">
        <v>-0.8806536954221201</v>
      </c>
      <c r="N469" s="32">
        <v>-1.6841814970833147</v>
      </c>
      <c r="O469" s="34" t="s">
        <v>69</v>
      </c>
      <c r="P469" s="34" t="s">
        <v>69</v>
      </c>
      <c r="Q469" s="34" t="s">
        <v>69</v>
      </c>
      <c r="R469" s="34" t="s">
        <v>69</v>
      </c>
    </row>
    <row r="470">
      <c r="A470" s="27" t="s">
        <v>510</v>
      </c>
      <c r="B470" s="35">
        <v>68.4</v>
      </c>
      <c r="C470" s="36">
        <v>21.0</v>
      </c>
      <c r="D470" s="36">
        <v>7.0</v>
      </c>
      <c r="E470" s="37">
        <v>-2.1539739435291736</v>
      </c>
      <c r="F470" s="37">
        <v>-1.9129615750626032</v>
      </c>
      <c r="G470" s="37">
        <v>-0.4486003861708531</v>
      </c>
      <c r="H470" s="37">
        <v>1.8244743202063225</v>
      </c>
      <c r="I470" s="37">
        <v>-1.72461069241107</v>
      </c>
      <c r="J470" s="37">
        <v>-0.7871777123417198</v>
      </c>
      <c r="K470" s="37">
        <v>-2.3977898226298517</v>
      </c>
      <c r="L470" s="37">
        <v>0.0</v>
      </c>
      <c r="M470" s="37">
        <v>-0.4727860763395952</v>
      </c>
      <c r="N470" s="37">
        <v>-0.8677379999908809</v>
      </c>
      <c r="O470" s="34" t="s">
        <v>69</v>
      </c>
      <c r="P470" s="34" t="s">
        <v>69</v>
      </c>
      <c r="Q470" s="34" t="s">
        <v>69</v>
      </c>
      <c r="R470" s="34" t="s">
        <v>69</v>
      </c>
    </row>
    <row r="471">
      <c r="A471" s="27" t="s">
        <v>511</v>
      </c>
      <c r="B471" s="29">
        <v>74.57142857142857</v>
      </c>
      <c r="C471" s="31">
        <v>26.0</v>
      </c>
      <c r="D471" s="31">
        <v>5.0</v>
      </c>
      <c r="E471" s="32">
        <v>-2.1899046960523543</v>
      </c>
      <c r="F471" s="32">
        <v>-1.2912129671753731</v>
      </c>
      <c r="G471" s="32">
        <v>-0.7528363424471874</v>
      </c>
      <c r="H471" s="32">
        <v>-1.060259098531347</v>
      </c>
      <c r="I471" s="32">
        <v>-1.7106089588440747</v>
      </c>
      <c r="J471" s="32">
        <v>-0.16952108464970286</v>
      </c>
      <c r="K471" s="32">
        <v>-1.5894260436982364</v>
      </c>
      <c r="L471" s="32">
        <v>0.0</v>
      </c>
      <c r="M471" s="32">
        <v>-1.3217299890887158</v>
      </c>
      <c r="N471" s="32">
        <v>1.1409130421567524</v>
      </c>
      <c r="O471" s="34" t="s">
        <v>69</v>
      </c>
      <c r="P471" s="34" t="s">
        <v>69</v>
      </c>
      <c r="Q471" s="34" t="s">
        <v>69</v>
      </c>
      <c r="R471" s="34" t="s">
        <v>69</v>
      </c>
    </row>
    <row r="472">
      <c r="A472" s="27" t="s">
        <v>512</v>
      </c>
      <c r="B472" s="35">
        <v>10.0</v>
      </c>
      <c r="C472" s="36">
        <v>16.0</v>
      </c>
      <c r="D472" s="36">
        <v>6.0</v>
      </c>
      <c r="E472" s="37" t="s">
        <v>69</v>
      </c>
      <c r="F472" s="37" t="s">
        <v>69</v>
      </c>
      <c r="G472" s="37" t="s">
        <v>69</v>
      </c>
      <c r="H472" s="37" t="s">
        <v>69</v>
      </c>
      <c r="I472" s="37" t="s">
        <v>69</v>
      </c>
      <c r="J472" s="37" t="s">
        <v>69</v>
      </c>
      <c r="K472" s="37" t="s">
        <v>69</v>
      </c>
      <c r="L472" s="37" t="s">
        <v>69</v>
      </c>
      <c r="M472" s="37" t="s">
        <v>69</v>
      </c>
      <c r="N472" s="37" t="s">
        <v>69</v>
      </c>
      <c r="O472" s="34">
        <v>-4.113665013326633</v>
      </c>
      <c r="P472" s="34">
        <v>-2.664070044129037</v>
      </c>
      <c r="Q472" s="34">
        <v>-2.1748107072096605</v>
      </c>
      <c r="R472" s="34">
        <v>0.0</v>
      </c>
    </row>
    <row r="473">
      <c r="A473" s="27" t="s">
        <v>513</v>
      </c>
      <c r="B473" s="29">
        <v>81.00926470588236</v>
      </c>
      <c r="C473" s="31">
        <v>31.0</v>
      </c>
      <c r="D473" s="31">
        <v>7.0</v>
      </c>
      <c r="E473" s="32">
        <v>-0.44263772698770215</v>
      </c>
      <c r="F473" s="32">
        <v>-0.9843195602598122</v>
      </c>
      <c r="G473" s="32">
        <v>-1.4489149481235257</v>
      </c>
      <c r="H473" s="32">
        <v>-1.891883092495751</v>
      </c>
      <c r="I473" s="32">
        <v>-1.4528352289192201</v>
      </c>
      <c r="J473" s="32">
        <v>0.8081135844784995</v>
      </c>
      <c r="K473" s="32">
        <v>-1.1949808311765975</v>
      </c>
      <c r="L473" s="32">
        <v>0.0</v>
      </c>
      <c r="M473" s="32">
        <v>-1.0551255748431507</v>
      </c>
      <c r="N473" s="32">
        <v>-1.2952375894485413</v>
      </c>
      <c r="O473" s="34" t="s">
        <v>69</v>
      </c>
      <c r="P473" s="34" t="s">
        <v>69</v>
      </c>
      <c r="Q473" s="34" t="s">
        <v>69</v>
      </c>
      <c r="R473" s="34" t="s">
        <v>69</v>
      </c>
    </row>
    <row r="474">
      <c r="A474" s="27" t="s">
        <v>514</v>
      </c>
      <c r="B474" s="35">
        <v>81.77777777777777</v>
      </c>
      <c r="C474" s="36">
        <v>30.0</v>
      </c>
      <c r="D474" s="36">
        <v>5.0</v>
      </c>
      <c r="E474" s="37">
        <v>-2.0952870477413117</v>
      </c>
      <c r="F474" s="37">
        <v>-1.3048749390733927</v>
      </c>
      <c r="G474" s="37">
        <v>0.966426222274555</v>
      </c>
      <c r="H474" s="37">
        <v>-1.2992719727849948</v>
      </c>
      <c r="I474" s="37">
        <v>-1.404571068022602</v>
      </c>
      <c r="J474" s="37">
        <v>-0.7871777123417198</v>
      </c>
      <c r="K474" s="37">
        <v>-1.9592141355238646</v>
      </c>
      <c r="L474" s="37">
        <v>0.0</v>
      </c>
      <c r="M474" s="37">
        <v>-1.1030212201490577</v>
      </c>
      <c r="N474" s="37">
        <v>0.010173907177376752</v>
      </c>
      <c r="O474" s="34" t="s">
        <v>69</v>
      </c>
      <c r="P474" s="34" t="s">
        <v>69</v>
      </c>
      <c r="Q474" s="34" t="s">
        <v>69</v>
      </c>
      <c r="R474" s="34" t="s">
        <v>69</v>
      </c>
    </row>
    <row r="475">
      <c r="A475" s="27" t="s">
        <v>515</v>
      </c>
      <c r="B475" s="29">
        <v>65.6</v>
      </c>
      <c r="C475" s="31">
        <v>29.0</v>
      </c>
      <c r="D475" s="31">
        <v>7.0</v>
      </c>
      <c r="E475" s="32">
        <v>-2.415549821897928</v>
      </c>
      <c r="F475" s="32">
        <v>-2.1955323976023964</v>
      </c>
      <c r="G475" s="32">
        <v>-1.6443420342500408</v>
      </c>
      <c r="H475" s="32">
        <v>2.582960262202002</v>
      </c>
      <c r="I475" s="32">
        <v>-1.72461069241107</v>
      </c>
      <c r="J475" s="32">
        <v>-0.7871777123417198</v>
      </c>
      <c r="K475" s="32">
        <v>-2.6213714141684985</v>
      </c>
      <c r="L475" s="32">
        <v>0.0</v>
      </c>
      <c r="M475" s="32">
        <v>0.9518003571094812</v>
      </c>
      <c r="N475" s="32">
        <v>-1.1622375397591416</v>
      </c>
      <c r="O475" s="34" t="s">
        <v>69</v>
      </c>
      <c r="P475" s="34" t="s">
        <v>69</v>
      </c>
      <c r="Q475" s="34" t="s">
        <v>69</v>
      </c>
      <c r="R475" s="34" t="s">
        <v>69</v>
      </c>
    </row>
    <row r="476">
      <c r="A476" s="27" t="s">
        <v>516</v>
      </c>
      <c r="B476" s="35">
        <v>78.0</v>
      </c>
      <c r="C476" s="36">
        <v>16.0</v>
      </c>
      <c r="D476" s="36">
        <v>6.0</v>
      </c>
      <c r="E476" s="37">
        <v>-1.2736705067112504</v>
      </c>
      <c r="F476" s="37">
        <v>-1.2146543699355277</v>
      </c>
      <c r="G476" s="37" t="s">
        <v>69</v>
      </c>
      <c r="H476" s="37">
        <v>-2.054994760165026</v>
      </c>
      <c r="I476" s="37" t="s">
        <v>69</v>
      </c>
      <c r="J476" s="37" t="s">
        <v>69</v>
      </c>
      <c r="K476" s="37">
        <v>-1.4270960815875788</v>
      </c>
      <c r="L476" s="37" t="s">
        <v>69</v>
      </c>
      <c r="M476" s="37">
        <v>-1.3293412103754323</v>
      </c>
      <c r="N476" s="37">
        <v>-1.717716346476512</v>
      </c>
      <c r="O476" s="34" t="s">
        <v>69</v>
      </c>
      <c r="P476" s="34" t="s">
        <v>69</v>
      </c>
      <c r="Q476" s="34" t="s">
        <v>69</v>
      </c>
      <c r="R476" s="34" t="s">
        <v>69</v>
      </c>
    </row>
    <row r="477">
      <c r="A477" s="27" t="s">
        <v>517</v>
      </c>
      <c r="B477" s="29">
        <v>76.77777777777777</v>
      </c>
      <c r="C477" s="31">
        <v>29.0</v>
      </c>
      <c r="D477" s="31">
        <v>6.0</v>
      </c>
      <c r="E477" s="32">
        <v>-1.4357581236491537</v>
      </c>
      <c r="F477" s="32">
        <v>-1.6242557538214348</v>
      </c>
      <c r="G477" s="32">
        <v>-1.4095676242311144</v>
      </c>
      <c r="H477" s="32">
        <v>-0.67894376157177</v>
      </c>
      <c r="I477" s="32">
        <v>-1.72461069241107</v>
      </c>
      <c r="J477" s="32">
        <v>-0.16952108464970286</v>
      </c>
      <c r="K477" s="32">
        <v>-1.9116762113969914</v>
      </c>
      <c r="L477" s="32">
        <v>1.1525408497096779</v>
      </c>
      <c r="M477" s="32">
        <v>-0.4085785942029374</v>
      </c>
      <c r="N477" s="32">
        <v>-0.8072152851785238</v>
      </c>
      <c r="O477" s="34" t="s">
        <v>69</v>
      </c>
      <c r="P477" s="34" t="s">
        <v>69</v>
      </c>
      <c r="Q477" s="34" t="s">
        <v>69</v>
      </c>
      <c r="R477" s="34" t="s">
        <v>69</v>
      </c>
    </row>
    <row r="478">
      <c r="A478" s="27" t="s">
        <v>518</v>
      </c>
      <c r="B478" s="35">
        <v>79.28571428571429</v>
      </c>
      <c r="C478" s="36">
        <v>16.0</v>
      </c>
      <c r="D478" s="36">
        <v>6.0</v>
      </c>
      <c r="E478" s="37">
        <v>-1.6293849566907377</v>
      </c>
      <c r="F478" s="37">
        <v>-1.9315212349995354</v>
      </c>
      <c r="G478" s="37">
        <v>-0.8271100809365304</v>
      </c>
      <c r="H478" s="37">
        <v>-0.900390867197363</v>
      </c>
      <c r="I478" s="37">
        <v>-1.7199434478887383</v>
      </c>
      <c r="J478" s="37">
        <v>-0.16952108464970286</v>
      </c>
      <c r="K478" s="37">
        <v>-1.781987496728288</v>
      </c>
      <c r="L478" s="37">
        <v>0.0</v>
      </c>
      <c r="M478" s="37">
        <v>1.1027367300106699</v>
      </c>
      <c r="N478" s="37">
        <v>-1.1909692021755574</v>
      </c>
      <c r="O478" s="34" t="s">
        <v>69</v>
      </c>
      <c r="P478" s="34" t="s">
        <v>69</v>
      </c>
      <c r="Q478" s="34" t="s">
        <v>69</v>
      </c>
      <c r="R478" s="34" t="s">
        <v>69</v>
      </c>
    </row>
    <row r="479">
      <c r="A479" s="27" t="s">
        <v>519</v>
      </c>
      <c r="B479" s="29">
        <v>79.0</v>
      </c>
      <c r="C479" s="31">
        <v>31.0</v>
      </c>
      <c r="D479" s="31">
        <v>7.0</v>
      </c>
      <c r="E479" s="32">
        <v>-1.90245867586691</v>
      </c>
      <c r="F479" s="32">
        <v>-1.7830439555040773</v>
      </c>
      <c r="G479" s="32" t="s">
        <v>69</v>
      </c>
      <c r="H479" s="32">
        <v>-1.5576269293481866</v>
      </c>
      <c r="I479" s="32" t="s">
        <v>69</v>
      </c>
      <c r="J479" s="32" t="s">
        <v>69</v>
      </c>
      <c r="K479" s="32">
        <v>-1.6341160737529925</v>
      </c>
      <c r="L479" s="32" t="s">
        <v>69</v>
      </c>
      <c r="M479" s="32">
        <v>-1.0629484653403634</v>
      </c>
      <c r="N479" s="32">
        <v>-1.1191400461345182</v>
      </c>
      <c r="O479" s="34" t="s">
        <v>69</v>
      </c>
      <c r="P479" s="34" t="s">
        <v>69</v>
      </c>
      <c r="Q479" s="34" t="s">
        <v>69</v>
      </c>
      <c r="R479" s="34" t="s">
        <v>69</v>
      </c>
    </row>
    <row r="480">
      <c r="A480" s="27" t="s">
        <v>520</v>
      </c>
      <c r="B480" s="35">
        <v>81.28571428571429</v>
      </c>
      <c r="C480" s="36">
        <v>25.0</v>
      </c>
      <c r="D480" s="36">
        <v>6.0</v>
      </c>
      <c r="E480" s="37">
        <v>-1.7946664182973682</v>
      </c>
      <c r="F480" s="37">
        <v>-2.035919322144779</v>
      </c>
      <c r="G480" s="37">
        <v>-1.8103979730196298</v>
      </c>
      <c r="H480" s="37">
        <v>-1.0869038037536776</v>
      </c>
      <c r="I480" s="37">
        <v>-1.6312658019644335</v>
      </c>
      <c r="J480" s="37">
        <v>-0.16952108464970286</v>
      </c>
      <c r="K480" s="37">
        <v>-2.1671104027883907</v>
      </c>
      <c r="L480" s="37">
        <v>0.0</v>
      </c>
      <c r="M480" s="37">
        <v>2.1806027599217948</v>
      </c>
      <c r="N480" s="37">
        <v>-0.5812764848272123</v>
      </c>
      <c r="O480" s="34" t="s">
        <v>69</v>
      </c>
      <c r="P480" s="34" t="s">
        <v>69</v>
      </c>
      <c r="Q480" s="34" t="s">
        <v>69</v>
      </c>
      <c r="R480" s="34" t="s">
        <v>69</v>
      </c>
    </row>
    <row r="481">
      <c r="A481" s="27" t="s">
        <v>521</v>
      </c>
      <c r="B481" s="29">
        <v>77.28571428571429</v>
      </c>
      <c r="C481" s="31">
        <v>29.0</v>
      </c>
      <c r="D481" s="31">
        <v>7.0</v>
      </c>
      <c r="E481" s="32">
        <v>-2.0821124384828127</v>
      </c>
      <c r="F481" s="32">
        <v>-1.3584917344467524</v>
      </c>
      <c r="G481" s="32">
        <v>-1.0260610194768935</v>
      </c>
      <c r="H481" s="32">
        <v>-0.5362465624921767</v>
      </c>
      <c r="I481" s="32">
        <v>-1.701274469799411</v>
      </c>
      <c r="J481" s="32">
        <v>-0.16952108464970286</v>
      </c>
      <c r="K481" s="32">
        <v>-2.345870523007415</v>
      </c>
      <c r="L481" s="32">
        <v>0.0</v>
      </c>
      <c r="M481" s="32">
        <v>-1.6888250465326462</v>
      </c>
      <c r="N481" s="32">
        <v>1.8096082805388085</v>
      </c>
      <c r="O481" s="34" t="s">
        <v>69</v>
      </c>
      <c r="P481" s="34" t="s">
        <v>69</v>
      </c>
      <c r="Q481" s="34" t="s">
        <v>69</v>
      </c>
      <c r="R481" s="34" t="s">
        <v>69</v>
      </c>
    </row>
    <row r="482">
      <c r="A482" s="27" t="s">
        <v>522</v>
      </c>
      <c r="B482" s="35">
        <v>73.0</v>
      </c>
      <c r="C482" s="36">
        <v>23.0</v>
      </c>
      <c r="D482" s="36">
        <v>6.0</v>
      </c>
      <c r="E482" s="37">
        <v>-2.2797315773603057</v>
      </c>
      <c r="F482" s="37">
        <v>-1.6206469310559204</v>
      </c>
      <c r="G482" s="37" t="s">
        <v>69</v>
      </c>
      <c r="H482" s="37">
        <v>-1.4332849716439766</v>
      </c>
      <c r="I482" s="37" t="s">
        <v>69</v>
      </c>
      <c r="J482" s="37" t="s">
        <v>69</v>
      </c>
      <c r="K482" s="37">
        <v>-2.5082004851180724</v>
      </c>
      <c r="L482" s="37" t="s">
        <v>69</v>
      </c>
      <c r="M482" s="37">
        <v>-1.7186844531189946</v>
      </c>
      <c r="N482" s="37">
        <v>0.4371583347546656</v>
      </c>
      <c r="O482" s="34" t="s">
        <v>69</v>
      </c>
      <c r="P482" s="34" t="s">
        <v>69</v>
      </c>
      <c r="Q482" s="34" t="s">
        <v>69</v>
      </c>
      <c r="R482" s="34" t="s">
        <v>69</v>
      </c>
    </row>
    <row r="483">
      <c r="A483" s="27" t="s">
        <v>523</v>
      </c>
      <c r="B483" s="29">
        <v>79.9635</v>
      </c>
      <c r="C483" s="31">
        <v>27.0</v>
      </c>
      <c r="D483" s="31">
        <v>6.0</v>
      </c>
      <c r="E483" s="32">
        <v>-0.5814037623393354</v>
      </c>
      <c r="F483" s="32">
        <v>-1.6419225908648432</v>
      </c>
      <c r="G483" s="32">
        <v>-0.13516632833982176</v>
      </c>
      <c r="H483" s="32">
        <v>-1.3364004009734465</v>
      </c>
      <c r="I483" s="32">
        <v>-1.4680402152435672</v>
      </c>
      <c r="J483" s="32">
        <v>-0.38525583360982</v>
      </c>
      <c r="K483" s="32">
        <v>-0.7364787752134824</v>
      </c>
      <c r="L483" s="32">
        <v>0.0</v>
      </c>
      <c r="M483" s="32">
        <v>-0.981253677063639</v>
      </c>
      <c r="N483" s="32">
        <v>-1.8651270966954407</v>
      </c>
      <c r="O483" s="34" t="s">
        <v>69</v>
      </c>
      <c r="P483" s="34" t="s">
        <v>69</v>
      </c>
      <c r="Q483" s="34" t="s">
        <v>69</v>
      </c>
      <c r="R483" s="34" t="s">
        <v>69</v>
      </c>
    </row>
    <row r="484">
      <c r="A484" s="27" t="s">
        <v>524</v>
      </c>
      <c r="B484" s="35">
        <v>79.54357142857144</v>
      </c>
      <c r="C484" s="36">
        <v>29.0</v>
      </c>
      <c r="D484" s="36">
        <v>6.0</v>
      </c>
      <c r="E484" s="37">
        <v>-1.5367227564339452</v>
      </c>
      <c r="F484" s="37">
        <v>-0.4879248053539694</v>
      </c>
      <c r="G484" s="37">
        <v>-1.747507423272087</v>
      </c>
      <c r="H484" s="37">
        <v>-1.1618873669049121</v>
      </c>
      <c r="I484" s="37">
        <v>-0.34941233916740716</v>
      </c>
      <c r="J484" s="37">
        <v>-0.7784014482471294</v>
      </c>
      <c r="K484" s="37">
        <v>-1.353559587491698</v>
      </c>
      <c r="L484" s="37">
        <v>0.0</v>
      </c>
      <c r="M484" s="37">
        <v>-2.163003184749699</v>
      </c>
      <c r="N484" s="37">
        <v>0.4198893893936882</v>
      </c>
      <c r="O484" s="34" t="s">
        <v>69</v>
      </c>
      <c r="P484" s="34" t="s">
        <v>69</v>
      </c>
      <c r="Q484" s="34" t="s">
        <v>69</v>
      </c>
      <c r="R484" s="34" t="s">
        <v>69</v>
      </c>
    </row>
    <row r="485">
      <c r="A485" s="27" t="s">
        <v>525</v>
      </c>
      <c r="B485" s="29">
        <v>77.98764705882353</v>
      </c>
      <c r="C485" s="31">
        <v>18.0</v>
      </c>
      <c r="D485" s="31">
        <v>6.0</v>
      </c>
      <c r="E485" s="32">
        <v>-0.22098141676596086</v>
      </c>
      <c r="F485" s="32">
        <v>-0.7121676941438931</v>
      </c>
      <c r="G485" s="32">
        <v>-3.3649010924934535</v>
      </c>
      <c r="H485" s="32">
        <v>-0.8259685191187044</v>
      </c>
      <c r="I485" s="32">
        <v>-0.2503610662301712</v>
      </c>
      <c r="J485" s="32">
        <v>-0.7866509170182339</v>
      </c>
      <c r="K485" s="32">
        <v>0.07457474389187017</v>
      </c>
      <c r="L485" s="32">
        <v>0.0</v>
      </c>
      <c r="M485" s="32">
        <v>-0.8963681838750814</v>
      </c>
      <c r="N485" s="32">
        <v>-2.1936463717727217</v>
      </c>
      <c r="O485" s="34" t="s">
        <v>69</v>
      </c>
      <c r="P485" s="34" t="s">
        <v>69</v>
      </c>
      <c r="Q485" s="34" t="s">
        <v>69</v>
      </c>
      <c r="R485" s="34" t="s">
        <v>69</v>
      </c>
    </row>
    <row r="486">
      <c r="A486" s="27" t="s">
        <v>526</v>
      </c>
      <c r="B486" s="35">
        <v>82.0</v>
      </c>
      <c r="C486" s="36">
        <v>28.0</v>
      </c>
      <c r="D486" s="36">
        <v>7.0</v>
      </c>
      <c r="E486" s="37">
        <v>-2.4054892111914374</v>
      </c>
      <c r="F486" s="37">
        <v>-2.3514335410726273</v>
      </c>
      <c r="G486" s="37" t="s">
        <v>69</v>
      </c>
      <c r="H486" s="37">
        <v>-1.6197979082002913</v>
      </c>
      <c r="I486" s="37" t="s">
        <v>69</v>
      </c>
      <c r="J486" s="37" t="s">
        <v>69</v>
      </c>
      <c r="K486" s="37">
        <v>-1.105064982663602</v>
      </c>
      <c r="L486" s="37" t="s">
        <v>69</v>
      </c>
      <c r="M486" s="37">
        <v>-1.1654072134307745</v>
      </c>
      <c r="N486" s="37">
        <v>-0.550492560809624</v>
      </c>
      <c r="O486" s="34" t="s">
        <v>69</v>
      </c>
      <c r="P486" s="34" t="s">
        <v>69</v>
      </c>
      <c r="Q486" s="34" t="s">
        <v>69</v>
      </c>
      <c r="R486" s="34" t="s">
        <v>69</v>
      </c>
    </row>
    <row r="487">
      <c r="A487" s="27" t="s">
        <v>527</v>
      </c>
      <c r="B487" s="29">
        <v>76.6</v>
      </c>
      <c r="C487" s="31">
        <v>23.0</v>
      </c>
      <c r="D487" s="31">
        <v>6.0</v>
      </c>
      <c r="E487" s="32">
        <v>-1.2233674531787977</v>
      </c>
      <c r="F487" s="32">
        <v>-1.6693660383903675</v>
      </c>
      <c r="G487" s="32">
        <v>-1.2589309582036265</v>
      </c>
      <c r="H487" s="32">
        <v>0.45671278546001337</v>
      </c>
      <c r="I487" s="32">
        <v>-1.2578862401778874</v>
      </c>
      <c r="J487" s="32">
        <v>-0.7871777123417198</v>
      </c>
      <c r="K487" s="32">
        <v>-0.7370294410362002</v>
      </c>
      <c r="L487" s="32">
        <v>0.0</v>
      </c>
      <c r="M487" s="32">
        <v>-0.9113095181665547</v>
      </c>
      <c r="N487" s="32">
        <v>-1.8194743175346508</v>
      </c>
      <c r="O487" s="34" t="s">
        <v>69</v>
      </c>
      <c r="P487" s="34" t="s">
        <v>69</v>
      </c>
      <c r="Q487" s="34" t="s">
        <v>69</v>
      </c>
      <c r="R487" s="34" t="s">
        <v>69</v>
      </c>
    </row>
    <row r="488">
      <c r="A488" s="27" t="s">
        <v>528</v>
      </c>
      <c r="B488" s="35">
        <v>77.0</v>
      </c>
      <c r="C488" s="36">
        <v>34.0</v>
      </c>
      <c r="D488" s="36">
        <v>7.0</v>
      </c>
      <c r="E488" s="37">
        <v>-1.6509434082046461</v>
      </c>
      <c r="F488" s="37">
        <v>-1.864242467728156</v>
      </c>
      <c r="G488" s="37" t="s">
        <v>69</v>
      </c>
      <c r="H488" s="37">
        <v>-0.6250622465666125</v>
      </c>
      <c r="I488" s="37" t="s">
        <v>69</v>
      </c>
      <c r="J488" s="37" t="s">
        <v>69</v>
      </c>
      <c r="K488" s="37">
        <v>-1.4270960815875788</v>
      </c>
      <c r="L488" s="37" t="s">
        <v>69</v>
      </c>
      <c r="M488" s="37">
        <v>-1.6367174546466656</v>
      </c>
      <c r="N488" s="37">
        <v>-2.017004496647509</v>
      </c>
      <c r="O488" s="34" t="s">
        <v>69</v>
      </c>
      <c r="P488" s="34" t="s">
        <v>69</v>
      </c>
      <c r="Q488" s="34" t="s">
        <v>69</v>
      </c>
      <c r="R488" s="34" t="s">
        <v>69</v>
      </c>
    </row>
    <row r="489">
      <c r="A489" s="27" t="s">
        <v>529</v>
      </c>
      <c r="B489" s="29">
        <v>79.9514705882353</v>
      </c>
      <c r="C489" s="31">
        <v>27.0</v>
      </c>
      <c r="D489" s="31">
        <v>6.0</v>
      </c>
      <c r="E489" s="32">
        <v>0.7282778062155594</v>
      </c>
      <c r="F489" s="32">
        <v>-0.32376130806876985</v>
      </c>
      <c r="G489" s="32">
        <v>-5.236461312311108</v>
      </c>
      <c r="H489" s="32">
        <v>-2.0486969433741096</v>
      </c>
      <c r="I489" s="32">
        <v>0.724096337620498</v>
      </c>
      <c r="J489" s="32">
        <v>-0.08550812019338562</v>
      </c>
      <c r="K489" s="32">
        <v>0.14931945650131664</v>
      </c>
      <c r="L489" s="32">
        <v>0.0</v>
      </c>
      <c r="M489" s="32">
        <v>-1.3834994010824364</v>
      </c>
      <c r="N489" s="32">
        <v>-1.7486547766621114</v>
      </c>
      <c r="O489" s="34" t="s">
        <v>69</v>
      </c>
      <c r="P489" s="34" t="s">
        <v>69</v>
      </c>
      <c r="Q489" s="34" t="s">
        <v>69</v>
      </c>
      <c r="R489" s="34" t="s">
        <v>69</v>
      </c>
    </row>
    <row r="490">
      <c r="A490" s="27" t="s">
        <v>530</v>
      </c>
      <c r="B490" s="35">
        <v>78.5</v>
      </c>
      <c r="C490" s="36">
        <v>23.0</v>
      </c>
      <c r="D490" s="36">
        <v>6.0</v>
      </c>
      <c r="E490" s="37">
        <v>-0.6987784663403618</v>
      </c>
      <c r="F490" s="37">
        <v>-0.9188597896906701</v>
      </c>
      <c r="G490" s="37">
        <v>-0.6855542438564114</v>
      </c>
      <c r="H490" s="37">
        <v>-1.1419695278798276</v>
      </c>
      <c r="I490" s="37">
        <v>-0.7230978053273656</v>
      </c>
      <c r="J490" s="37">
        <v>-0.7871777123417198</v>
      </c>
      <c r="K490" s="37">
        <v>-0.7330862030901921</v>
      </c>
      <c r="L490" s="37">
        <v>0.0</v>
      </c>
      <c r="M490" s="37">
        <v>-1.664527686271206</v>
      </c>
      <c r="N490" s="37">
        <v>-1.8930136915766673</v>
      </c>
      <c r="O490" s="34" t="s">
        <v>69</v>
      </c>
      <c r="P490" s="34" t="s">
        <v>69</v>
      </c>
      <c r="Q490" s="34" t="s">
        <v>69</v>
      </c>
      <c r="R490" s="34" t="s">
        <v>69</v>
      </c>
    </row>
    <row r="491">
      <c r="A491" s="27" t="s">
        <v>531</v>
      </c>
      <c r="B491" s="29">
        <v>48.3</v>
      </c>
      <c r="C491" s="31">
        <v>31.0</v>
      </c>
      <c r="D491" s="31">
        <v>7.0</v>
      </c>
      <c r="E491" s="32" t="s">
        <v>69</v>
      </c>
      <c r="F491" s="32" t="s">
        <v>69</v>
      </c>
      <c r="G491" s="32" t="s">
        <v>69</v>
      </c>
      <c r="H491" s="32" t="s">
        <v>69</v>
      </c>
      <c r="I491" s="32" t="s">
        <v>69</v>
      </c>
      <c r="J491" s="32" t="s">
        <v>69</v>
      </c>
      <c r="K491" s="32" t="s">
        <v>69</v>
      </c>
      <c r="L491" s="32" t="s">
        <v>69</v>
      </c>
      <c r="M491" s="32" t="s">
        <v>69</v>
      </c>
      <c r="N491" s="32" t="s">
        <v>69</v>
      </c>
      <c r="O491" s="34">
        <v>-0.6891515649350675</v>
      </c>
      <c r="P491" s="34">
        <v>-4.891585424116969</v>
      </c>
      <c r="Q491" s="34">
        <v>-3.691377586145186</v>
      </c>
      <c r="R491" s="34">
        <v>0.0</v>
      </c>
    </row>
    <row r="492">
      <c r="A492" s="27" t="s">
        <v>532</v>
      </c>
      <c r="B492" s="35">
        <v>80.10714285714286</v>
      </c>
      <c r="C492" s="36">
        <v>23.0</v>
      </c>
      <c r="D492" s="36">
        <v>6.0</v>
      </c>
      <c r="E492" s="37">
        <v>-1.3401870862791834</v>
      </c>
      <c r="F492" s="37">
        <v>-0.9052249074755011</v>
      </c>
      <c r="G492" s="37">
        <v>-0.4137806509378807</v>
      </c>
      <c r="H492" s="37">
        <v>-1.6801810633392733</v>
      </c>
      <c r="I492" s="37">
        <v>-1.3134791202685818</v>
      </c>
      <c r="J492" s="37">
        <v>-0.7195352265758682</v>
      </c>
      <c r="K492" s="37">
        <v>-1.5290371191011443</v>
      </c>
      <c r="L492" s="37">
        <v>0.0</v>
      </c>
      <c r="M492" s="37">
        <v>-1.900275051155775</v>
      </c>
      <c r="N492" s="37">
        <v>0.5207542218006739</v>
      </c>
      <c r="O492" s="34" t="s">
        <v>69</v>
      </c>
      <c r="P492" s="34" t="s">
        <v>69</v>
      </c>
      <c r="Q492" s="34" t="s">
        <v>69</v>
      </c>
      <c r="R492" s="34" t="s">
        <v>69</v>
      </c>
    </row>
    <row r="493">
      <c r="A493" s="27" t="s">
        <v>533</v>
      </c>
      <c r="B493" s="29">
        <v>75.0</v>
      </c>
      <c r="C493" s="31">
        <v>28.0</v>
      </c>
      <c r="D493" s="31">
        <v>7.0</v>
      </c>
      <c r="E493" s="32">
        <v>-2.028216309698042</v>
      </c>
      <c r="F493" s="32">
        <v>-1.7018454432799988</v>
      </c>
      <c r="G493" s="32" t="s">
        <v>69</v>
      </c>
      <c r="H493" s="32">
        <v>-2.241507696721341</v>
      </c>
      <c r="I493" s="32" t="s">
        <v>69</v>
      </c>
      <c r="J493" s="32" t="s">
        <v>69</v>
      </c>
      <c r="K493" s="32">
        <v>-1.4270960815875788</v>
      </c>
      <c r="L493" s="32" t="s">
        <v>69</v>
      </c>
      <c r="M493" s="32">
        <v>-0.858030969159541</v>
      </c>
      <c r="N493" s="32">
        <v>-1.0293536010832192</v>
      </c>
      <c r="O493" s="34" t="s">
        <v>69</v>
      </c>
      <c r="P493" s="34" t="s">
        <v>69</v>
      </c>
      <c r="Q493" s="34" t="s">
        <v>69</v>
      </c>
      <c r="R493" s="34" t="s">
        <v>69</v>
      </c>
    </row>
    <row r="494">
      <c r="A494" s="27" t="s">
        <v>534</v>
      </c>
      <c r="B494" s="35">
        <v>80.28735294117647</v>
      </c>
      <c r="C494" s="36">
        <v>24.0</v>
      </c>
      <c r="D494" s="36">
        <v>7.0</v>
      </c>
      <c r="E494" s="37">
        <v>-0.8020628726334966</v>
      </c>
      <c r="F494" s="37">
        <v>-1.057035323388876</v>
      </c>
      <c r="G494" s="37">
        <v>-0.9520384852336432</v>
      </c>
      <c r="H494" s="37">
        <v>-0.9423903591857059</v>
      </c>
      <c r="I494" s="37">
        <v>-1.2743299427010804</v>
      </c>
      <c r="J494" s="37">
        <v>-0.7414537222248572</v>
      </c>
      <c r="K494" s="37">
        <v>-1.5091316378570547</v>
      </c>
      <c r="L494" s="37">
        <v>0.3106665740470044</v>
      </c>
      <c r="M494" s="37">
        <v>-1.1545589642797178</v>
      </c>
      <c r="N494" s="37">
        <v>-1.182731266735464</v>
      </c>
      <c r="O494" s="34" t="s">
        <v>69</v>
      </c>
      <c r="P494" s="34" t="s">
        <v>69</v>
      </c>
      <c r="Q494" s="34" t="s">
        <v>69</v>
      </c>
      <c r="R494" s="34" t="s">
        <v>69</v>
      </c>
    </row>
    <row r="495">
      <c r="A495" s="27" t="s">
        <v>535</v>
      </c>
      <c r="B495" s="29">
        <v>78.39104166666667</v>
      </c>
      <c r="C495" s="31">
        <v>34.0</v>
      </c>
      <c r="D495" s="31">
        <v>7.0</v>
      </c>
      <c r="E495" s="32">
        <v>-1.2878529945834212</v>
      </c>
      <c r="F495" s="32">
        <v>-1.2318731735408364</v>
      </c>
      <c r="G495" s="32">
        <v>-0.40263782720500346</v>
      </c>
      <c r="H495" s="32">
        <v>-0.988491729434563</v>
      </c>
      <c r="I495" s="32">
        <v>-1.3841277102340093</v>
      </c>
      <c r="J495" s="32">
        <v>-0.17421673585667705</v>
      </c>
      <c r="K495" s="32">
        <v>-1.7908158873838989</v>
      </c>
      <c r="L495" s="32">
        <v>0.594550401124383</v>
      </c>
      <c r="M495" s="32">
        <v>-1.1938707610413193</v>
      </c>
      <c r="N495" s="32">
        <v>-1.4515581107931605</v>
      </c>
      <c r="O495" s="34" t="s">
        <v>69</v>
      </c>
      <c r="P495" s="34" t="s">
        <v>69</v>
      </c>
      <c r="Q495" s="34" t="s">
        <v>69</v>
      </c>
      <c r="R495" s="34" t="s">
        <v>69</v>
      </c>
    </row>
    <row r="496">
      <c r="A496" s="27" t="s">
        <v>536</v>
      </c>
      <c r="B496" s="35">
        <v>69.6</v>
      </c>
      <c r="C496" s="36">
        <v>21.0</v>
      </c>
      <c r="D496" s="36">
        <v>7.0</v>
      </c>
      <c r="E496" s="37">
        <v>-1.6760949349708725</v>
      </c>
      <c r="F496" s="37">
        <v>-1.8804821701729715</v>
      </c>
      <c r="G496" s="37">
        <v>-1.954580059442969</v>
      </c>
      <c r="H496" s="37">
        <v>-0.6374964423370336</v>
      </c>
      <c r="I496" s="37">
        <v>-1.72461069241107</v>
      </c>
      <c r="J496" s="37">
        <v>-0.16952108464970286</v>
      </c>
      <c r="K496" s="37">
        <v>-2.434593376792592</v>
      </c>
      <c r="L496" s="37">
        <v>0.0</v>
      </c>
      <c r="M496" s="37">
        <v>2.3017968219487384</v>
      </c>
      <c r="N496" s="37">
        <v>-1.1490688611516178</v>
      </c>
      <c r="O496" s="34" t="s">
        <v>69</v>
      </c>
      <c r="P496" s="34" t="s">
        <v>69</v>
      </c>
      <c r="Q496" s="34" t="s">
        <v>69</v>
      </c>
      <c r="R496" s="34" t="s">
        <v>69</v>
      </c>
    </row>
    <row r="497">
      <c r="A497" s="27" t="s">
        <v>537</v>
      </c>
      <c r="B497" s="29">
        <v>79.0</v>
      </c>
      <c r="C497" s="31">
        <v>33.0</v>
      </c>
      <c r="D497" s="31">
        <v>6.0</v>
      </c>
      <c r="E497" s="32">
        <v>-2.200683921809308</v>
      </c>
      <c r="F497" s="32">
        <v>-1.0824167928848853</v>
      </c>
      <c r="G497" s="32">
        <v>-2.192430341118062</v>
      </c>
      <c r="H497" s="32">
        <v>0.06770008921398561</v>
      </c>
      <c r="I497" s="32">
        <v>-1.72461069241107</v>
      </c>
      <c r="J497" s="32">
        <v>-0.16952108464970286</v>
      </c>
      <c r="K497" s="32">
        <v>-2.201942337978127</v>
      </c>
      <c r="L497" s="32">
        <v>0.0</v>
      </c>
      <c r="M497" s="32">
        <v>-1.026648794588332</v>
      </c>
      <c r="N497" s="32">
        <v>1.1870889281831347</v>
      </c>
      <c r="O497" s="34" t="s">
        <v>69</v>
      </c>
      <c r="P497" s="34" t="s">
        <v>69</v>
      </c>
      <c r="Q497" s="34" t="s">
        <v>69</v>
      </c>
      <c r="R497" s="34" t="s">
        <v>69</v>
      </c>
    </row>
    <row r="498">
      <c r="A498" s="27" t="s">
        <v>538</v>
      </c>
      <c r="B498" s="35">
        <v>75.42857142857143</v>
      </c>
      <c r="C498" s="36">
        <v>28.0</v>
      </c>
      <c r="D498" s="36">
        <v>7.0</v>
      </c>
      <c r="E498" s="37">
        <v>-1.054492916319849</v>
      </c>
      <c r="F498" s="37">
        <v>-1.558008078768774</v>
      </c>
      <c r="G498" s="37">
        <v>-1.127552754354302</v>
      </c>
      <c r="H498" s="37">
        <v>-1.2201273298653312</v>
      </c>
      <c r="I498" s="37">
        <v>-1.3652328641915195</v>
      </c>
      <c r="J498" s="37">
        <v>1.065792170734331</v>
      </c>
      <c r="K498" s="37">
        <v>-1.5007031899130594</v>
      </c>
      <c r="L498" s="37">
        <v>0.0</v>
      </c>
      <c r="M498" s="37">
        <v>-1.079341865034829</v>
      </c>
      <c r="N498" s="37">
        <v>-1.508214641356814</v>
      </c>
      <c r="O498" s="34" t="s">
        <v>69</v>
      </c>
      <c r="P498" s="34" t="s">
        <v>69</v>
      </c>
      <c r="Q498" s="34" t="s">
        <v>69</v>
      </c>
      <c r="R498" s="34" t="s">
        <v>69</v>
      </c>
    </row>
    <row r="499">
      <c r="A499" s="27" t="s">
        <v>539</v>
      </c>
      <c r="B499" s="29">
        <v>72.57142857142857</v>
      </c>
      <c r="C499" s="31">
        <v>28.0</v>
      </c>
      <c r="D499" s="31">
        <v>6.0</v>
      </c>
      <c r="E499" s="32">
        <v>-2.4270476627053457</v>
      </c>
      <c r="F499" s="32">
        <v>-1.3492119044782862</v>
      </c>
      <c r="G499" s="32">
        <v>-0.4703502145060953</v>
      </c>
      <c r="H499" s="32">
        <v>-0.758285772678266</v>
      </c>
      <c r="I499" s="32">
        <v>-1.7106089588440747</v>
      </c>
      <c r="J499" s="32">
        <v>-0.16952108464970286</v>
      </c>
      <c r="K499" s="32">
        <v>-2.491113120685372</v>
      </c>
      <c r="L499" s="32">
        <v>0.0</v>
      </c>
      <c r="M499" s="32">
        <v>-0.15252930373699572</v>
      </c>
      <c r="N499" s="32">
        <v>0.17891541660712001</v>
      </c>
      <c r="O499" s="34" t="s">
        <v>69</v>
      </c>
      <c r="P499" s="34" t="s">
        <v>69</v>
      </c>
      <c r="Q499" s="34" t="s">
        <v>69</v>
      </c>
      <c r="R499" s="34" t="s">
        <v>69</v>
      </c>
    </row>
    <row r="500">
      <c r="A500" s="27" t="s">
        <v>540</v>
      </c>
      <c r="B500" s="35">
        <v>74.0</v>
      </c>
      <c r="C500" s="36">
        <v>25.0</v>
      </c>
      <c r="D500" s="36">
        <v>6.0</v>
      </c>
      <c r="E500" s="37">
        <v>-2.1324154920152654</v>
      </c>
      <c r="F500" s="37">
        <v>-1.5858475686741722</v>
      </c>
      <c r="G500" s="37">
        <v>-2.9341788750266544</v>
      </c>
      <c r="H500" s="37">
        <v>-1.2467720350876619</v>
      </c>
      <c r="I500" s="37">
        <v>-1.701274469799411</v>
      </c>
      <c r="J500" s="37">
        <v>-0.16952108464970286</v>
      </c>
      <c r="K500" s="37">
        <v>-1.7175812769434924</v>
      </c>
      <c r="L500" s="37">
        <v>0.0</v>
      </c>
      <c r="M500" s="37">
        <v>0.45461196351875527</v>
      </c>
      <c r="N500" s="37">
        <v>1.6727908404606382</v>
      </c>
      <c r="O500" s="34" t="s">
        <v>69</v>
      </c>
      <c r="P500" s="34" t="s">
        <v>69</v>
      </c>
      <c r="Q500" s="34" t="s">
        <v>69</v>
      </c>
      <c r="R500" s="34" t="s">
        <v>69</v>
      </c>
    </row>
    <row r="501">
      <c r="A501" s="27" t="s">
        <v>541</v>
      </c>
      <c r="B501" s="29">
        <v>80.94073529411764</v>
      </c>
      <c r="C501" s="31">
        <v>26.0</v>
      </c>
      <c r="D501" s="31">
        <v>6.0</v>
      </c>
      <c r="E501" s="32">
        <v>-0.43291687098028736</v>
      </c>
      <c r="F501" s="32">
        <v>-0.9252985937475572</v>
      </c>
      <c r="G501" s="32">
        <v>-1.452428748159049</v>
      </c>
      <c r="H501" s="32">
        <v>-1.8989218196662994</v>
      </c>
      <c r="I501" s="32">
        <v>-0.6543241182312928</v>
      </c>
      <c r="J501" s="32">
        <v>-0.7801007578158148</v>
      </c>
      <c r="K501" s="32">
        <v>-1.2751042693786867</v>
      </c>
      <c r="L501" s="32">
        <v>0.30376606237820053</v>
      </c>
      <c r="M501" s="32">
        <v>-1.4851344639002202</v>
      </c>
      <c r="N501" s="32">
        <v>-0.7615827061823524</v>
      </c>
      <c r="O501" s="34" t="s">
        <v>69</v>
      </c>
      <c r="P501" s="34" t="s">
        <v>69</v>
      </c>
      <c r="Q501" s="34" t="s">
        <v>69</v>
      </c>
      <c r="R501" s="34" t="s">
        <v>69</v>
      </c>
    </row>
    <row r="502">
      <c r="A502" s="27" t="s">
        <v>542</v>
      </c>
      <c r="B502" s="35">
        <v>80.67696428571428</v>
      </c>
      <c r="C502" s="36">
        <v>29.0</v>
      </c>
      <c r="D502" s="36">
        <v>7.0</v>
      </c>
      <c r="E502" s="37">
        <v>-0.4286029099480225</v>
      </c>
      <c r="F502" s="37">
        <v>-1.3304187773012894</v>
      </c>
      <c r="G502" s="37">
        <v>-1.2920057669695597</v>
      </c>
      <c r="H502" s="37">
        <v>-1.4682103324600193</v>
      </c>
      <c r="I502" s="37">
        <v>-1.3379512751942668</v>
      </c>
      <c r="J502" s="37">
        <v>0.18862768208862246</v>
      </c>
      <c r="K502" s="37">
        <v>-0.9162260288358965</v>
      </c>
      <c r="L502" s="37">
        <v>0.1476221334347452</v>
      </c>
      <c r="M502" s="37">
        <v>-1.990763332803336</v>
      </c>
      <c r="N502" s="37">
        <v>-0.9447236916285928</v>
      </c>
      <c r="O502" s="34" t="s">
        <v>69</v>
      </c>
      <c r="P502" s="34" t="s">
        <v>69</v>
      </c>
      <c r="Q502" s="34" t="s">
        <v>69</v>
      </c>
      <c r="R502" s="34" t="s">
        <v>69</v>
      </c>
    </row>
    <row r="503">
      <c r="A503" s="27" t="s">
        <v>543</v>
      </c>
      <c r="B503" s="29">
        <v>35.8</v>
      </c>
      <c r="C503" s="31">
        <v>29.0</v>
      </c>
      <c r="D503" s="31">
        <v>7.0</v>
      </c>
      <c r="E503" s="32" t="s">
        <v>69</v>
      </c>
      <c r="F503" s="32" t="s">
        <v>69</v>
      </c>
      <c r="G503" s="32" t="s">
        <v>69</v>
      </c>
      <c r="H503" s="32" t="s">
        <v>69</v>
      </c>
      <c r="I503" s="32" t="s">
        <v>69</v>
      </c>
      <c r="J503" s="32" t="s">
        <v>69</v>
      </c>
      <c r="K503" s="32" t="s">
        <v>69</v>
      </c>
      <c r="L503" s="32" t="s">
        <v>69</v>
      </c>
      <c r="M503" s="32" t="s">
        <v>69</v>
      </c>
      <c r="N503" s="32" t="s">
        <v>69</v>
      </c>
      <c r="O503" s="34">
        <v>-1.4839891645333871</v>
      </c>
      <c r="P503" s="34">
        <v>-2.8882774745330533</v>
      </c>
      <c r="Q503" s="34">
        <v>-5.042500805560431</v>
      </c>
      <c r="R503" s="34">
        <v>0.0</v>
      </c>
    </row>
    <row r="504">
      <c r="A504" s="27" t="s">
        <v>544</v>
      </c>
      <c r="B504" s="35">
        <v>79.85714285714286</v>
      </c>
      <c r="C504" s="36">
        <v>34.0</v>
      </c>
      <c r="D504" s="36">
        <v>7.0</v>
      </c>
      <c r="E504" s="37">
        <v>-1.2772635819635685</v>
      </c>
      <c r="F504" s="37">
        <v>-1.6809658258509501</v>
      </c>
      <c r="G504" s="37">
        <v>-0.3886539849680727</v>
      </c>
      <c r="H504" s="37">
        <v>-1.0247328249015726</v>
      </c>
      <c r="I504" s="37">
        <v>-1.72461069241107</v>
      </c>
      <c r="J504" s="37">
        <v>1.065792170734331</v>
      </c>
      <c r="K504" s="37">
        <v>-1.8227342888370361</v>
      </c>
      <c r="L504" s="37">
        <v>0.0</v>
      </c>
      <c r="M504" s="37">
        <v>-1.264353090158086</v>
      </c>
      <c r="N504" s="37">
        <v>-1.319235552248842</v>
      </c>
      <c r="O504" s="34" t="s">
        <v>69</v>
      </c>
      <c r="P504" s="34" t="s">
        <v>69</v>
      </c>
      <c r="Q504" s="34" t="s">
        <v>69</v>
      </c>
      <c r="R504" s="34" t="s">
        <v>69</v>
      </c>
    </row>
    <row r="505">
      <c r="A505" s="27" t="s">
        <v>545</v>
      </c>
      <c r="B505" s="29">
        <v>80.88888888888889</v>
      </c>
      <c r="C505" s="31">
        <v>23.0</v>
      </c>
      <c r="D505" s="31">
        <v>6.0</v>
      </c>
      <c r="E505" s="32">
        <v>-2.2322231379129893</v>
      </c>
      <c r="F505" s="32">
        <v>-1.4726851976698216</v>
      </c>
      <c r="G505" s="32">
        <v>-2.847336356941477</v>
      </c>
      <c r="H505" s="32">
        <v>-0.6278254011822615</v>
      </c>
      <c r="I505" s="32">
        <v>-1.72461069241107</v>
      </c>
      <c r="J505" s="32">
        <v>-0.16952108464970286</v>
      </c>
      <c r="K505" s="32">
        <v>-2.089560056516903</v>
      </c>
      <c r="L505" s="32">
        <v>0.0</v>
      </c>
      <c r="M505" s="32">
        <v>0.004899375868588419</v>
      </c>
      <c r="N505" s="32">
        <v>1.6954987350291681</v>
      </c>
      <c r="O505" s="34" t="s">
        <v>69</v>
      </c>
      <c r="P505" s="34" t="s">
        <v>69</v>
      </c>
      <c r="Q505" s="34" t="s">
        <v>69</v>
      </c>
      <c r="R505" s="34" t="s">
        <v>69</v>
      </c>
    </row>
    <row r="506">
      <c r="A506" s="27" t="s">
        <v>546</v>
      </c>
      <c r="B506" s="35">
        <v>80.140625</v>
      </c>
      <c r="C506" s="36">
        <v>25.0</v>
      </c>
      <c r="D506" s="36">
        <v>7.0</v>
      </c>
      <c r="E506" s="37">
        <v>-1.3795334637591286</v>
      </c>
      <c r="F506" s="37">
        <v>-0.8329420349203815</v>
      </c>
      <c r="G506" s="37">
        <v>-2.119382480057291</v>
      </c>
      <c r="H506" s="37">
        <v>1.8451531121478444</v>
      </c>
      <c r="I506" s="37">
        <v>-1.1982841739878243</v>
      </c>
      <c r="J506" s="37">
        <v>-0.7866522296803891</v>
      </c>
      <c r="K506" s="37">
        <v>-1.3492193806391695</v>
      </c>
      <c r="L506" s="37">
        <v>0.0</v>
      </c>
      <c r="M506" s="37">
        <v>-1.8844451922528718</v>
      </c>
      <c r="N506" s="37">
        <v>-1.7620774433225328</v>
      </c>
      <c r="O506" s="34" t="s">
        <v>69</v>
      </c>
      <c r="P506" s="34" t="s">
        <v>69</v>
      </c>
      <c r="Q506" s="34" t="s">
        <v>69</v>
      </c>
      <c r="R506" s="34" t="s">
        <v>69</v>
      </c>
    </row>
    <row r="507">
      <c r="A507" s="27" t="s">
        <v>547</v>
      </c>
      <c r="B507" s="29">
        <v>80.93779411764706</v>
      </c>
      <c r="C507" s="31">
        <v>31.0</v>
      </c>
      <c r="D507" s="31">
        <v>7.0</v>
      </c>
      <c r="E507" s="32">
        <v>0.08694031229990419</v>
      </c>
      <c r="F507" s="32">
        <v>-0.7400943238495634</v>
      </c>
      <c r="G507" s="32">
        <v>-2.283993877647233</v>
      </c>
      <c r="H507" s="32">
        <v>-2.078490740858493</v>
      </c>
      <c r="I507" s="32">
        <v>-0.2777840053504926</v>
      </c>
      <c r="J507" s="32">
        <v>-0.7863476281067484</v>
      </c>
      <c r="K507" s="32">
        <v>0.13556463061774193</v>
      </c>
      <c r="L507" s="32">
        <v>0.0</v>
      </c>
      <c r="M507" s="32">
        <v>-1.6339673441906433</v>
      </c>
      <c r="N507" s="32">
        <v>-1.893015636400594</v>
      </c>
      <c r="O507" s="34" t="s">
        <v>69</v>
      </c>
      <c r="P507" s="34" t="s">
        <v>69</v>
      </c>
      <c r="Q507" s="34" t="s">
        <v>69</v>
      </c>
      <c r="R507" s="34" t="s">
        <v>69</v>
      </c>
    </row>
    <row r="508">
      <c r="A508" s="27" t="s">
        <v>548</v>
      </c>
      <c r="B508" s="35">
        <v>74.57142857142857</v>
      </c>
      <c r="C508" s="36">
        <v>26.0</v>
      </c>
      <c r="D508" s="36">
        <v>5.0</v>
      </c>
      <c r="E508" s="37">
        <v>-1.2485189799450238</v>
      </c>
      <c r="F508" s="37">
        <v>-1.7969637004567764</v>
      </c>
      <c r="G508" s="37">
        <v>-1.1047255647997296</v>
      </c>
      <c r="H508" s="37">
        <v>-1.3178245823472103</v>
      </c>
      <c r="I508" s="37">
        <v>-1.6546020245760928</v>
      </c>
      <c r="J508" s="37">
        <v>0.44813554304231407</v>
      </c>
      <c r="K508" s="37">
        <v>-1.5664238223465239</v>
      </c>
      <c r="L508" s="37">
        <v>0.0</v>
      </c>
      <c r="M508" s="37">
        <v>0.09220073455895762</v>
      </c>
      <c r="N508" s="37">
        <v>-1.3337724052571474</v>
      </c>
      <c r="O508" s="34" t="s">
        <v>69</v>
      </c>
      <c r="P508" s="34" t="s">
        <v>69</v>
      </c>
      <c r="Q508" s="34" t="s">
        <v>69</v>
      </c>
      <c r="R508" s="34" t="s">
        <v>69</v>
      </c>
    </row>
    <row r="509">
      <c r="A509" s="27" t="s">
        <v>549</v>
      </c>
      <c r="B509" s="29">
        <v>81.50446428571429</v>
      </c>
      <c r="C509" s="31">
        <v>24.0</v>
      </c>
      <c r="D509" s="31">
        <v>7.0</v>
      </c>
      <c r="E509" s="32">
        <v>-0.7367533618327159</v>
      </c>
      <c r="F509" s="32">
        <v>-0.8292998173861145</v>
      </c>
      <c r="G509" s="32">
        <v>-1.1977954635067967</v>
      </c>
      <c r="H509" s="32">
        <v>-1.8048527712099474</v>
      </c>
      <c r="I509" s="32">
        <v>-0.7913835843695947</v>
      </c>
      <c r="J509" s="32">
        <v>0.3809529508337721</v>
      </c>
      <c r="K509" s="32">
        <v>-0.9054496380847556</v>
      </c>
      <c r="L509" s="32">
        <v>0.0</v>
      </c>
      <c r="M509" s="32">
        <v>-2.0747294293875465</v>
      </c>
      <c r="N509" s="32">
        <v>-1.5342949286017649</v>
      </c>
      <c r="O509" s="34" t="s">
        <v>69</v>
      </c>
      <c r="P509" s="34" t="s">
        <v>69</v>
      </c>
      <c r="Q509" s="34" t="s">
        <v>69</v>
      </c>
      <c r="R509" s="34" t="s">
        <v>69</v>
      </c>
    </row>
    <row r="510">
      <c r="A510" s="27" t="s">
        <v>550</v>
      </c>
      <c r="B510" s="35">
        <v>82.04632352941177</v>
      </c>
      <c r="C510" s="36">
        <v>33.0</v>
      </c>
      <c r="D510" s="36">
        <v>6.0</v>
      </c>
      <c r="E510" s="37">
        <v>-0.7689584780519294</v>
      </c>
      <c r="F510" s="37">
        <v>-0.790201828298621</v>
      </c>
      <c r="G510" s="37">
        <v>-1.883716396667753</v>
      </c>
      <c r="H510" s="37">
        <v>-1.7986156859525821</v>
      </c>
      <c r="I510" s="37">
        <v>-0.34503484867724005</v>
      </c>
      <c r="J510" s="37">
        <v>-0.7871777123417198</v>
      </c>
      <c r="K510" s="37">
        <v>-0.6365292858695364</v>
      </c>
      <c r="L510" s="37">
        <v>0.0</v>
      </c>
      <c r="M510" s="37">
        <v>-0.9349032111909364</v>
      </c>
      <c r="N510" s="37">
        <v>-1.5538878336171833</v>
      </c>
      <c r="O510" s="34" t="s">
        <v>69</v>
      </c>
      <c r="P510" s="34" t="s">
        <v>69</v>
      </c>
      <c r="Q510" s="34" t="s">
        <v>69</v>
      </c>
      <c r="R510" s="34" t="s">
        <v>69</v>
      </c>
    </row>
    <row r="511">
      <c r="A511" s="27" t="s">
        <v>551</v>
      </c>
      <c r="B511" s="29">
        <v>41.0</v>
      </c>
      <c r="C511" s="31">
        <v>27.0</v>
      </c>
      <c r="D511" s="31">
        <v>6.0</v>
      </c>
      <c r="E511" s="32" t="s">
        <v>69</v>
      </c>
      <c r="F511" s="32" t="s">
        <v>69</v>
      </c>
      <c r="G511" s="32" t="s">
        <v>69</v>
      </c>
      <c r="H511" s="32" t="s">
        <v>69</v>
      </c>
      <c r="I511" s="32" t="s">
        <v>69</v>
      </c>
      <c r="J511" s="32" t="s">
        <v>69</v>
      </c>
      <c r="K511" s="32" t="s">
        <v>69</v>
      </c>
      <c r="L511" s="32" t="s">
        <v>69</v>
      </c>
      <c r="M511" s="32" t="s">
        <v>69</v>
      </c>
      <c r="N511" s="32" t="s">
        <v>69</v>
      </c>
      <c r="O511" s="34">
        <v>-1.700071474225979</v>
      </c>
      <c r="P511" s="34">
        <v>-3.5376054872615645</v>
      </c>
      <c r="Q511" s="34">
        <v>-4.270430394466045</v>
      </c>
      <c r="R511" s="34">
        <v>0.0</v>
      </c>
    </row>
    <row r="512">
      <c r="A512" s="27" t="s">
        <v>552</v>
      </c>
      <c r="B512" s="35">
        <v>78.29411764705883</v>
      </c>
      <c r="C512" s="36">
        <v>33.0</v>
      </c>
      <c r="D512" s="36">
        <v>6.0</v>
      </c>
      <c r="E512" s="37">
        <v>-0.2058872970006803</v>
      </c>
      <c r="F512" s="37">
        <v>-0.56079326760637</v>
      </c>
      <c r="G512" s="37">
        <v>-1.3597888372618878</v>
      </c>
      <c r="H512" s="37">
        <v>-1.7103237097303339</v>
      </c>
      <c r="I512" s="37">
        <v>-0.5858397530016937</v>
      </c>
      <c r="J512" s="37">
        <v>-0.7871777123417198</v>
      </c>
      <c r="K512" s="37">
        <v>-0.9017654011000843</v>
      </c>
      <c r="L512" s="37">
        <v>0.0</v>
      </c>
      <c r="M512" s="37">
        <v>-1.7577871276626043</v>
      </c>
      <c r="N512" s="37">
        <v>-1.675263012940709</v>
      </c>
      <c r="O512" s="34" t="s">
        <v>69</v>
      </c>
      <c r="P512" s="34" t="s">
        <v>69</v>
      </c>
      <c r="Q512" s="34" t="s">
        <v>69</v>
      </c>
      <c r="R512" s="34" t="s">
        <v>69</v>
      </c>
    </row>
    <row r="513">
      <c r="A513" s="27" t="s">
        <v>553</v>
      </c>
      <c r="B513" s="29">
        <v>82.0</v>
      </c>
      <c r="C513" s="31">
        <v>26.0</v>
      </c>
      <c r="D513" s="31">
        <v>6.0</v>
      </c>
      <c r="E513" s="32">
        <v>-1.6509434082046461</v>
      </c>
      <c r="F513" s="32">
        <v>-1.6206469310559204</v>
      </c>
      <c r="G513" s="32" t="s">
        <v>69</v>
      </c>
      <c r="H513" s="32">
        <v>-1.4954559504960816</v>
      </c>
      <c r="I513" s="32" t="s">
        <v>69</v>
      </c>
      <c r="J513" s="32" t="s">
        <v>69</v>
      </c>
      <c r="K513" s="32">
        <v>-1.9561471726769692</v>
      </c>
      <c r="L513" s="32" t="s">
        <v>69</v>
      </c>
      <c r="M513" s="32">
        <v>-0.6940969722148832</v>
      </c>
      <c r="N513" s="32">
        <v>-2.1367197567159075</v>
      </c>
      <c r="O513" s="34" t="s">
        <v>69</v>
      </c>
      <c r="P513" s="34" t="s">
        <v>69</v>
      </c>
      <c r="Q513" s="34" t="s">
        <v>69</v>
      </c>
      <c r="R513" s="34" t="s">
        <v>69</v>
      </c>
    </row>
    <row r="514">
      <c r="A514" s="27" t="s">
        <v>554</v>
      </c>
      <c r="B514" s="35">
        <v>78.0</v>
      </c>
      <c r="C514" s="36">
        <v>33.0</v>
      </c>
      <c r="D514" s="36">
        <v>8.0</v>
      </c>
      <c r="E514" s="37">
        <v>-1.3994281405423823</v>
      </c>
      <c r="F514" s="37">
        <v>-2.18903651662447</v>
      </c>
      <c r="G514" s="37" t="s">
        <v>69</v>
      </c>
      <c r="H514" s="37">
        <v>-2.054994760165026</v>
      </c>
      <c r="I514" s="37" t="s">
        <v>69</v>
      </c>
      <c r="J514" s="37" t="s">
        <v>69</v>
      </c>
      <c r="K514" s="37">
        <v>-2.1171627221389575</v>
      </c>
      <c r="L514" s="37" t="s">
        <v>69</v>
      </c>
      <c r="M514" s="37">
        <v>-0.12032798290858082</v>
      </c>
      <c r="N514" s="37">
        <v>-1.6877875314594122</v>
      </c>
      <c r="O514" s="34" t="s">
        <v>69</v>
      </c>
      <c r="P514" s="34" t="s">
        <v>69</v>
      </c>
      <c r="Q514" s="34" t="s">
        <v>69</v>
      </c>
      <c r="R514" s="34" t="s">
        <v>69</v>
      </c>
    </row>
    <row r="515">
      <c r="A515" s="27" t="s">
        <v>555</v>
      </c>
      <c r="B515" s="29">
        <v>78.42857142857143</v>
      </c>
      <c r="C515" s="31">
        <v>21.0</v>
      </c>
      <c r="D515" s="31">
        <v>7.0</v>
      </c>
      <c r="E515" s="32">
        <v>-2.333627706145076</v>
      </c>
      <c r="F515" s="32">
        <v>-1.8619225102360395</v>
      </c>
      <c r="G515" s="32">
        <v>-1.690546920249242</v>
      </c>
      <c r="H515" s="32">
        <v>-0.27868107867631364</v>
      </c>
      <c r="I515" s="32">
        <v>-1.72461069241107</v>
      </c>
      <c r="J515" s="32">
        <v>-0.16952108464970286</v>
      </c>
      <c r="K515" s="32">
        <v>-2.0113525039210796</v>
      </c>
      <c r="L515" s="32">
        <v>0.0</v>
      </c>
      <c r="M515" s="32">
        <v>-0.8059233772735608</v>
      </c>
      <c r="N515" s="32">
        <v>1.2888468992412738</v>
      </c>
      <c r="O515" s="34" t="s">
        <v>69</v>
      </c>
      <c r="P515" s="34" t="s">
        <v>69</v>
      </c>
      <c r="Q515" s="34" t="s">
        <v>69</v>
      </c>
      <c r="R515" s="34" t="s">
        <v>69</v>
      </c>
    </row>
    <row r="516">
      <c r="A516" s="27" t="s">
        <v>556</v>
      </c>
      <c r="B516" s="35">
        <v>81.28571428571429</v>
      </c>
      <c r="C516" s="36">
        <v>33.0</v>
      </c>
      <c r="D516" s="36">
        <v>8.0</v>
      </c>
      <c r="E516" s="37">
        <v>-1.054492916319849</v>
      </c>
      <c r="F516" s="37">
        <v>-1.6647261234061346</v>
      </c>
      <c r="G516" s="37">
        <v>-0.8177095165399364</v>
      </c>
      <c r="H516" s="37">
        <v>-1.5576269293481866</v>
      </c>
      <c r="I516" s="37">
        <v>-1.3652328641915195</v>
      </c>
      <c r="J516" s="37">
        <v>-0.16952108464970286</v>
      </c>
      <c r="K516" s="37">
        <v>-0.7357150283875311</v>
      </c>
      <c r="L516" s="37">
        <v>0.0</v>
      </c>
      <c r="M516" s="37">
        <v>-0.8451504408281753</v>
      </c>
      <c r="N516" s="37">
        <v>-1.3859340542869496</v>
      </c>
      <c r="O516" s="34" t="s">
        <v>69</v>
      </c>
      <c r="P516" s="34" t="s">
        <v>69</v>
      </c>
      <c r="Q516" s="34" t="s">
        <v>69</v>
      </c>
      <c r="R516" s="34" t="s">
        <v>69</v>
      </c>
    </row>
    <row r="517">
      <c r="A517" s="27" t="s">
        <v>557</v>
      </c>
      <c r="B517" s="29">
        <v>30.142857142857142</v>
      </c>
      <c r="C517" s="31">
        <v>23.0</v>
      </c>
      <c r="D517" s="31">
        <v>6.0</v>
      </c>
      <c r="E517" s="32" t="s">
        <v>69</v>
      </c>
      <c r="F517" s="32" t="s">
        <v>69</v>
      </c>
      <c r="G517" s="32" t="s">
        <v>69</v>
      </c>
      <c r="H517" s="32" t="s">
        <v>69</v>
      </c>
      <c r="I517" s="32" t="s">
        <v>69</v>
      </c>
      <c r="J517" s="32" t="s">
        <v>69</v>
      </c>
      <c r="K517" s="32" t="s">
        <v>69</v>
      </c>
      <c r="L517" s="32" t="s">
        <v>69</v>
      </c>
      <c r="M517" s="32" t="s">
        <v>69</v>
      </c>
      <c r="N517" s="32" t="s">
        <v>69</v>
      </c>
      <c r="O517" s="34">
        <v>-2.0606094517715614</v>
      </c>
      <c r="P517" s="34">
        <v>-4.221874917715368</v>
      </c>
      <c r="Q517" s="34">
        <v>-3.3171597848493866</v>
      </c>
      <c r="R517" s="34">
        <v>0.0</v>
      </c>
    </row>
    <row r="518">
      <c r="A518" s="27" t="s">
        <v>558</v>
      </c>
      <c r="B518" s="35">
        <v>75.39044117647059</v>
      </c>
      <c r="C518" s="36">
        <v>34.0</v>
      </c>
      <c r="D518" s="36">
        <v>7.0</v>
      </c>
      <c r="E518" s="37">
        <v>-0.6260896341727492</v>
      </c>
      <c r="F518" s="37">
        <v>-1.134441577204968</v>
      </c>
      <c r="G518" s="37">
        <v>-0.5856072766802428</v>
      </c>
      <c r="H518" s="37">
        <v>-1.7253155579772095</v>
      </c>
      <c r="I518" s="37">
        <v>-1.074393546794542</v>
      </c>
      <c r="J518" s="37">
        <v>-0.42116964054813677</v>
      </c>
      <c r="K518" s="37">
        <v>-0.9643458572167563</v>
      </c>
      <c r="L518" s="37">
        <v>0.0</v>
      </c>
      <c r="M518" s="37">
        <v>-1.7533859839815187</v>
      </c>
      <c r="N518" s="37">
        <v>-1.3507924070848822</v>
      </c>
      <c r="O518" s="34" t="s">
        <v>69</v>
      </c>
      <c r="P518" s="34" t="s">
        <v>69</v>
      </c>
      <c r="Q518" s="34" t="s">
        <v>69</v>
      </c>
      <c r="R518" s="34" t="s">
        <v>69</v>
      </c>
    </row>
    <row r="519">
      <c r="A519" s="27" t="s">
        <v>559</v>
      </c>
      <c r="B519" s="29">
        <v>82.66666666666667</v>
      </c>
      <c r="C519" s="31">
        <v>24.0</v>
      </c>
      <c r="D519" s="31">
        <v>7.0</v>
      </c>
      <c r="E519" s="32">
        <v>-1.0808421348368482</v>
      </c>
      <c r="F519" s="32">
        <v>-0.8411412137047665</v>
      </c>
      <c r="G519" s="32" t="s">
        <v>69</v>
      </c>
      <c r="H519" s="32">
        <v>-2.4487442928950243</v>
      </c>
      <c r="I519" s="32">
        <v>-0.6919828418451532</v>
      </c>
      <c r="J519" s="32" t="s">
        <v>69</v>
      </c>
      <c r="K519" s="32">
        <v>-1.1572033510608175</v>
      </c>
      <c r="L519" s="32" t="s">
        <v>69</v>
      </c>
      <c r="M519" s="32">
        <v>-1.6578922625853507</v>
      </c>
      <c r="N519" s="32">
        <v>-1.7626095690021615</v>
      </c>
      <c r="O519" s="34" t="s">
        <v>69</v>
      </c>
      <c r="P519" s="34" t="s">
        <v>69</v>
      </c>
      <c r="Q519" s="34" t="s">
        <v>69</v>
      </c>
      <c r="R519" s="34" t="s">
        <v>69</v>
      </c>
    </row>
    <row r="520">
      <c r="A520" s="27" t="s">
        <v>560</v>
      </c>
      <c r="B520" s="35">
        <v>75.87791666666666</v>
      </c>
      <c r="C520" s="36">
        <v>16.0</v>
      </c>
      <c r="D520" s="36">
        <v>6.0</v>
      </c>
      <c r="E520" s="37">
        <v>-1.0123573360704152</v>
      </c>
      <c r="F520" s="37">
        <v>-1.1659378020094486</v>
      </c>
      <c r="G520" s="37">
        <v>-0.08990421663108013</v>
      </c>
      <c r="H520" s="37">
        <v>-1.7114806964229234</v>
      </c>
      <c r="I520" s="37">
        <v>-1.3806313598213134</v>
      </c>
      <c r="J520" s="37">
        <v>-0.7729298684815441</v>
      </c>
      <c r="K520" s="37">
        <v>-1.375119099879645</v>
      </c>
      <c r="L520" s="37">
        <v>0.11250146457005683</v>
      </c>
      <c r="M520" s="37">
        <v>-0.42555633158071837</v>
      </c>
      <c r="N520" s="37">
        <v>-1.8993685431769256</v>
      </c>
      <c r="O520" s="34" t="s">
        <v>69</v>
      </c>
      <c r="P520" s="34" t="s">
        <v>69</v>
      </c>
      <c r="Q520" s="34" t="s">
        <v>69</v>
      </c>
      <c r="R520" s="34" t="s">
        <v>69</v>
      </c>
    </row>
    <row r="521">
      <c r="A521" s="27" t="s">
        <v>561</v>
      </c>
      <c r="B521" s="29">
        <v>77.66125</v>
      </c>
      <c r="C521" s="31">
        <v>28.0</v>
      </c>
      <c r="D521" s="31">
        <v>6.0</v>
      </c>
      <c r="E521" s="32">
        <v>-0.6537558671422262</v>
      </c>
      <c r="F521" s="32">
        <v>-1.150649170181326</v>
      </c>
      <c r="G521" s="32">
        <v>0.30063123282164794</v>
      </c>
      <c r="H521" s="32">
        <v>-2.0028094481723375</v>
      </c>
      <c r="I521" s="32">
        <v>-0.6748053259465108</v>
      </c>
      <c r="J521" s="32">
        <v>-0.7864290952838419</v>
      </c>
      <c r="K521" s="32">
        <v>-0.6668579341339697</v>
      </c>
      <c r="L521" s="32">
        <v>0.0</v>
      </c>
      <c r="M521" s="32">
        <v>-2.072117074300827</v>
      </c>
      <c r="N521" s="32">
        <v>-2.0192236448131973</v>
      </c>
      <c r="O521" s="34" t="s">
        <v>69</v>
      </c>
      <c r="P521" s="34" t="s">
        <v>69</v>
      </c>
      <c r="Q521" s="34" t="s">
        <v>69</v>
      </c>
      <c r="R521" s="34" t="s">
        <v>69</v>
      </c>
    </row>
    <row r="522">
      <c r="A522" s="27" t="s">
        <v>562</v>
      </c>
      <c r="B522" s="35">
        <v>76.58624999999999</v>
      </c>
      <c r="C522" s="36">
        <v>25.0</v>
      </c>
      <c r="D522" s="36">
        <v>6.0</v>
      </c>
      <c r="E522" s="37">
        <v>-1.8255867839810305</v>
      </c>
      <c r="F522" s="37">
        <v>-0.49898869541961455</v>
      </c>
      <c r="G522" s="37">
        <v>-2.2184729839521515</v>
      </c>
      <c r="H522" s="37">
        <v>-0.6074922181388832</v>
      </c>
      <c r="I522" s="37">
        <v>-0.7905967563952796</v>
      </c>
      <c r="J522" s="37">
        <v>-0.7830888324932027</v>
      </c>
      <c r="K522" s="37">
        <v>-0.5865915495064106</v>
      </c>
      <c r="L522" s="37">
        <v>0.0</v>
      </c>
      <c r="M522" s="37">
        <v>-1.9335414990022592</v>
      </c>
      <c r="N522" s="37">
        <v>-0.4847664735684873</v>
      </c>
      <c r="O522" s="34" t="s">
        <v>69</v>
      </c>
      <c r="P522" s="34" t="s">
        <v>69</v>
      </c>
      <c r="Q522" s="34" t="s">
        <v>69</v>
      </c>
      <c r="R522" s="34" t="s">
        <v>69</v>
      </c>
    </row>
    <row r="523">
      <c r="A523" s="27" t="s">
        <v>563</v>
      </c>
      <c r="B523" s="29">
        <v>77.0</v>
      </c>
      <c r="C523" s="31">
        <v>23.0</v>
      </c>
      <c r="D523" s="31">
        <v>7.0</v>
      </c>
      <c r="E523" s="32">
        <v>-1.1479128728801185</v>
      </c>
      <c r="F523" s="32">
        <v>-1.864242467728156</v>
      </c>
      <c r="G523" s="32" t="s">
        <v>69</v>
      </c>
      <c r="H523" s="32">
        <v>-1.868481823608711</v>
      </c>
      <c r="I523" s="32" t="s">
        <v>69</v>
      </c>
      <c r="J523" s="32" t="s">
        <v>69</v>
      </c>
      <c r="K523" s="32">
        <v>-0.691024998332775</v>
      </c>
      <c r="L523" s="32" t="s">
        <v>69</v>
      </c>
      <c r="M523" s="32">
        <v>-2.026060697390228</v>
      </c>
      <c r="N523" s="32">
        <v>-2.196577386750107</v>
      </c>
      <c r="O523" s="34" t="s">
        <v>69</v>
      </c>
      <c r="P523" s="34" t="s">
        <v>69</v>
      </c>
      <c r="Q523" s="34" t="s">
        <v>69</v>
      </c>
      <c r="R523" s="34" t="s">
        <v>69</v>
      </c>
    </row>
    <row r="524">
      <c r="A524" s="27" t="s">
        <v>564</v>
      </c>
      <c r="B524" s="35">
        <v>76.28571428571429</v>
      </c>
      <c r="C524" s="36">
        <v>30.0</v>
      </c>
      <c r="D524" s="36">
        <v>5.0</v>
      </c>
      <c r="E524" s="37">
        <v>-2.16116009403381</v>
      </c>
      <c r="F524" s="37">
        <v>-1.6229668885480368</v>
      </c>
      <c r="G524" s="37">
        <v>-1.9269690315723351</v>
      </c>
      <c r="H524" s="37">
        <v>-1.4954559504960816</v>
      </c>
      <c r="I524" s="37">
        <v>-1.72461069241107</v>
      </c>
      <c r="J524" s="37">
        <v>-0.16952108464970286</v>
      </c>
      <c r="K524" s="37">
        <v>-1.969948505487997</v>
      </c>
      <c r="L524" s="37">
        <v>0.0</v>
      </c>
      <c r="M524" s="37">
        <v>-0.28426197985323864</v>
      </c>
      <c r="N524" s="37">
        <v>1.5496551443902857</v>
      </c>
      <c r="O524" s="34" t="s">
        <v>69</v>
      </c>
      <c r="P524" s="34" t="s">
        <v>69</v>
      </c>
      <c r="Q524" s="34" t="s">
        <v>69</v>
      </c>
      <c r="R524" s="34" t="s">
        <v>69</v>
      </c>
    </row>
    <row r="525">
      <c r="A525" s="27" t="s">
        <v>565</v>
      </c>
      <c r="B525" s="29">
        <v>80.71428571428571</v>
      </c>
      <c r="C525" s="31">
        <v>25.0</v>
      </c>
      <c r="D525" s="31">
        <v>6.0</v>
      </c>
      <c r="E525" s="32">
        <v>-1.5970472794198753</v>
      </c>
      <c r="F525" s="32">
        <v>-1.9640006398891667</v>
      </c>
      <c r="G525" s="32">
        <v>-1.8465787155074742</v>
      </c>
      <c r="H525" s="32">
        <v>-1.2734167403099923</v>
      </c>
      <c r="I525" s="32">
        <v>-1.7106089588440747</v>
      </c>
      <c r="J525" s="32">
        <v>0.44813554304231407</v>
      </c>
      <c r="K525" s="32">
        <v>-1.9909791078667056</v>
      </c>
      <c r="L525" s="32">
        <v>0.5670691850501626</v>
      </c>
      <c r="M525" s="32">
        <v>0.47627467025787</v>
      </c>
      <c r="N525" s="32">
        <v>-0.916479213018729</v>
      </c>
      <c r="O525" s="34" t="s">
        <v>69</v>
      </c>
      <c r="P525" s="34" t="s">
        <v>69</v>
      </c>
      <c r="Q525" s="34" t="s">
        <v>69</v>
      </c>
      <c r="R525" s="34" t="s">
        <v>69</v>
      </c>
    </row>
    <row r="526">
      <c r="A526" s="27" t="s">
        <v>566</v>
      </c>
      <c r="B526" s="35">
        <v>79.39553571428571</v>
      </c>
      <c r="C526" s="36">
        <v>30.0</v>
      </c>
      <c r="D526" s="36">
        <v>5.0</v>
      </c>
      <c r="E526" s="37">
        <v>-2.177167216082733</v>
      </c>
      <c r="F526" s="37">
        <v>-0.43747139787952616</v>
      </c>
      <c r="G526" s="37">
        <v>0.8257740743875537</v>
      </c>
      <c r="H526" s="37">
        <v>-1.621109653060872</v>
      </c>
      <c r="I526" s="37">
        <v>-1.6527391369272968</v>
      </c>
      <c r="J526" s="37">
        <v>-0.25487089798138723</v>
      </c>
      <c r="K526" s="37">
        <v>-2.3738133955552874</v>
      </c>
      <c r="L526" s="37">
        <v>0.0</v>
      </c>
      <c r="M526" s="37">
        <v>-1.9390110241241052</v>
      </c>
      <c r="N526" s="37">
        <v>-0.18508506687145362</v>
      </c>
      <c r="O526" s="34" t="s">
        <v>69</v>
      </c>
      <c r="P526" s="34" t="s">
        <v>69</v>
      </c>
      <c r="Q526" s="34" t="s">
        <v>69</v>
      </c>
      <c r="R526" s="34" t="s">
        <v>69</v>
      </c>
    </row>
    <row r="527">
      <c r="A527" s="27" t="s">
        <v>567</v>
      </c>
      <c r="B527" s="29">
        <v>77.42857142857143</v>
      </c>
      <c r="C527" s="31">
        <v>29.0</v>
      </c>
      <c r="D527" s="31">
        <v>6.0</v>
      </c>
      <c r="E527" s="32">
        <v>-1.5934542041675572</v>
      </c>
      <c r="F527" s="32">
        <v>-1.9338411924916519</v>
      </c>
      <c r="G527" s="32">
        <v>-1.6566345528278879</v>
      </c>
      <c r="H527" s="32">
        <v>0.2364498889554129</v>
      </c>
      <c r="I527" s="32">
        <v>-1.537920911517797</v>
      </c>
      <c r="J527" s="32">
        <v>-0.7871777123417198</v>
      </c>
      <c r="K527" s="32">
        <v>-1.868081525216127</v>
      </c>
      <c r="L527" s="32">
        <v>0.0</v>
      </c>
      <c r="M527" s="32">
        <v>1.1390364007627012</v>
      </c>
      <c r="N527" s="32">
        <v>-1.8246049715375823</v>
      </c>
      <c r="O527" s="34" t="s">
        <v>69</v>
      </c>
      <c r="P527" s="34" t="s">
        <v>69</v>
      </c>
      <c r="Q527" s="34" t="s">
        <v>69</v>
      </c>
      <c r="R527" s="34" t="s">
        <v>69</v>
      </c>
    </row>
    <row r="528">
      <c r="A528" s="27" t="s">
        <v>568</v>
      </c>
      <c r="B528" s="35">
        <v>82.06264705882353</v>
      </c>
      <c r="C528" s="36">
        <v>29.0</v>
      </c>
      <c r="D528" s="36">
        <v>7.0</v>
      </c>
      <c r="E528" s="37">
        <v>-0.7319118489993015</v>
      </c>
      <c r="F528" s="37">
        <v>-1.0140062363073887</v>
      </c>
      <c r="G528" s="37">
        <v>-2.1127903333982534</v>
      </c>
      <c r="H528" s="37">
        <v>-2.215736191677423</v>
      </c>
      <c r="I528" s="37">
        <v>-0.7086833147898137</v>
      </c>
      <c r="J528" s="37">
        <v>-0.7380702300431581</v>
      </c>
      <c r="K528" s="37">
        <v>-0.9314388750337026</v>
      </c>
      <c r="L528" s="37">
        <v>0.0</v>
      </c>
      <c r="M528" s="37">
        <v>0.02564239533470872</v>
      </c>
      <c r="N528" s="37">
        <v>-1.4419847218982162</v>
      </c>
      <c r="O528" s="34" t="s">
        <v>69</v>
      </c>
      <c r="P528" s="34" t="s">
        <v>69</v>
      </c>
      <c r="Q528" s="34" t="s">
        <v>69</v>
      </c>
      <c r="R528" s="34" t="s">
        <v>69</v>
      </c>
    </row>
    <row r="529">
      <c r="A529" s="27" t="s">
        <v>569</v>
      </c>
      <c r="B529" s="29">
        <v>61.0</v>
      </c>
      <c r="C529" s="31">
        <v>34.0</v>
      </c>
      <c r="D529" s="31">
        <v>7.0</v>
      </c>
      <c r="E529" s="32">
        <v>-1.2736705067112504</v>
      </c>
      <c r="F529" s="32">
        <v>-1.9454409799522345</v>
      </c>
      <c r="G529" s="32" t="s">
        <v>69</v>
      </c>
      <c r="H529" s="32">
        <v>-2.3658496544255505</v>
      </c>
      <c r="I529" s="32" t="s">
        <v>69</v>
      </c>
      <c r="J529" s="32" t="s">
        <v>69</v>
      </c>
      <c r="K529" s="32">
        <v>-2.2551760502492333</v>
      </c>
      <c r="L529" s="32" t="s">
        <v>69</v>
      </c>
      <c r="M529" s="32">
        <v>0.04360601403607701</v>
      </c>
      <c r="N529" s="32">
        <v>-2.076862126681708</v>
      </c>
      <c r="O529" s="34" t="s">
        <v>69</v>
      </c>
      <c r="P529" s="34" t="s">
        <v>69</v>
      </c>
      <c r="Q529" s="34" t="s">
        <v>69</v>
      </c>
      <c r="R529" s="34" t="s">
        <v>69</v>
      </c>
    </row>
    <row r="530">
      <c r="A530" s="27" t="s">
        <v>570</v>
      </c>
      <c r="B530" s="35">
        <v>68.0</v>
      </c>
      <c r="C530" s="36">
        <v>29.0</v>
      </c>
      <c r="D530" s="36">
        <v>7.0</v>
      </c>
      <c r="E530" s="37">
        <v>-2.028216309698042</v>
      </c>
      <c r="F530" s="37">
        <v>-1.7830439555040773</v>
      </c>
      <c r="G530" s="37" t="s">
        <v>69</v>
      </c>
      <c r="H530" s="37">
        <v>-1.3089430139397666</v>
      </c>
      <c r="I530" s="37" t="s">
        <v>69</v>
      </c>
      <c r="J530" s="37" t="s">
        <v>69</v>
      </c>
      <c r="K530" s="37">
        <v>-2.646213813228348</v>
      </c>
      <c r="L530" s="37" t="s">
        <v>69</v>
      </c>
      <c r="M530" s="37">
        <v>-0.5301629752702254</v>
      </c>
      <c r="N530" s="37">
        <v>-1.5980010864081131</v>
      </c>
      <c r="O530" s="34" t="s">
        <v>69</v>
      </c>
      <c r="P530" s="34" t="s">
        <v>69</v>
      </c>
      <c r="Q530" s="34" t="s">
        <v>69</v>
      </c>
      <c r="R530" s="34" t="s">
        <v>69</v>
      </c>
    </row>
    <row r="531">
      <c r="A531" s="27" t="s">
        <v>571</v>
      </c>
      <c r="B531" s="29">
        <v>75.03875000000001</v>
      </c>
      <c r="C531" s="31">
        <v>24.0</v>
      </c>
      <c r="D531" s="31">
        <v>7.0</v>
      </c>
      <c r="E531" s="32">
        <v>-0.9731268579602996</v>
      </c>
      <c r="F531" s="32">
        <v>-1.6247285158102907</v>
      </c>
      <c r="G531" s="32">
        <v>-0.8289976625016882</v>
      </c>
      <c r="H531" s="32">
        <v>-1.046558162153172</v>
      </c>
      <c r="I531" s="32">
        <v>-1.5754244738265</v>
      </c>
      <c r="J531" s="32">
        <v>-0.41366802641001693</v>
      </c>
      <c r="K531" s="32">
        <v>-1.3083399927590966</v>
      </c>
      <c r="L531" s="32">
        <v>0.8587772987464791</v>
      </c>
      <c r="M531" s="32">
        <v>-1.5958349845860968</v>
      </c>
      <c r="N531" s="32">
        <v>-1.4020532271108932</v>
      </c>
      <c r="O531" s="34" t="s">
        <v>69</v>
      </c>
      <c r="P531" s="34" t="s">
        <v>69</v>
      </c>
      <c r="Q531" s="34" t="s">
        <v>69</v>
      </c>
      <c r="R531" s="34" t="s">
        <v>69</v>
      </c>
    </row>
    <row r="532">
      <c r="A532" s="27" t="s">
        <v>572</v>
      </c>
      <c r="B532" s="35">
        <v>78.0</v>
      </c>
      <c r="C532" s="36">
        <v>26.0</v>
      </c>
      <c r="D532" s="36">
        <v>5.0</v>
      </c>
      <c r="E532" s="37">
        <v>-1.2988220334774767</v>
      </c>
      <c r="F532" s="37">
        <v>-1.3391587553457815</v>
      </c>
      <c r="G532" s="37">
        <v>-1.3449156320790572</v>
      </c>
      <c r="H532" s="37">
        <v>-0.8502593477420151</v>
      </c>
      <c r="I532" s="37">
        <v>-1.031191506236056</v>
      </c>
      <c r="J532" s="37">
        <v>-0.16952108464970286</v>
      </c>
      <c r="K532" s="37">
        <v>-1.711812465874333</v>
      </c>
      <c r="L532" s="37">
        <v>0.0</v>
      </c>
      <c r="M532" s="37">
        <v>-0.8370838473277236</v>
      </c>
      <c r="N532" s="37">
        <v>-1.340613277261056</v>
      </c>
      <c r="O532" s="34" t="s">
        <v>69</v>
      </c>
      <c r="P532" s="34" t="s">
        <v>69</v>
      </c>
      <c r="Q532" s="34" t="s">
        <v>69</v>
      </c>
      <c r="R532" s="34" t="s">
        <v>69</v>
      </c>
    </row>
    <row r="533">
      <c r="A533" s="27" t="s">
        <v>573</v>
      </c>
      <c r="B533" s="29">
        <v>74.42857142857143</v>
      </c>
      <c r="C533" s="31">
        <v>34.0</v>
      </c>
      <c r="D533" s="31">
        <v>7.0</v>
      </c>
      <c r="E533" s="32">
        <v>-1.883768656829959</v>
      </c>
      <c r="F533" s="32">
        <v>-1.204700002244955</v>
      </c>
      <c r="G533" s="32">
        <v>-0.6481529874073904</v>
      </c>
      <c r="H533" s="32">
        <v>-1.1032443174633542</v>
      </c>
      <c r="I533" s="32">
        <v>-1.334106670119056</v>
      </c>
      <c r="J533" s="32">
        <v>-0.7871777123417198</v>
      </c>
      <c r="K533" s="32">
        <v>-1.5646992623931193</v>
      </c>
      <c r="L533" s="32">
        <v>0.0</v>
      </c>
      <c r="M533" s="32">
        <v>-1.29588355799206</v>
      </c>
      <c r="N533" s="32">
        <v>-0.10239960386705785</v>
      </c>
      <c r="O533" s="34" t="s">
        <v>69</v>
      </c>
      <c r="P533" s="34" t="s">
        <v>69</v>
      </c>
      <c r="Q533" s="34" t="s">
        <v>69</v>
      </c>
      <c r="R533" s="34" t="s">
        <v>69</v>
      </c>
    </row>
    <row r="534">
      <c r="A534" s="27" t="s">
        <v>574</v>
      </c>
      <c r="B534" s="35">
        <v>74.51083333333334</v>
      </c>
      <c r="C534" s="36">
        <v>30.0</v>
      </c>
      <c r="D534" s="36">
        <v>5.0</v>
      </c>
      <c r="E534" s="37">
        <v>-0.9143710210264189</v>
      </c>
      <c r="F534" s="37">
        <v>-1.5558633368265302</v>
      </c>
      <c r="G534" s="37">
        <v>-0.6552697937749031</v>
      </c>
      <c r="H534" s="37">
        <v>-1.0977703147234918</v>
      </c>
      <c r="I534" s="37">
        <v>-1.4301100250000824</v>
      </c>
      <c r="J534" s="37">
        <v>-0.7856080487926383</v>
      </c>
      <c r="K534" s="37">
        <v>-0.9886576181089702</v>
      </c>
      <c r="L534" s="37">
        <v>0.0</v>
      </c>
      <c r="M534" s="37">
        <v>-0.34911768184023323</v>
      </c>
      <c r="N534" s="37">
        <v>-2.177033218515883</v>
      </c>
      <c r="O534" s="34" t="s">
        <v>69</v>
      </c>
      <c r="P534" s="34" t="s">
        <v>69</v>
      </c>
      <c r="Q534" s="34" t="s">
        <v>69</v>
      </c>
      <c r="R534" s="34" t="s">
        <v>69</v>
      </c>
    </row>
    <row r="535">
      <c r="A535" s="27" t="s">
        <v>575</v>
      </c>
      <c r="B535" s="29">
        <v>80.955</v>
      </c>
      <c r="C535" s="31">
        <v>21.0</v>
      </c>
      <c r="D535" s="31">
        <v>7.0</v>
      </c>
      <c r="E535" s="32">
        <v>-0.6849282363017356</v>
      </c>
      <c r="F535" s="32">
        <v>-1.4101497297826449</v>
      </c>
      <c r="G535" s="32">
        <v>-2.1659736277915647</v>
      </c>
      <c r="H535" s="32">
        <v>-1.1447712194270383</v>
      </c>
      <c r="I535" s="32">
        <v>-0.5813822014567911</v>
      </c>
      <c r="J535" s="32">
        <v>-0.784056037120242</v>
      </c>
      <c r="K535" s="32">
        <v>-1.169539530283629</v>
      </c>
      <c r="L535" s="32">
        <v>0.5010335552325218</v>
      </c>
      <c r="M535" s="32">
        <v>-0.9014161160205809</v>
      </c>
      <c r="N535" s="32">
        <v>-1.621190333946959</v>
      </c>
      <c r="O535" s="34" t="s">
        <v>69</v>
      </c>
      <c r="P535" s="34" t="s">
        <v>69</v>
      </c>
      <c r="Q535" s="34" t="s">
        <v>69</v>
      </c>
      <c r="R535" s="34" t="s">
        <v>69</v>
      </c>
    </row>
    <row r="536">
      <c r="A536" s="27" t="s">
        <v>576</v>
      </c>
      <c r="B536" s="35">
        <v>68.0</v>
      </c>
      <c r="C536" s="36">
        <v>28.0</v>
      </c>
      <c r="D536" s="36">
        <v>6.0</v>
      </c>
      <c r="E536" s="37">
        <v>-1.3994281405423823</v>
      </c>
      <c r="F536" s="37">
        <v>-1.6206469310559204</v>
      </c>
      <c r="G536" s="37" t="s">
        <v>69</v>
      </c>
      <c r="H536" s="37">
        <v>-1.7441398659045013</v>
      </c>
      <c r="I536" s="37" t="s">
        <v>69</v>
      </c>
      <c r="J536" s="37" t="s">
        <v>69</v>
      </c>
      <c r="K536" s="37">
        <v>-0.990053875905039</v>
      </c>
      <c r="L536" s="37" t="s">
        <v>69</v>
      </c>
      <c r="M536" s="37">
        <v>-2.2514699431891327</v>
      </c>
      <c r="N536" s="37">
        <v>-1.9571468666133094</v>
      </c>
      <c r="O536" s="34" t="s">
        <v>69</v>
      </c>
      <c r="P536" s="34" t="s">
        <v>69</v>
      </c>
      <c r="Q536" s="34" t="s">
        <v>69</v>
      </c>
      <c r="R536" s="34" t="s">
        <v>69</v>
      </c>
    </row>
    <row r="537">
      <c r="A537" s="27" t="s">
        <v>577</v>
      </c>
      <c r="B537" s="29">
        <v>79.71428571428571</v>
      </c>
      <c r="C537" s="31">
        <v>23.0</v>
      </c>
      <c r="D537" s="31">
        <v>6.0</v>
      </c>
      <c r="E537" s="32">
        <v>-2.1539739435291736</v>
      </c>
      <c r="F537" s="32">
        <v>-1.6206469310559204</v>
      </c>
      <c r="G537" s="32">
        <v>-2.104083760555991</v>
      </c>
      <c r="H537" s="32">
        <v>-0.35861519434330563</v>
      </c>
      <c r="I537" s="32">
        <v>-1.72461069241107</v>
      </c>
      <c r="J537" s="32">
        <v>-0.16952108464970286</v>
      </c>
      <c r="K537" s="32">
        <v>-2.109276246246942</v>
      </c>
      <c r="L537" s="32">
        <v>0.0</v>
      </c>
      <c r="M537" s="32">
        <v>-0.23683821645139116</v>
      </c>
      <c r="N537" s="32">
        <v>0.5098425997961935</v>
      </c>
      <c r="O537" s="34" t="s">
        <v>69</v>
      </c>
      <c r="P537" s="34" t="s">
        <v>69</v>
      </c>
      <c r="Q537" s="34" t="s">
        <v>69</v>
      </c>
      <c r="R537" s="34" t="s">
        <v>69</v>
      </c>
    </row>
    <row r="538">
      <c r="A538" s="27" t="s">
        <v>578</v>
      </c>
      <c r="B538" s="35">
        <v>80.04666666666667</v>
      </c>
      <c r="C538" s="36">
        <v>25.0</v>
      </c>
      <c r="D538" s="36">
        <v>6.0</v>
      </c>
      <c r="E538" s="37">
        <v>-1.335964460474144</v>
      </c>
      <c r="F538" s="37">
        <v>-1.0478985957284723</v>
      </c>
      <c r="G538" s="37">
        <v>-0.4834241832651602</v>
      </c>
      <c r="H538" s="37">
        <v>-1.179297315924981</v>
      </c>
      <c r="I538" s="37">
        <v>-1.4804146633993351</v>
      </c>
      <c r="J538" s="37">
        <v>0.15087085079887932</v>
      </c>
      <c r="K538" s="37">
        <v>-1.7249193435367023</v>
      </c>
      <c r="L538" s="37">
        <v>0.0</v>
      </c>
      <c r="M538" s="37">
        <v>-1.1328395173862775</v>
      </c>
      <c r="N538" s="37">
        <v>-1.762328041791014</v>
      </c>
      <c r="O538" s="34" t="s">
        <v>69</v>
      </c>
      <c r="P538" s="34" t="s">
        <v>69</v>
      </c>
      <c r="Q538" s="34" t="s">
        <v>69</v>
      </c>
      <c r="R538" s="34" t="s">
        <v>69</v>
      </c>
    </row>
    <row r="539">
      <c r="A539" s="27" t="s">
        <v>579</v>
      </c>
      <c r="B539" s="29">
        <v>77.35714285714286</v>
      </c>
      <c r="C539" s="31">
        <v>26.0</v>
      </c>
      <c r="D539" s="31">
        <v>5.0</v>
      </c>
      <c r="E539" s="32">
        <v>-1.1101855827307792</v>
      </c>
      <c r="F539" s="32">
        <v>-1.3990909905587918</v>
      </c>
      <c r="G539" s="32">
        <v>-0.9002951191839905</v>
      </c>
      <c r="H539" s="32">
        <v>-1.372002149632616</v>
      </c>
      <c r="I539" s="32">
        <v>-0.935068494049936</v>
      </c>
      <c r="J539" s="32">
        <v>-0.7871777123417198</v>
      </c>
      <c r="K539" s="32">
        <v>-1.1096654269339448</v>
      </c>
      <c r="L539" s="32">
        <v>0.0</v>
      </c>
      <c r="M539" s="32">
        <v>-0.6156428451056543</v>
      </c>
      <c r="N539" s="32">
        <v>-1.771160659007047</v>
      </c>
      <c r="O539" s="34" t="s">
        <v>69</v>
      </c>
      <c r="P539" s="34" t="s">
        <v>69</v>
      </c>
      <c r="Q539" s="34" t="s">
        <v>69</v>
      </c>
      <c r="R539" s="34" t="s">
        <v>69</v>
      </c>
    </row>
    <row r="540">
      <c r="A540" s="27" t="s">
        <v>580</v>
      </c>
      <c r="B540" s="35">
        <v>76.0</v>
      </c>
      <c r="C540" s="36">
        <v>18.0</v>
      </c>
      <c r="D540" s="36">
        <v>6.0</v>
      </c>
      <c r="E540" s="37">
        <v>-2.2797315773603057</v>
      </c>
      <c r="F540" s="37">
        <v>-1.864242467728156</v>
      </c>
      <c r="G540" s="37" t="s">
        <v>69</v>
      </c>
      <c r="H540" s="37">
        <v>-1.5576269293481866</v>
      </c>
      <c r="I540" s="37" t="s">
        <v>69</v>
      </c>
      <c r="J540" s="37" t="s">
        <v>69</v>
      </c>
      <c r="K540" s="37">
        <v>-1.8871405086218314</v>
      </c>
      <c r="L540" s="37" t="s">
        <v>69</v>
      </c>
      <c r="M540" s="37">
        <v>-1.8621267004455702</v>
      </c>
      <c r="N540" s="37">
        <v>-0.550492560809624</v>
      </c>
      <c r="O540" s="34" t="s">
        <v>69</v>
      </c>
      <c r="P540" s="34" t="s">
        <v>69</v>
      </c>
      <c r="Q540" s="34" t="s">
        <v>69</v>
      </c>
      <c r="R540" s="34" t="s">
        <v>69</v>
      </c>
    </row>
    <row r="541">
      <c r="A541" s="27" t="s">
        <v>581</v>
      </c>
      <c r="B541" s="29">
        <v>76.71428571428571</v>
      </c>
      <c r="C541" s="31">
        <v>28.0</v>
      </c>
      <c r="D541" s="31">
        <v>7.0</v>
      </c>
      <c r="E541" s="32">
        <v>-2.243800824837125</v>
      </c>
      <c r="F541" s="32">
        <v>-1.0058581956450399</v>
      </c>
      <c r="G541" s="32">
        <v>1.0081764998769274</v>
      </c>
      <c r="H541" s="32">
        <v>-1.504337518903525</v>
      </c>
      <c r="I541" s="32">
        <v>-1.6265985574421018</v>
      </c>
      <c r="J541" s="32">
        <v>-0.7871777123417198</v>
      </c>
      <c r="K541" s="32">
        <v>-2.1881410051670995</v>
      </c>
      <c r="L541" s="32">
        <v>0.0</v>
      </c>
      <c r="M541" s="32">
        <v>-1.7836725733363412</v>
      </c>
      <c r="N541" s="32">
        <v>0.11820267757243175</v>
      </c>
      <c r="O541" s="34" t="s">
        <v>69</v>
      </c>
      <c r="P541" s="34" t="s">
        <v>69</v>
      </c>
      <c r="Q541" s="34" t="s">
        <v>69</v>
      </c>
      <c r="R541" s="34" t="s">
        <v>69</v>
      </c>
    </row>
    <row r="542">
      <c r="A542" s="27" t="s">
        <v>582</v>
      </c>
      <c r="B542" s="35">
        <v>72.14285714285714</v>
      </c>
      <c r="C542" s="36">
        <v>25.0</v>
      </c>
      <c r="D542" s="36">
        <v>6.0</v>
      </c>
      <c r="E542" s="37">
        <v>-2.024623234445724</v>
      </c>
      <c r="F542" s="37">
        <v>-1.7296849331853972</v>
      </c>
      <c r="G542" s="37">
        <v>-2.1027761791651742</v>
      </c>
      <c r="H542" s="37">
        <v>-0.4385493100102976</v>
      </c>
      <c r="I542" s="37">
        <v>-1.7106089588440747</v>
      </c>
      <c r="J542" s="37">
        <v>-0.16952108464970286</v>
      </c>
      <c r="K542" s="37">
        <v>-1.8772824137568116</v>
      </c>
      <c r="L542" s="37">
        <v>0.0</v>
      </c>
      <c r="M542" s="37">
        <v>-0.33988244310231885</v>
      </c>
      <c r="N542" s="37">
        <v>0.3755904867194893</v>
      </c>
      <c r="O542" s="34" t="s">
        <v>69</v>
      </c>
      <c r="P542" s="34" t="s">
        <v>69</v>
      </c>
      <c r="Q542" s="34" t="s">
        <v>69</v>
      </c>
      <c r="R542" s="34" t="s">
        <v>69</v>
      </c>
    </row>
    <row r="543">
      <c r="A543" s="27" t="s">
        <v>583</v>
      </c>
      <c r="B543" s="29">
        <v>75.42857142857143</v>
      </c>
      <c r="C543" s="31">
        <v>29.0</v>
      </c>
      <c r="D543" s="31">
        <v>7.0</v>
      </c>
      <c r="E543" s="32">
        <v>-2.322848480388122</v>
      </c>
      <c r="F543" s="32">
        <v>-1.780723998011961</v>
      </c>
      <c r="G543" s="32">
        <v>-0.33883560457636086</v>
      </c>
      <c r="H543" s="32">
        <v>-0.28756264708375695</v>
      </c>
      <c r="I543" s="32">
        <v>-1.72461069241107</v>
      </c>
      <c r="J543" s="32">
        <v>-0.16952108464970286</v>
      </c>
      <c r="K543" s="32">
        <v>-2.2978944613309857</v>
      </c>
      <c r="L543" s="32">
        <v>0.0</v>
      </c>
      <c r="M543" s="32">
        <v>-0.6613101728259515</v>
      </c>
      <c r="N543" s="32">
        <v>-0.4401834997465996</v>
      </c>
      <c r="O543" s="34" t="s">
        <v>69</v>
      </c>
      <c r="P543" s="34" t="s">
        <v>69</v>
      </c>
      <c r="Q543" s="34" t="s">
        <v>69</v>
      </c>
      <c r="R543" s="34" t="s">
        <v>69</v>
      </c>
    </row>
    <row r="544">
      <c r="A544" s="27" t="s">
        <v>584</v>
      </c>
      <c r="B544" s="35">
        <v>78.71604166666667</v>
      </c>
      <c r="C544" s="36">
        <v>21.0</v>
      </c>
      <c r="D544" s="36">
        <v>7.0</v>
      </c>
      <c r="E544" s="37">
        <v>-0.5541717193842748</v>
      </c>
      <c r="F544" s="37">
        <v>-1.2734708142052562</v>
      </c>
      <c r="G544" s="37">
        <v>-1.1459516581443487</v>
      </c>
      <c r="H544" s="37">
        <v>-1.6268334359896481</v>
      </c>
      <c r="I544" s="37">
        <v>-1.2807431966282603</v>
      </c>
      <c r="J544" s="37">
        <v>0.04261031143960721</v>
      </c>
      <c r="K544" s="37">
        <v>-1.2192914436901765</v>
      </c>
      <c r="L544" s="37">
        <v>0.3320497468099519</v>
      </c>
      <c r="M544" s="37">
        <v>-1.6005218704898794</v>
      </c>
      <c r="N544" s="37">
        <v>-1.7081455309680402</v>
      </c>
      <c r="O544" s="34" t="s">
        <v>69</v>
      </c>
      <c r="P544" s="34" t="s">
        <v>69</v>
      </c>
      <c r="Q544" s="34" t="s">
        <v>69</v>
      </c>
      <c r="R544" s="34" t="s">
        <v>69</v>
      </c>
    </row>
    <row r="545">
      <c r="A545" s="27" t="s">
        <v>585</v>
      </c>
      <c r="B545" s="29">
        <v>78.11764705882354</v>
      </c>
      <c r="C545" s="31">
        <v>23.0</v>
      </c>
      <c r="D545" s="31">
        <v>6.0</v>
      </c>
      <c r="E545" s="32">
        <v>-0.4481716106858508</v>
      </c>
      <c r="F545" s="32">
        <v>-0.1763100501753102</v>
      </c>
      <c r="G545" s="32">
        <v>-3.513484518872601</v>
      </c>
      <c r="H545" s="32">
        <v>-2.131283942469621</v>
      </c>
      <c r="I545" s="32">
        <v>0.21451470841217787</v>
      </c>
      <c r="J545" s="32">
        <v>-0.7801438106182772</v>
      </c>
      <c r="K545" s="32">
        <v>-0.11898506746886967</v>
      </c>
      <c r="L545" s="32">
        <v>0.0</v>
      </c>
      <c r="M545" s="32">
        <v>-2.020031999421564</v>
      </c>
      <c r="N545" s="32">
        <v>-1.0831249726757053</v>
      </c>
      <c r="O545" s="34" t="s">
        <v>69</v>
      </c>
      <c r="P545" s="34" t="s">
        <v>69</v>
      </c>
      <c r="Q545" s="34" t="s">
        <v>69</v>
      </c>
      <c r="R545" s="34" t="s">
        <v>69</v>
      </c>
    </row>
    <row r="546">
      <c r="A546" s="27" t="s">
        <v>586</v>
      </c>
      <c r="B546" s="35">
        <v>79.87428571428572</v>
      </c>
      <c r="C546" s="36">
        <v>28.0</v>
      </c>
      <c r="D546" s="36">
        <v>7.0</v>
      </c>
      <c r="E546" s="37">
        <v>-0.42253550661780626</v>
      </c>
      <c r="F546" s="37">
        <v>-0.7013700699435571</v>
      </c>
      <c r="G546" s="37">
        <v>-0.6582164967704787</v>
      </c>
      <c r="H546" s="37">
        <v>-1.9134806943572855</v>
      </c>
      <c r="I546" s="37">
        <v>-0.8715133297180727</v>
      </c>
      <c r="J546" s="37">
        <v>-0.7851233871795357</v>
      </c>
      <c r="K546" s="37">
        <v>-0.834435404763355</v>
      </c>
      <c r="L546" s="37">
        <v>0.0</v>
      </c>
      <c r="M546" s="37">
        <v>-2.376789474858166</v>
      </c>
      <c r="N546" s="37">
        <v>-1.6052896234856129</v>
      </c>
      <c r="O546" s="34" t="s">
        <v>69</v>
      </c>
      <c r="P546" s="34" t="s">
        <v>69</v>
      </c>
      <c r="Q546" s="34" t="s">
        <v>69</v>
      </c>
      <c r="R546" s="34" t="s">
        <v>69</v>
      </c>
    </row>
    <row r="547">
      <c r="A547" s="27" t="s">
        <v>587</v>
      </c>
      <c r="B547" s="29">
        <v>77.6025</v>
      </c>
      <c r="C547" s="31">
        <v>31.0</v>
      </c>
      <c r="D547" s="31">
        <v>7.0</v>
      </c>
      <c r="E547" s="32">
        <v>-1.8414847158774217</v>
      </c>
      <c r="F547" s="32">
        <v>-1.1685170000052791</v>
      </c>
      <c r="G547" s="32">
        <v>-3.061367155072359</v>
      </c>
      <c r="H547" s="32">
        <v>-0.14927116380455452</v>
      </c>
      <c r="I547" s="32">
        <v>-1.1117168761105818</v>
      </c>
      <c r="J547" s="32">
        <v>-0.7561115714871612</v>
      </c>
      <c r="K547" s="32">
        <v>-0.9561999086658329</v>
      </c>
      <c r="L547" s="32">
        <v>0.0</v>
      </c>
      <c r="M547" s="32">
        <v>-1.1611221529095737</v>
      </c>
      <c r="N547" s="32">
        <v>0.03132538341795385</v>
      </c>
      <c r="O547" s="34" t="s">
        <v>69</v>
      </c>
      <c r="P547" s="34" t="s">
        <v>69</v>
      </c>
      <c r="Q547" s="34" t="s">
        <v>69</v>
      </c>
      <c r="R547" s="34" t="s">
        <v>69</v>
      </c>
    </row>
    <row r="548">
      <c r="A548" s="27" t="s">
        <v>588</v>
      </c>
      <c r="B548" s="35">
        <v>74.2</v>
      </c>
      <c r="C548" s="36">
        <v>31.0</v>
      </c>
      <c r="D548" s="36">
        <v>7.0</v>
      </c>
      <c r="E548" s="37">
        <v>-1.8420950116279666</v>
      </c>
      <c r="F548" s="37">
        <v>-1.7538124911034092</v>
      </c>
      <c r="G548" s="37">
        <v>-3.357729307148248</v>
      </c>
      <c r="H548" s="37">
        <v>-0.21473378614271976</v>
      </c>
      <c r="I548" s="37">
        <v>-1.5145846889061378</v>
      </c>
      <c r="J548" s="37">
        <v>0.44813554304231407</v>
      </c>
      <c r="K548" s="37">
        <v>-2.0923203230791083</v>
      </c>
      <c r="L548" s="37">
        <v>0.5104219867267361</v>
      </c>
      <c r="M548" s="37">
        <v>0.7632762606231249</v>
      </c>
      <c r="N548" s="37">
        <v>-1.131111572141358</v>
      </c>
      <c r="O548" s="34" t="s">
        <v>69</v>
      </c>
      <c r="P548" s="34" t="s">
        <v>69</v>
      </c>
      <c r="Q548" s="34" t="s">
        <v>69</v>
      </c>
      <c r="R548" s="34" t="s">
        <v>69</v>
      </c>
    </row>
    <row r="549">
      <c r="A549" s="27" t="s">
        <v>589</v>
      </c>
      <c r="B549" s="29">
        <v>79.75999999999999</v>
      </c>
      <c r="C549" s="31">
        <v>31.0</v>
      </c>
      <c r="D549" s="31">
        <v>7.0</v>
      </c>
      <c r="E549" s="32">
        <v>-2.1392804556944673</v>
      </c>
      <c r="F549" s="32">
        <v>-0.9896795939076899</v>
      </c>
      <c r="G549" s="32">
        <v>-1.5633662133068613</v>
      </c>
      <c r="H549" s="32">
        <v>-1.1031570799892034</v>
      </c>
      <c r="I549" s="32">
        <v>-1.2064881350118357</v>
      </c>
      <c r="J549" s="32">
        <v>-0.7461077086809396</v>
      </c>
      <c r="K549" s="32">
        <v>-1.4990948576486371</v>
      </c>
      <c r="L549" s="32">
        <v>0.0</v>
      </c>
      <c r="M549" s="32">
        <v>-0.9099245154887852</v>
      </c>
      <c r="N549" s="32">
        <v>-0.03718508441860866</v>
      </c>
      <c r="O549" s="34" t="s">
        <v>69</v>
      </c>
      <c r="P549" s="34" t="s">
        <v>69</v>
      </c>
      <c r="Q549" s="34" t="s">
        <v>69</v>
      </c>
      <c r="R549" s="34" t="s">
        <v>69</v>
      </c>
    </row>
    <row r="550">
      <c r="A550" s="27" t="s">
        <v>590</v>
      </c>
      <c r="B550" s="35">
        <v>79.85714285714286</v>
      </c>
      <c r="C550" s="36">
        <v>30.0</v>
      </c>
      <c r="D550" s="36">
        <v>5.0</v>
      </c>
      <c r="E550" s="37">
        <v>-1.5395580753827864</v>
      </c>
      <c r="F550" s="37">
        <v>-1.7227250607090476</v>
      </c>
      <c r="G550" s="37">
        <v>-1.9207319391760405</v>
      </c>
      <c r="H550" s="37">
        <v>-0.7405226358633785</v>
      </c>
      <c r="I550" s="37">
        <v>-1.5752588676964516</v>
      </c>
      <c r="J550" s="37">
        <v>0.44813554304231407</v>
      </c>
      <c r="K550" s="37">
        <v>-2.038955169543135</v>
      </c>
      <c r="L550" s="37">
        <v>1.434897226446013</v>
      </c>
      <c r="M550" s="37">
        <v>-1.6162257050285835</v>
      </c>
      <c r="N550" s="37">
        <v>-0.9293058480260573</v>
      </c>
      <c r="O550" s="34" t="s">
        <v>69</v>
      </c>
      <c r="P550" s="34" t="s">
        <v>69</v>
      </c>
      <c r="Q550" s="34" t="s">
        <v>69</v>
      </c>
      <c r="R550" s="34" t="s">
        <v>69</v>
      </c>
    </row>
    <row r="551">
      <c r="A551" s="27" t="s">
        <v>591</v>
      </c>
      <c r="B551" s="29">
        <v>76.0</v>
      </c>
      <c r="C551" s="31">
        <v>25.0</v>
      </c>
      <c r="D551" s="31">
        <v>6.0</v>
      </c>
      <c r="E551" s="32">
        <v>-2.1899046960523543</v>
      </c>
      <c r="F551" s="32">
        <v>-1.2448138173330423</v>
      </c>
      <c r="G551" s="32">
        <v>-2.1104888150735466</v>
      </c>
      <c r="H551" s="32">
        <v>-1.7441398659045013</v>
      </c>
      <c r="I551" s="32">
        <v>-1.533253666995465</v>
      </c>
      <c r="J551" s="32">
        <v>-0.16952108464970286</v>
      </c>
      <c r="K551" s="32">
        <v>-1.655146676131701</v>
      </c>
      <c r="L551" s="32">
        <v>0.0</v>
      </c>
      <c r="M551" s="32">
        <v>-1.1414025924495923</v>
      </c>
      <c r="N551" s="32">
        <v>1.585569722410805</v>
      </c>
      <c r="O551" s="34" t="s">
        <v>69</v>
      </c>
      <c r="P551" s="34" t="s">
        <v>69</v>
      </c>
      <c r="Q551" s="34" t="s">
        <v>69</v>
      </c>
      <c r="R551" s="34" t="s">
        <v>69</v>
      </c>
    </row>
    <row r="552">
      <c r="A552" s="27" t="s">
        <v>592</v>
      </c>
      <c r="B552" s="35">
        <v>74.8</v>
      </c>
      <c r="C552" s="36">
        <v>16.0</v>
      </c>
      <c r="D552" s="36">
        <v>6.0</v>
      </c>
      <c r="E552" s="37">
        <v>-1.0976098193476658</v>
      </c>
      <c r="F552" s="37">
        <v>-1.5556881212766573</v>
      </c>
      <c r="G552" s="37">
        <v>-1.0668947455249338</v>
      </c>
      <c r="H552" s="37">
        <v>-1.3213772097101877</v>
      </c>
      <c r="I552" s="37">
        <v>-1.2578862401778874</v>
      </c>
      <c r="J552" s="37">
        <v>-0.7871777123417198</v>
      </c>
      <c r="K552" s="37">
        <v>-1.8963413971625167</v>
      </c>
      <c r="L552" s="37">
        <v>0.0</v>
      </c>
      <c r="M552" s="37">
        <v>0.28950700945306374</v>
      </c>
      <c r="N552" s="37">
        <v>-1.526171930367074</v>
      </c>
      <c r="O552" s="34" t="s">
        <v>69</v>
      </c>
      <c r="P552" s="34" t="s">
        <v>69</v>
      </c>
      <c r="Q552" s="34" t="s">
        <v>69</v>
      </c>
      <c r="R552" s="34" t="s">
        <v>69</v>
      </c>
    </row>
    <row r="553">
      <c r="A553" s="27" t="s">
        <v>593</v>
      </c>
      <c r="B553" s="29">
        <v>75.53583333333334</v>
      </c>
      <c r="C553" s="31">
        <v>28.0</v>
      </c>
      <c r="D553" s="31">
        <v>7.0</v>
      </c>
      <c r="E553" s="32">
        <v>-0.9018146967386892</v>
      </c>
      <c r="F553" s="32">
        <v>-1.4163946379004164</v>
      </c>
      <c r="G553" s="32">
        <v>-1.053554826906057</v>
      </c>
      <c r="H553" s="32">
        <v>-1.9078124281850177</v>
      </c>
      <c r="I553" s="32">
        <v>-1.2327368823416702</v>
      </c>
      <c r="J553" s="32">
        <v>-0.7854211285152791</v>
      </c>
      <c r="K553" s="32">
        <v>-1.3536354977927445</v>
      </c>
      <c r="L553" s="32">
        <v>0.0</v>
      </c>
      <c r="M553" s="32">
        <v>-0.3344525547014921</v>
      </c>
      <c r="N553" s="32">
        <v>-1.2356930272466156</v>
      </c>
      <c r="O553" s="34" t="s">
        <v>69</v>
      </c>
      <c r="P553" s="34" t="s">
        <v>69</v>
      </c>
      <c r="Q553" s="34" t="s">
        <v>69</v>
      </c>
      <c r="R553" s="34" t="s">
        <v>69</v>
      </c>
    </row>
    <row r="554">
      <c r="A554" s="27" t="s">
        <v>594</v>
      </c>
      <c r="B554" s="35">
        <v>70.8</v>
      </c>
      <c r="C554" s="36">
        <v>29.0</v>
      </c>
      <c r="D554" s="36">
        <v>7.0</v>
      </c>
      <c r="E554" s="37">
        <v>-2.330034630892758</v>
      </c>
      <c r="F554" s="37">
        <v>-1.7830439555040773</v>
      </c>
      <c r="G554" s="37">
        <v>-0.9802057658628406</v>
      </c>
      <c r="H554" s="37">
        <v>-0.07795763266808917</v>
      </c>
      <c r="I554" s="37">
        <v>-1.72461069241107</v>
      </c>
      <c r="J554" s="37">
        <v>-0.7871777123417198</v>
      </c>
      <c r="K554" s="37">
        <v>-2.241374717438206</v>
      </c>
      <c r="L554" s="37">
        <v>0.0</v>
      </c>
      <c r="M554" s="37">
        <v>-0.5055728757285266</v>
      </c>
      <c r="N554" s="37">
        <v>0.17977052560760845</v>
      </c>
      <c r="O554" s="34" t="s">
        <v>69</v>
      </c>
      <c r="P554" s="34" t="s">
        <v>69</v>
      </c>
      <c r="Q554" s="34" t="s">
        <v>69</v>
      </c>
      <c r="R554" s="34" t="s">
        <v>69</v>
      </c>
    </row>
    <row r="555">
      <c r="A555" s="27" t="s">
        <v>595</v>
      </c>
      <c r="B555" s="29">
        <v>77.14285714285714</v>
      </c>
      <c r="C555" s="31">
        <v>28.0</v>
      </c>
      <c r="D555" s="31">
        <v>7.0</v>
      </c>
      <c r="E555" s="32">
        <v>-2.3551861576589848</v>
      </c>
      <c r="F555" s="32">
        <v>-1.3445719894940533</v>
      </c>
      <c r="G555" s="32">
        <v>0.3570337021721005</v>
      </c>
      <c r="H555" s="32">
        <v>-1.5132190873109685</v>
      </c>
      <c r="I555" s="32">
        <v>-1.7106089588440747</v>
      </c>
      <c r="J555" s="32">
        <v>-0.7871777123417198</v>
      </c>
      <c r="K555" s="32">
        <v>-2.310381381493344</v>
      </c>
      <c r="L555" s="32">
        <v>0.0</v>
      </c>
      <c r="M555" s="32">
        <v>-0.5377741965569418</v>
      </c>
      <c r="N555" s="32">
        <v>-0.06564575753260907</v>
      </c>
      <c r="O555" s="34" t="s">
        <v>69</v>
      </c>
      <c r="P555" s="34" t="s">
        <v>69</v>
      </c>
      <c r="Q555" s="34" t="s">
        <v>69</v>
      </c>
      <c r="R555" s="34" t="s">
        <v>69</v>
      </c>
    </row>
    <row r="556">
      <c r="A556" s="27" t="s">
        <v>596</v>
      </c>
      <c r="B556" s="35">
        <v>76.85714285714286</v>
      </c>
      <c r="C556" s="36">
        <v>24.0</v>
      </c>
      <c r="D556" s="36">
        <v>7.0</v>
      </c>
      <c r="E556" s="37">
        <v>-2.2186492980708987</v>
      </c>
      <c r="F556" s="37">
        <v>-1.553368163784541</v>
      </c>
      <c r="G556" s="37">
        <v>-0.799255463382659</v>
      </c>
      <c r="H556" s="37">
        <v>-1.4599296768663073</v>
      </c>
      <c r="I556" s="37">
        <v>-1.7152762033664064</v>
      </c>
      <c r="J556" s="37">
        <v>-0.16952108464970286</v>
      </c>
      <c r="K556" s="37">
        <v>-1.6794633101320828</v>
      </c>
      <c r="L556" s="37">
        <v>0.0</v>
      </c>
      <c r="M556" s="37">
        <v>-2.1648191162326706</v>
      </c>
      <c r="N556" s="37">
        <v>1.456448263337032</v>
      </c>
      <c r="O556" s="34" t="s">
        <v>69</v>
      </c>
      <c r="P556" s="34" t="s">
        <v>69</v>
      </c>
      <c r="Q556" s="34" t="s">
        <v>69</v>
      </c>
      <c r="R556" s="34" t="s">
        <v>69</v>
      </c>
    </row>
    <row r="557">
      <c r="A557" s="27" t="s">
        <v>597</v>
      </c>
      <c r="B557" s="29">
        <v>76.28571428571429</v>
      </c>
      <c r="C557" s="31">
        <v>34.0</v>
      </c>
      <c r="D557" s="31">
        <v>7.0</v>
      </c>
      <c r="E557" s="32">
        <v>-1.7407702895125976</v>
      </c>
      <c r="F557" s="32">
        <v>-1.9732804698576327</v>
      </c>
      <c r="G557" s="32">
        <v>-1.3074148714055536</v>
      </c>
      <c r="H557" s="32">
        <v>-1.2556536034951054</v>
      </c>
      <c r="I557" s="32">
        <v>-1.6872727362324154</v>
      </c>
      <c r="J557" s="32">
        <v>-0.16952108464970286</v>
      </c>
      <c r="K557" s="32">
        <v>-2.0415839948404733</v>
      </c>
      <c r="L557" s="32">
        <v>0.5545786537428234</v>
      </c>
      <c r="M557" s="32">
        <v>0.72159018711434</v>
      </c>
      <c r="N557" s="32">
        <v>-1.422703741307958</v>
      </c>
      <c r="O557" s="34" t="s">
        <v>69</v>
      </c>
      <c r="P557" s="34" t="s">
        <v>69</v>
      </c>
      <c r="Q557" s="34" t="s">
        <v>69</v>
      </c>
      <c r="R557" s="34" t="s">
        <v>69</v>
      </c>
    </row>
    <row r="558">
      <c r="A558" s="27" t="s">
        <v>598</v>
      </c>
      <c r="B558" s="35">
        <v>78.55555555555556</v>
      </c>
      <c r="C558" s="36">
        <v>23.0</v>
      </c>
      <c r="D558" s="36">
        <v>6.0</v>
      </c>
      <c r="E558" s="37">
        <v>-2.2461962083386706</v>
      </c>
      <c r="F558" s="37">
        <v>-1.432988147249161</v>
      </c>
      <c r="G558" s="37">
        <v>-3.1712269534666397</v>
      </c>
      <c r="H558" s="37">
        <v>0.3296076731401544</v>
      </c>
      <c r="I558" s="37">
        <v>-1.6646032628382323</v>
      </c>
      <c r="J558" s="37">
        <v>-0.16952108464970286</v>
      </c>
      <c r="K558" s="37">
        <v>-2.246486322183031</v>
      </c>
      <c r="L558" s="37">
        <v>0.0</v>
      </c>
      <c r="M558" s="37">
        <v>-0.23735864183851735</v>
      </c>
      <c r="N558" s="37">
        <v>0.4910302017854454</v>
      </c>
      <c r="O558" s="34" t="s">
        <v>69</v>
      </c>
      <c r="P558" s="34" t="s">
        <v>69</v>
      </c>
      <c r="Q558" s="34" t="s">
        <v>69</v>
      </c>
      <c r="R558" s="34" t="s">
        <v>69</v>
      </c>
    </row>
    <row r="559">
      <c r="A559" s="27" t="s">
        <v>599</v>
      </c>
      <c r="B559" s="29">
        <v>69.71428571428571</v>
      </c>
      <c r="C559" s="31">
        <v>28.0</v>
      </c>
      <c r="D559" s="31">
        <v>6.0</v>
      </c>
      <c r="E559" s="32">
        <v>-1.442545043570199</v>
      </c>
      <c r="F559" s="32">
        <v>-2.214556049037752</v>
      </c>
      <c r="G559" s="32">
        <v>-0.929525645468777</v>
      </c>
      <c r="H559" s="32">
        <v>-1.7619030027193883</v>
      </c>
      <c r="I559" s="32">
        <v>-1.6919399807547475</v>
      </c>
      <c r="J559" s="32">
        <v>-0.7871777123417198</v>
      </c>
      <c r="K559" s="32">
        <v>-2.164481577491052</v>
      </c>
      <c r="L559" s="32">
        <v>0.0</v>
      </c>
      <c r="M559" s="32">
        <v>2.274279329604457</v>
      </c>
      <c r="N559" s="32">
        <v>-1.6484525174369384</v>
      </c>
      <c r="O559" s="34" t="s">
        <v>69</v>
      </c>
      <c r="P559" s="34" t="s">
        <v>69</v>
      </c>
      <c r="Q559" s="34" t="s">
        <v>69</v>
      </c>
      <c r="R559" s="34" t="s">
        <v>69</v>
      </c>
    </row>
    <row r="560">
      <c r="A560" s="27" t="s">
        <v>600</v>
      </c>
      <c r="B560" s="35">
        <v>76.0</v>
      </c>
      <c r="C560" s="36">
        <v>31.0</v>
      </c>
      <c r="D560" s="36">
        <v>7.0</v>
      </c>
      <c r="E560" s="37">
        <v>-1.5201554690202688</v>
      </c>
      <c r="F560" s="37">
        <v>-1.9649286228860134</v>
      </c>
      <c r="G560" s="37">
        <v>-2.249860446504287</v>
      </c>
      <c r="H560" s="37">
        <v>-0.18986539460187787</v>
      </c>
      <c r="I560" s="37">
        <v>-1.72461069241107</v>
      </c>
      <c r="J560" s="37">
        <v>-0.16952108464970286</v>
      </c>
      <c r="K560" s="37">
        <v>-1.977309216320545</v>
      </c>
      <c r="L560" s="37">
        <v>0.0</v>
      </c>
      <c r="M560" s="37">
        <v>1.1173736940235859</v>
      </c>
      <c r="N560" s="37">
        <v>-1.6889846840600962</v>
      </c>
      <c r="O560" s="34" t="s">
        <v>69</v>
      </c>
      <c r="P560" s="34" t="s">
        <v>69</v>
      </c>
      <c r="Q560" s="34" t="s">
        <v>69</v>
      </c>
      <c r="R560" s="34" t="s">
        <v>69</v>
      </c>
    </row>
    <row r="561">
      <c r="A561" s="27" t="s">
        <v>601</v>
      </c>
      <c r="B561" s="29">
        <v>78.58382352941176</v>
      </c>
      <c r="C561" s="31">
        <v>25.0</v>
      </c>
      <c r="D561" s="31">
        <v>6.0</v>
      </c>
      <c r="E561" s="32">
        <v>-0.36118961428803825</v>
      </c>
      <c r="F561" s="32">
        <v>-0.6381991124256309</v>
      </c>
      <c r="G561" s="32">
        <v>-2.9152726153566375</v>
      </c>
      <c r="H561" s="32">
        <v>-1.2176462599054534</v>
      </c>
      <c r="I561" s="32">
        <v>-0.057153164604958034</v>
      </c>
      <c r="J561" s="32">
        <v>-0.7871777123417198</v>
      </c>
      <c r="K561" s="32">
        <v>-1.042473913919586</v>
      </c>
      <c r="L561" s="32">
        <v>0.0</v>
      </c>
      <c r="M561" s="32">
        <v>-2.0248152792100402</v>
      </c>
      <c r="N561" s="32">
        <v>-1.3612831756717045</v>
      </c>
      <c r="O561" s="34" t="s">
        <v>69</v>
      </c>
      <c r="P561" s="34" t="s">
        <v>69</v>
      </c>
      <c r="Q561" s="34" t="s">
        <v>69</v>
      </c>
      <c r="R561" s="34" t="s">
        <v>69</v>
      </c>
    </row>
    <row r="562">
      <c r="A562" s="27" t="s">
        <v>602</v>
      </c>
      <c r="B562" s="35">
        <v>71.8</v>
      </c>
      <c r="C562" s="36">
        <v>27.0</v>
      </c>
      <c r="D562" s="36">
        <v>6.0</v>
      </c>
      <c r="E562" s="37">
        <v>-2.3853679897784565</v>
      </c>
      <c r="F562" s="37">
        <v>-2.033135373154239</v>
      </c>
      <c r="G562" s="37">
        <v>-3.1907011829932483</v>
      </c>
      <c r="H562" s="37">
        <v>-0.06552343689766801</v>
      </c>
      <c r="I562" s="37">
        <v>-1.72461069241107</v>
      </c>
      <c r="J562" s="37">
        <v>-0.16952108464970286</v>
      </c>
      <c r="K562" s="37">
        <v>-2.4281527548141124</v>
      </c>
      <c r="L562" s="37">
        <v>0.0</v>
      </c>
      <c r="M562" s="37">
        <v>1.7837653916036196</v>
      </c>
      <c r="N562" s="37">
        <v>-0.19613539100716368</v>
      </c>
      <c r="O562" s="34" t="s">
        <v>69</v>
      </c>
      <c r="P562" s="34" t="s">
        <v>69</v>
      </c>
      <c r="Q562" s="34" t="s">
        <v>69</v>
      </c>
      <c r="R562" s="34" t="s">
        <v>69</v>
      </c>
    </row>
    <row r="563">
      <c r="A563" s="27" t="s">
        <v>603</v>
      </c>
      <c r="B563" s="29">
        <v>79.84676470588235</v>
      </c>
      <c r="C563" s="31">
        <v>18.0</v>
      </c>
      <c r="D563" s="31">
        <v>6.0</v>
      </c>
      <c r="E563" s="32">
        <v>-0.32210353314186</v>
      </c>
      <c r="F563" s="32">
        <v>-1.2167944934671027</v>
      </c>
      <c r="G563" s="32">
        <v>-1.986581757510818</v>
      </c>
      <c r="H563" s="32">
        <v>-1.6252785205438567</v>
      </c>
      <c r="I563" s="32">
        <v>-0.7321620705035047</v>
      </c>
      <c r="J563" s="32">
        <v>-0.7819254730726583</v>
      </c>
      <c r="K563" s="32">
        <v>-0.7534957780125876</v>
      </c>
      <c r="L563" s="32">
        <v>0.0</v>
      </c>
      <c r="M563" s="32">
        <v>-1.2825055460426527</v>
      </c>
      <c r="N563" s="32">
        <v>-1.7210606802166892</v>
      </c>
      <c r="O563" s="34" t="s">
        <v>69</v>
      </c>
      <c r="P563" s="34" t="s">
        <v>69</v>
      </c>
      <c r="Q563" s="34" t="s">
        <v>69</v>
      </c>
      <c r="R563" s="34" t="s">
        <v>69</v>
      </c>
    </row>
    <row r="564">
      <c r="A564" s="27" t="s">
        <v>604</v>
      </c>
      <c r="B564" s="35">
        <v>74.85714285714286</v>
      </c>
      <c r="C564" s="36">
        <v>29.0</v>
      </c>
      <c r="D564" s="36">
        <v>6.0</v>
      </c>
      <c r="E564" s="37">
        <v>-1.4784757960933796</v>
      </c>
      <c r="F564" s="37">
        <v>-1.9361611499837683</v>
      </c>
      <c r="G564" s="37">
        <v>-1.1890267586837984</v>
      </c>
      <c r="H564" s="37">
        <v>-1.7441398659045013</v>
      </c>
      <c r="I564" s="37">
        <v>-1.6966072252770792</v>
      </c>
      <c r="J564" s="37">
        <v>-0.16952108464970286</v>
      </c>
      <c r="K564" s="37">
        <v>-1.8891121275948355</v>
      </c>
      <c r="L564" s="37">
        <v>0.4199975769806451</v>
      </c>
      <c r="M564" s="37">
        <v>-0.5658771674617402</v>
      </c>
      <c r="N564" s="37">
        <v>-0.2922496426620785</v>
      </c>
      <c r="O564" s="34" t="s">
        <v>69</v>
      </c>
      <c r="P564" s="34" t="s">
        <v>69</v>
      </c>
      <c r="Q564" s="34" t="s">
        <v>69</v>
      </c>
      <c r="R564" s="34" t="s">
        <v>69</v>
      </c>
    </row>
    <row r="565">
      <c r="A565" s="27" t="s">
        <v>605</v>
      </c>
      <c r="B565" s="29">
        <v>22.0</v>
      </c>
      <c r="C565" s="31">
        <v>25.0</v>
      </c>
      <c r="D565" s="31">
        <v>6.0</v>
      </c>
      <c r="E565" s="32" t="s">
        <v>69</v>
      </c>
      <c r="F565" s="32" t="s">
        <v>69</v>
      </c>
      <c r="G565" s="32" t="s">
        <v>69</v>
      </c>
      <c r="H565" s="32" t="s">
        <v>69</v>
      </c>
      <c r="I565" s="32" t="s">
        <v>69</v>
      </c>
      <c r="J565" s="32" t="s">
        <v>69</v>
      </c>
      <c r="K565" s="32" t="s">
        <v>69</v>
      </c>
      <c r="L565" s="32" t="s">
        <v>69</v>
      </c>
      <c r="M565" s="32" t="s">
        <v>69</v>
      </c>
      <c r="N565" s="32" t="s">
        <v>69</v>
      </c>
      <c r="O565" s="34">
        <v>-3.1414295025499754</v>
      </c>
      <c r="P565" s="34">
        <v>-4.253904550630223</v>
      </c>
      <c r="Q565" s="34">
        <v>-3.1674726643310365</v>
      </c>
      <c r="R565" s="34">
        <v>0.0</v>
      </c>
    </row>
    <row r="566">
      <c r="A566" s="27" t="s">
        <v>606</v>
      </c>
      <c r="B566" s="35">
        <v>75.5</v>
      </c>
      <c r="C566" s="36">
        <v>24.0</v>
      </c>
      <c r="D566" s="36">
        <v>7.0</v>
      </c>
      <c r="E566" s="37">
        <v>-1.6195039997468632</v>
      </c>
      <c r="F566" s="37">
        <v>-2.0428791946211287</v>
      </c>
      <c r="G566" s="37">
        <v>-0.8394537857131635</v>
      </c>
      <c r="H566" s="37">
        <v>-0.8426606725489797</v>
      </c>
      <c r="I566" s="37">
        <v>-1.6429339132702632</v>
      </c>
      <c r="J566" s="37" t="s">
        <v>69</v>
      </c>
      <c r="K566" s="37">
        <v>-1.7100234042136442</v>
      </c>
      <c r="L566" s="37">
        <v>0.2472412143918096</v>
      </c>
      <c r="M566" s="37">
        <v>-0.3744256781728006</v>
      </c>
      <c r="N566" s="37">
        <v>-1.7431558392410467</v>
      </c>
      <c r="O566" s="34" t="s">
        <v>69</v>
      </c>
      <c r="P566" s="34" t="s">
        <v>69</v>
      </c>
      <c r="Q566" s="34" t="s">
        <v>69</v>
      </c>
      <c r="R566" s="34" t="s">
        <v>69</v>
      </c>
    </row>
    <row r="567">
      <c r="A567" s="27" t="s">
        <v>607</v>
      </c>
      <c r="B567" s="29">
        <v>67.6</v>
      </c>
      <c r="C567" s="31">
        <v>23.0</v>
      </c>
      <c r="D567" s="31">
        <v>6.0</v>
      </c>
      <c r="E567" s="32">
        <v>-2.2797315773603057</v>
      </c>
      <c r="F567" s="32">
        <v>-1.7992836579488931</v>
      </c>
      <c r="G567" s="32">
        <v>-0.3641968728581451</v>
      </c>
      <c r="H567" s="32">
        <v>-0.264470569224404</v>
      </c>
      <c r="I567" s="32">
        <v>-1.72461069241107</v>
      </c>
      <c r="J567" s="32">
        <v>-0.7871777123417198</v>
      </c>
      <c r="K567" s="32">
        <v>-2.591008481984238</v>
      </c>
      <c r="L567" s="32">
        <v>0.0</v>
      </c>
      <c r="M567" s="32">
        <v>-0.8170474699233766</v>
      </c>
      <c r="N567" s="32">
        <v>1.976355050103308E-4</v>
      </c>
      <c r="O567" s="34" t="s">
        <v>69</v>
      </c>
      <c r="P567" s="34" t="s">
        <v>69</v>
      </c>
      <c r="Q567" s="34" t="s">
        <v>69</v>
      </c>
      <c r="R567" s="34" t="s">
        <v>69</v>
      </c>
    </row>
    <row r="568">
      <c r="A568" s="27" t="s">
        <v>608</v>
      </c>
      <c r="B568" s="35">
        <v>71.7</v>
      </c>
      <c r="C568" s="36">
        <v>29.0</v>
      </c>
      <c r="D568" s="36">
        <v>6.0</v>
      </c>
      <c r="E568" s="37">
        <v>-1.2531776622440816</v>
      </c>
      <c r="F568" s="37">
        <v>-0.9235947171763571</v>
      </c>
      <c r="G568" s="37">
        <v>-0.8046471171549027</v>
      </c>
      <c r="H568" s="37">
        <v>-1.3361204259146335</v>
      </c>
      <c r="I568" s="37">
        <v>-0.9075810620517126</v>
      </c>
      <c r="J568" s="37">
        <v>-0.7857521349870867</v>
      </c>
      <c r="K568" s="37">
        <v>-1.8817653283811642</v>
      </c>
      <c r="L568" s="37">
        <v>0.0</v>
      </c>
      <c r="M568" s="37">
        <v>-1.098596840966203</v>
      </c>
      <c r="N568" s="37">
        <v>-1.6503276932749158</v>
      </c>
      <c r="O568" s="34" t="s">
        <v>69</v>
      </c>
      <c r="P568" s="34" t="s">
        <v>69</v>
      </c>
      <c r="Q568" s="34" t="s">
        <v>69</v>
      </c>
      <c r="R568" s="34" t="s">
        <v>69</v>
      </c>
    </row>
    <row r="569">
      <c r="A569" s="27" t="s">
        <v>609</v>
      </c>
      <c r="B569" s="29">
        <v>82.71428571428571</v>
      </c>
      <c r="C569" s="31">
        <v>34.0</v>
      </c>
      <c r="D569" s="31">
        <v>7.0</v>
      </c>
      <c r="E569" s="32">
        <v>-2.164753169286128</v>
      </c>
      <c r="F569" s="32">
        <v>-1.5208887588949096</v>
      </c>
      <c r="G569" s="32">
        <v>-0.40409404289353784</v>
      </c>
      <c r="H569" s="32">
        <v>-0.9447987092345806</v>
      </c>
      <c r="I569" s="32">
        <v>-1.640600291009097</v>
      </c>
      <c r="J569" s="32">
        <v>-0.7871777123417198</v>
      </c>
      <c r="K569" s="32">
        <v>-1.5769391235358785</v>
      </c>
      <c r="L569" s="32">
        <v>0.0</v>
      </c>
      <c r="M569" s="32">
        <v>-2.078753767836725</v>
      </c>
      <c r="N569" s="32">
        <v>0.4696524767732311</v>
      </c>
      <c r="O569" s="34" t="s">
        <v>69</v>
      </c>
      <c r="P569" s="34" t="s">
        <v>69</v>
      </c>
      <c r="Q569" s="34" t="s">
        <v>69</v>
      </c>
      <c r="R569" s="34" t="s">
        <v>69</v>
      </c>
    </row>
    <row r="570">
      <c r="A570" s="27" t="s">
        <v>610</v>
      </c>
      <c r="B570" s="35">
        <v>78.98553571428572</v>
      </c>
      <c r="C570" s="36">
        <v>28.0</v>
      </c>
      <c r="D570" s="36">
        <v>7.0</v>
      </c>
      <c r="E570" s="37">
        <v>-0.45713709791362866</v>
      </c>
      <c r="F570" s="37">
        <v>-1.2662226312572948</v>
      </c>
      <c r="G570" s="37">
        <v>-1.6425841529540675</v>
      </c>
      <c r="H570" s="37">
        <v>-1.9690501606407103</v>
      </c>
      <c r="I570" s="37">
        <v>-1.1785248208124741</v>
      </c>
      <c r="J570" s="37">
        <v>-0.7671165201633983</v>
      </c>
      <c r="K570" s="37">
        <v>-0.7331897663072169</v>
      </c>
      <c r="L570" s="37">
        <v>0.0</v>
      </c>
      <c r="M570" s="37">
        <v>-1.0807842034603323</v>
      </c>
      <c r="N570" s="37">
        <v>-1.5550114795902668</v>
      </c>
      <c r="O570" s="34" t="s">
        <v>69</v>
      </c>
      <c r="P570" s="34" t="s">
        <v>69</v>
      </c>
      <c r="Q570" s="34" t="s">
        <v>69</v>
      </c>
      <c r="R570" s="34" t="s">
        <v>69</v>
      </c>
    </row>
    <row r="571">
      <c r="A571" s="27" t="s">
        <v>611</v>
      </c>
      <c r="B571" s="29">
        <v>74.0</v>
      </c>
      <c r="C571" s="31">
        <v>24.0</v>
      </c>
      <c r="D571" s="31">
        <v>7.0</v>
      </c>
      <c r="E571" s="32">
        <v>-1.776701042035778</v>
      </c>
      <c r="F571" s="32">
        <v>-2.18903651662447</v>
      </c>
      <c r="G571" s="32" t="s">
        <v>69</v>
      </c>
      <c r="H571" s="32">
        <v>-1.6819688870523963</v>
      </c>
      <c r="I571" s="32" t="s">
        <v>69</v>
      </c>
      <c r="J571" s="32" t="s">
        <v>69</v>
      </c>
      <c r="K571" s="32">
        <v>-2.416191599711222</v>
      </c>
      <c r="L571" s="32" t="s">
        <v>69</v>
      </c>
      <c r="M571" s="32">
        <v>-0.9195062180137877</v>
      </c>
      <c r="N571" s="32">
        <v>-1.6877875314594122</v>
      </c>
      <c r="O571" s="34" t="s">
        <v>69</v>
      </c>
      <c r="P571" s="34" t="s">
        <v>69</v>
      </c>
      <c r="Q571" s="34" t="s">
        <v>69</v>
      </c>
      <c r="R571" s="34" t="s">
        <v>69</v>
      </c>
    </row>
    <row r="572">
      <c r="A572" s="27" t="s">
        <v>612</v>
      </c>
      <c r="B572" s="35">
        <v>80.24025</v>
      </c>
      <c r="C572" s="36">
        <v>16.0</v>
      </c>
      <c r="D572" s="36">
        <v>6.0</v>
      </c>
      <c r="E572" s="37">
        <v>-0.6854111936699924</v>
      </c>
      <c r="F572" s="37">
        <v>-1.3882580069856223</v>
      </c>
      <c r="G572" s="37">
        <v>-0.6656105874315535</v>
      </c>
      <c r="H572" s="37">
        <v>-1.8850858388114227</v>
      </c>
      <c r="I572" s="37">
        <v>-1.721605521435678</v>
      </c>
      <c r="J572" s="37">
        <v>0.6191234797212515</v>
      </c>
      <c r="K572" s="37">
        <v>-1.0156991587161364</v>
      </c>
      <c r="L572" s="37">
        <v>0.0</v>
      </c>
      <c r="M572" s="37">
        <v>-1.9446353493670048</v>
      </c>
      <c r="N572" s="37">
        <v>-2.00180578515228</v>
      </c>
      <c r="O572" s="34" t="s">
        <v>69</v>
      </c>
      <c r="P572" s="34" t="s">
        <v>69</v>
      </c>
      <c r="Q572" s="34" t="s">
        <v>69</v>
      </c>
      <c r="R572" s="34" t="s">
        <v>69</v>
      </c>
    </row>
    <row r="573">
      <c r="A573" s="27" t="s">
        <v>613</v>
      </c>
      <c r="B573" s="29">
        <v>77.0</v>
      </c>
      <c r="C573" s="31">
        <v>23.0</v>
      </c>
      <c r="D573" s="31">
        <v>6.0</v>
      </c>
      <c r="E573" s="32">
        <v>-2.028216309698042</v>
      </c>
      <c r="F573" s="32">
        <v>-1.9454409799522345</v>
      </c>
      <c r="G573" s="32" t="s">
        <v>69</v>
      </c>
      <c r="H573" s="32">
        <v>-2.241507696721341</v>
      </c>
      <c r="I573" s="32" t="s">
        <v>69</v>
      </c>
      <c r="J573" s="32" t="s">
        <v>69</v>
      </c>
      <c r="K573" s="32">
        <v>-1.9561471726769692</v>
      </c>
      <c r="L573" s="32" t="s">
        <v>69</v>
      </c>
      <c r="M573" s="32">
        <v>-1.5957339554105012</v>
      </c>
      <c r="N573" s="32">
        <v>-0.9395671560319201</v>
      </c>
      <c r="O573" s="34" t="s">
        <v>69</v>
      </c>
      <c r="P573" s="34" t="s">
        <v>69</v>
      </c>
      <c r="Q573" s="34" t="s">
        <v>69</v>
      </c>
      <c r="R573" s="34" t="s">
        <v>69</v>
      </c>
    </row>
    <row r="574">
      <c r="A574" s="27" t="s">
        <v>614</v>
      </c>
      <c r="B574" s="35">
        <v>78.6</v>
      </c>
      <c r="C574" s="36">
        <v>24.0</v>
      </c>
      <c r="D574" s="36">
        <v>7.0</v>
      </c>
      <c r="E574" s="37">
        <v>-1.248518979945024</v>
      </c>
      <c r="F574" s="37">
        <v>-1.4420102041629477</v>
      </c>
      <c r="G574" s="37">
        <v>-2.2834432208150144</v>
      </c>
      <c r="H574" s="37">
        <v>-0.18986539460187787</v>
      </c>
      <c r="I574" s="37">
        <v>-0.5577995618281134</v>
      </c>
      <c r="J574" s="37">
        <v>-0.7871777123417198</v>
      </c>
      <c r="K574" s="37">
        <v>-1.4040938602358664</v>
      </c>
      <c r="L574" s="37">
        <v>0.0</v>
      </c>
      <c r="M574" s="37">
        <v>-0.9850798167916509</v>
      </c>
      <c r="N574" s="37">
        <v>-1.8254600805380707</v>
      </c>
      <c r="O574" s="34" t="s">
        <v>69</v>
      </c>
      <c r="P574" s="34" t="s">
        <v>69</v>
      </c>
      <c r="Q574" s="34" t="s">
        <v>69</v>
      </c>
      <c r="R574" s="34" t="s">
        <v>69</v>
      </c>
    </row>
    <row r="575">
      <c r="A575" s="27" t="s">
        <v>615</v>
      </c>
      <c r="B575" s="29">
        <v>78.51867647058825</v>
      </c>
      <c r="C575" s="31">
        <v>27.0</v>
      </c>
      <c r="D575" s="31">
        <v>6.0</v>
      </c>
      <c r="E575" s="32">
        <v>-0.6108033573512051</v>
      </c>
      <c r="F575" s="32">
        <v>-1.02775877805552</v>
      </c>
      <c r="G575" s="32">
        <v>-3.0810815390396886</v>
      </c>
      <c r="H575" s="32">
        <v>-0.8220626378643386</v>
      </c>
      <c r="I575" s="32">
        <v>-0.9771195963186718</v>
      </c>
      <c r="J575" s="32">
        <v>-0.7792595594498555</v>
      </c>
      <c r="K575" s="32">
        <v>-0.8503010101190925</v>
      </c>
      <c r="L575" s="32">
        <v>0.0</v>
      </c>
      <c r="M575" s="32">
        <v>-0.7510338001648209</v>
      </c>
      <c r="N575" s="32">
        <v>-1.8637415240059658</v>
      </c>
      <c r="O575" s="34" t="s">
        <v>69</v>
      </c>
      <c r="P575" s="34" t="s">
        <v>69</v>
      </c>
      <c r="Q575" s="34" t="s">
        <v>69</v>
      </c>
      <c r="R575" s="34" t="s">
        <v>69</v>
      </c>
    </row>
    <row r="576">
      <c r="A576" s="27" t="s">
        <v>616</v>
      </c>
      <c r="B576" s="35">
        <v>74.08333333333333</v>
      </c>
      <c r="C576" s="36">
        <v>29.0</v>
      </c>
      <c r="D576" s="36">
        <v>6.0</v>
      </c>
      <c r="E576" s="37">
        <v>-0.46908321039011097</v>
      </c>
      <c r="F576" s="37">
        <v>-1.2216859538493472</v>
      </c>
      <c r="G576" s="37">
        <v>-0.9986089674075865</v>
      </c>
      <c r="H576" s="37">
        <v>-1.8428354986726665</v>
      </c>
      <c r="I576" s="37">
        <v>-1.28954311465762</v>
      </c>
      <c r="J576" s="37">
        <v>-0.7799878387325613</v>
      </c>
      <c r="K576" s="37">
        <v>-1.223203755337575</v>
      </c>
      <c r="L576" s="37">
        <v>0.0</v>
      </c>
      <c r="M576" s="37">
        <v>-1.2287637884473617</v>
      </c>
      <c r="N576" s="37">
        <v>-1.7122344452929286</v>
      </c>
      <c r="O576" s="34" t="s">
        <v>69</v>
      </c>
      <c r="P576" s="34" t="s">
        <v>69</v>
      </c>
      <c r="Q576" s="34" t="s">
        <v>69</v>
      </c>
      <c r="R576" s="34" t="s">
        <v>69</v>
      </c>
    </row>
    <row r="577">
      <c r="A577" s="27" t="s">
        <v>617</v>
      </c>
      <c r="B577" s="29">
        <v>77.71428571428571</v>
      </c>
      <c r="C577" s="31">
        <v>25.0</v>
      </c>
      <c r="D577" s="31">
        <v>7.0</v>
      </c>
      <c r="E577" s="32">
        <v>-1.5862680536629212</v>
      </c>
      <c r="F577" s="32">
        <v>-1.9268813200153023</v>
      </c>
      <c r="G577" s="32">
        <v>-1.4588020363800636</v>
      </c>
      <c r="H577" s="32">
        <v>-1.1135485089760084</v>
      </c>
      <c r="I577" s="32">
        <v>-1.533253666995465</v>
      </c>
      <c r="J577" s="32">
        <v>-0.16952108464970286</v>
      </c>
      <c r="K577" s="32">
        <v>-2.004780440677733</v>
      </c>
      <c r="L577" s="32">
        <v>0.7421125463290742</v>
      </c>
      <c r="M577" s="32">
        <v>-0.6367200732842531</v>
      </c>
      <c r="N577" s="32">
        <v>-1.080660141112533</v>
      </c>
      <c r="O577" s="34" t="s">
        <v>69</v>
      </c>
      <c r="P577" s="34" t="s">
        <v>69</v>
      </c>
      <c r="Q577" s="34" t="s">
        <v>69</v>
      </c>
      <c r="R577" s="34" t="s">
        <v>69</v>
      </c>
    </row>
    <row r="578">
      <c r="A578" s="27" t="s">
        <v>618</v>
      </c>
      <c r="B578" s="35">
        <v>79.57142857142857</v>
      </c>
      <c r="C578" s="36">
        <v>23.0</v>
      </c>
      <c r="D578" s="36">
        <v>6.0</v>
      </c>
      <c r="E578" s="37">
        <v>-1.6940603112324626</v>
      </c>
      <c r="F578" s="37">
        <v>-1.685605740835183</v>
      </c>
      <c r="G578" s="37">
        <v>-1.6101607746329811</v>
      </c>
      <c r="H578" s="37">
        <v>-0.6605885201963866</v>
      </c>
      <c r="I578" s="37">
        <v>-1.72461069241107</v>
      </c>
      <c r="J578" s="37">
        <v>-0.16952108464970286</v>
      </c>
      <c r="K578" s="37">
        <v>-1.7307254034301855</v>
      </c>
      <c r="L578" s="37">
        <v>0.3893869791288554</v>
      </c>
      <c r="M578" s="37">
        <v>-0.5125986184547262</v>
      </c>
      <c r="N578" s="37">
        <v>-1.3867891632874383</v>
      </c>
      <c r="O578" s="34" t="s">
        <v>69</v>
      </c>
      <c r="P578" s="34" t="s">
        <v>69</v>
      </c>
      <c r="Q578" s="34" t="s">
        <v>69</v>
      </c>
      <c r="R578" s="34" t="s">
        <v>69</v>
      </c>
    </row>
    <row r="579">
      <c r="A579" s="27" t="s">
        <v>619</v>
      </c>
      <c r="B579" s="29">
        <v>76.42857142857143</v>
      </c>
      <c r="C579" s="31">
        <v>26.0</v>
      </c>
      <c r="D579" s="31">
        <v>6.0</v>
      </c>
      <c r="E579" s="32">
        <v>-2.312069254631168</v>
      </c>
      <c r="F579" s="32">
        <v>-1.7180851457248147</v>
      </c>
      <c r="G579" s="32">
        <v>-1.7908358390573003</v>
      </c>
      <c r="H579" s="32">
        <v>0.01441067876932399</v>
      </c>
      <c r="I579" s="32">
        <v>-1.72461069241107</v>
      </c>
      <c r="J579" s="32">
        <v>-0.16952108464970286</v>
      </c>
      <c r="K579" s="32">
        <v>-2.4924275333340407</v>
      </c>
      <c r="L579" s="32">
        <v>0.0</v>
      </c>
      <c r="M579" s="32">
        <v>-1.3035801537127005</v>
      </c>
      <c r="N579" s="32">
        <v>0.6971114709031886</v>
      </c>
      <c r="O579" s="34" t="s">
        <v>69</v>
      </c>
      <c r="P579" s="34" t="s">
        <v>69</v>
      </c>
      <c r="Q579" s="34" t="s">
        <v>69</v>
      </c>
      <c r="R579" s="34" t="s">
        <v>69</v>
      </c>
    </row>
    <row r="580">
      <c r="A580" s="27" t="s">
        <v>620</v>
      </c>
      <c r="B580" s="35">
        <v>76.41175000000001</v>
      </c>
      <c r="C580" s="36">
        <v>18.0</v>
      </c>
      <c r="D580" s="36">
        <v>6.0</v>
      </c>
      <c r="E580" s="37">
        <v>-1.3054873413313413</v>
      </c>
      <c r="F580" s="37">
        <v>-1.419555219637644</v>
      </c>
      <c r="G580" s="37">
        <v>-1.4909408742219916</v>
      </c>
      <c r="H580" s="37">
        <v>-1.348831357594703</v>
      </c>
      <c r="I580" s="37">
        <v>-1.4888838222792062</v>
      </c>
      <c r="J580" s="37">
        <v>0.33613476631441863</v>
      </c>
      <c r="K580" s="37">
        <v>-2.037348432523853</v>
      </c>
      <c r="L580" s="37">
        <v>0.18181306237068362</v>
      </c>
      <c r="M580" s="37">
        <v>-1.3293062894632026</v>
      </c>
      <c r="N580" s="37">
        <v>-0.9244989194411481</v>
      </c>
      <c r="O580" s="34" t="s">
        <v>69</v>
      </c>
      <c r="P580" s="34" t="s">
        <v>69</v>
      </c>
      <c r="Q580" s="34" t="s">
        <v>69</v>
      </c>
      <c r="R580" s="34" t="s">
        <v>69</v>
      </c>
    </row>
    <row r="581">
      <c r="A581" s="27" t="s">
        <v>621</v>
      </c>
      <c r="B581" s="29">
        <v>78.0</v>
      </c>
      <c r="C581" s="31">
        <v>25.0</v>
      </c>
      <c r="D581" s="31">
        <v>6.0</v>
      </c>
      <c r="E581" s="32">
        <v>-1.5251857743735142</v>
      </c>
      <c r="F581" s="32">
        <v>-2.2702350288485484</v>
      </c>
      <c r="G581" s="32" t="s">
        <v>69</v>
      </c>
      <c r="H581" s="32">
        <v>-1.7441398659045013</v>
      </c>
      <c r="I581" s="32" t="s">
        <v>69</v>
      </c>
      <c r="J581" s="32" t="s">
        <v>69</v>
      </c>
      <c r="K581" s="32">
        <v>-1.4270960815875788</v>
      </c>
      <c r="L581" s="32" t="s">
        <v>69</v>
      </c>
      <c r="M581" s="32">
        <v>-1.6981927035009123</v>
      </c>
      <c r="N581" s="32">
        <v>-2.166648571733007</v>
      </c>
      <c r="O581" s="34" t="s">
        <v>69</v>
      </c>
      <c r="P581" s="34" t="s">
        <v>69</v>
      </c>
      <c r="Q581" s="34" t="s">
        <v>69</v>
      </c>
      <c r="R581" s="34" t="s">
        <v>69</v>
      </c>
    </row>
    <row r="582">
      <c r="A582" s="27" t="s">
        <v>622</v>
      </c>
      <c r="B582" s="35">
        <v>73.4</v>
      </c>
      <c r="C582" s="36">
        <v>23.0</v>
      </c>
      <c r="D582" s="36">
        <v>6.0</v>
      </c>
      <c r="E582" s="37">
        <v>-1.5000342476072879</v>
      </c>
      <c r="F582" s="37">
        <v>-1.7830439555040773</v>
      </c>
      <c r="G582" s="37">
        <v>-2.0320272601310596</v>
      </c>
      <c r="H582" s="37">
        <v>0.44427858968959266</v>
      </c>
      <c r="I582" s="37">
        <v>-1.72461069241107</v>
      </c>
      <c r="J582" s="37">
        <v>-0.16952108464970286</v>
      </c>
      <c r="K582" s="37">
        <v>-1.5283058555351146</v>
      </c>
      <c r="L582" s="37">
        <v>0.0</v>
      </c>
      <c r="M582" s="37">
        <v>-0.9072111682429385</v>
      </c>
      <c r="N582" s="37">
        <v>-1.6399014274320527</v>
      </c>
      <c r="O582" s="34" t="s">
        <v>69</v>
      </c>
      <c r="P582" s="34" t="s">
        <v>69</v>
      </c>
      <c r="Q582" s="34" t="s">
        <v>69</v>
      </c>
      <c r="R582" s="34" t="s">
        <v>69</v>
      </c>
    </row>
    <row r="583">
      <c r="A583" s="27" t="s">
        <v>623</v>
      </c>
      <c r="B583" s="29">
        <v>83.6015</v>
      </c>
      <c r="C583" s="31">
        <v>27.0</v>
      </c>
      <c r="D583" s="31">
        <v>6.0</v>
      </c>
      <c r="E583" s="32">
        <v>-0.7412877206011697</v>
      </c>
      <c r="F583" s="32">
        <v>-1.4757747324873791</v>
      </c>
      <c r="G583" s="32">
        <v>-3.8937686954048676</v>
      </c>
      <c r="H583" s="32">
        <v>-0.7426524864559266</v>
      </c>
      <c r="I583" s="32">
        <v>-1.5685057367579769</v>
      </c>
      <c r="J583" s="32">
        <v>0.881201547990563</v>
      </c>
      <c r="K583" s="32">
        <v>-0.7727014259644273</v>
      </c>
      <c r="L583" s="32">
        <v>0.0</v>
      </c>
      <c r="M583" s="32">
        <v>-1.097716938190957</v>
      </c>
      <c r="N583" s="32">
        <v>-1.4407965457133483</v>
      </c>
      <c r="O583" s="34" t="s">
        <v>69</v>
      </c>
      <c r="P583" s="34" t="s">
        <v>69</v>
      </c>
      <c r="Q583" s="34" t="s">
        <v>69</v>
      </c>
      <c r="R583" s="34" t="s">
        <v>69</v>
      </c>
    </row>
    <row r="584">
      <c r="A584" s="27" t="s">
        <v>624</v>
      </c>
      <c r="B584" s="35">
        <v>75.0</v>
      </c>
      <c r="C584" s="36">
        <v>33.0</v>
      </c>
      <c r="D584" s="36">
        <v>8.0</v>
      </c>
      <c r="E584" s="37">
        <v>-0.9467006587503075</v>
      </c>
      <c r="F584" s="37">
        <v>-1.6531263359455517</v>
      </c>
      <c r="G584" s="37">
        <v>-0.517866210512579</v>
      </c>
      <c r="H584" s="37">
        <v>-1.7814424532157644</v>
      </c>
      <c r="I584" s="37">
        <v>-0.9078429010030005</v>
      </c>
      <c r="J584" s="37">
        <v>-0.7871777123417198</v>
      </c>
      <c r="K584" s="37">
        <v>-1.62951562948265</v>
      </c>
      <c r="L584" s="37">
        <v>0.0</v>
      </c>
      <c r="M584" s="37">
        <v>-1.5096686070145557</v>
      </c>
      <c r="N584" s="37">
        <v>-1.1191400461345182</v>
      </c>
      <c r="O584" s="34" t="s">
        <v>69</v>
      </c>
      <c r="P584" s="34" t="s">
        <v>69</v>
      </c>
      <c r="Q584" s="34" t="s">
        <v>69</v>
      </c>
      <c r="R584" s="34" t="s">
        <v>69</v>
      </c>
    </row>
    <row r="585">
      <c r="A585" s="27" t="s">
        <v>625</v>
      </c>
      <c r="B585" s="29">
        <v>77.97058823529412</v>
      </c>
      <c r="C585" s="31">
        <v>26.0</v>
      </c>
      <c r="D585" s="31">
        <v>6.0</v>
      </c>
      <c r="E585" s="32">
        <v>-0.7411406057304953</v>
      </c>
      <c r="F585" s="32">
        <v>-0.3869116114740412</v>
      </c>
      <c r="G585" s="32">
        <v>-1.4958815872705429</v>
      </c>
      <c r="H585" s="32">
        <v>-1.371493417262086</v>
      </c>
      <c r="I585" s="32">
        <v>-0.7694668619572808</v>
      </c>
      <c r="J585" s="32">
        <v>-0.7849107779063634</v>
      </c>
      <c r="K585" s="32">
        <v>-1.4191662073543152</v>
      </c>
      <c r="L585" s="32">
        <v>0.0</v>
      </c>
      <c r="M585" s="32">
        <v>-1.784384051032855</v>
      </c>
      <c r="N585" s="32">
        <v>-2.10306202126187</v>
      </c>
      <c r="O585" s="34" t="s">
        <v>69</v>
      </c>
      <c r="P585" s="34" t="s">
        <v>69</v>
      </c>
      <c r="Q585" s="34" t="s">
        <v>69</v>
      </c>
      <c r="R585" s="34" t="s">
        <v>69</v>
      </c>
    </row>
    <row r="586">
      <c r="A586" s="27" t="s">
        <v>626</v>
      </c>
      <c r="B586" s="35">
        <v>77.69285714285715</v>
      </c>
      <c r="C586" s="36">
        <v>25.0</v>
      </c>
      <c r="D586" s="36">
        <v>6.0</v>
      </c>
      <c r="E586" s="37">
        <v>-0.8769867383222428</v>
      </c>
      <c r="F586" s="37">
        <v>-0.8734804934040757</v>
      </c>
      <c r="G586" s="37">
        <v>-0.660983379211513</v>
      </c>
      <c r="H586" s="37">
        <v>-1.5204839809099102</v>
      </c>
      <c r="I586" s="37">
        <v>-0.9189748732866652</v>
      </c>
      <c r="J586" s="37">
        <v>-0.45086571135992104</v>
      </c>
      <c r="K586" s="37">
        <v>-1.7420962945497505</v>
      </c>
      <c r="L586" s="37">
        <v>0.0</v>
      </c>
      <c r="M586" s="37">
        <v>-2.347201259757385</v>
      </c>
      <c r="N586" s="37">
        <v>-1.4740745996317595</v>
      </c>
      <c r="O586" s="34" t="s">
        <v>69</v>
      </c>
      <c r="P586" s="34" t="s">
        <v>69</v>
      </c>
      <c r="Q586" s="34" t="s">
        <v>69</v>
      </c>
      <c r="R586" s="34" t="s">
        <v>69</v>
      </c>
    </row>
    <row r="587">
      <c r="A587" s="27" t="s">
        <v>627</v>
      </c>
      <c r="B587" s="29">
        <v>76.0</v>
      </c>
      <c r="C587" s="31">
        <v>31.0</v>
      </c>
      <c r="D587" s="31">
        <v>7.0</v>
      </c>
      <c r="E587" s="32">
        <v>-1.8018525688020044</v>
      </c>
      <c r="F587" s="32">
        <v>-1.73432484816963</v>
      </c>
      <c r="G587" s="32">
        <v>-2.7771480366028376</v>
      </c>
      <c r="H587" s="32">
        <v>0.5810547431642232</v>
      </c>
      <c r="I587" s="32">
        <v>-1.6079295793527744</v>
      </c>
      <c r="J587" s="32">
        <v>-0.16952108464970286</v>
      </c>
      <c r="K587" s="32">
        <v>-2.1355644992203278</v>
      </c>
      <c r="L587" s="32">
        <v>0.0</v>
      </c>
      <c r="M587" s="32">
        <v>-0.09163953344326559</v>
      </c>
      <c r="N587" s="32">
        <v>-1.155054624155038</v>
      </c>
      <c r="O587" s="34" t="s">
        <v>69</v>
      </c>
      <c r="P587" s="34" t="s">
        <v>69</v>
      </c>
      <c r="Q587" s="34" t="s">
        <v>69</v>
      </c>
      <c r="R587" s="34" t="s">
        <v>69</v>
      </c>
    </row>
    <row r="588">
      <c r="A588" s="27" t="s">
        <v>628</v>
      </c>
      <c r="B588" s="35">
        <v>68.0</v>
      </c>
      <c r="C588" s="36">
        <v>30.0</v>
      </c>
      <c r="D588" s="36">
        <v>5.0</v>
      </c>
      <c r="E588" s="37">
        <v>-1.0221552390489865</v>
      </c>
      <c r="F588" s="37">
        <v>-1.295852882159606</v>
      </c>
      <c r="G588" s="37">
        <v>-0.8180770923122893</v>
      </c>
      <c r="H588" s="37">
        <v>-1.930652802460816</v>
      </c>
      <c r="I588" s="37">
        <v>-0.6744806748864091</v>
      </c>
      <c r="J588" s="37">
        <v>-0.7871777123417198</v>
      </c>
      <c r="K588" s="37">
        <v>-1.3580894175324412</v>
      </c>
      <c r="L588" s="37">
        <v>0.0</v>
      </c>
      <c r="M588" s="37">
        <v>-1.8621267004455702</v>
      </c>
      <c r="N588" s="37">
        <v>-1.1789976761687175</v>
      </c>
      <c r="O588" s="34" t="s">
        <v>69</v>
      </c>
      <c r="P588" s="34" t="s">
        <v>69</v>
      </c>
      <c r="Q588" s="34" t="s">
        <v>69</v>
      </c>
      <c r="R588" s="34" t="s">
        <v>69</v>
      </c>
    </row>
    <row r="589">
      <c r="A589" s="27" t="s">
        <v>629</v>
      </c>
      <c r="B589" s="29">
        <v>71.535</v>
      </c>
      <c r="C589" s="31">
        <v>27.0</v>
      </c>
      <c r="D589" s="31">
        <v>6.0</v>
      </c>
      <c r="E589" s="32">
        <v>-0.2649362957030521</v>
      </c>
      <c r="F589" s="32">
        <v>-1.294060212899073</v>
      </c>
      <c r="G589" s="32">
        <v>-2.799469067105369</v>
      </c>
      <c r="H589" s="32">
        <v>-1.2230814820473743</v>
      </c>
      <c r="I589" s="32">
        <v>-1.0342614005240065</v>
      </c>
      <c r="J589" s="32">
        <v>-0.7198463486009573</v>
      </c>
      <c r="K589" s="32">
        <v>-0.13961970387098763</v>
      </c>
      <c r="L589" s="32">
        <v>0.4934310259402234</v>
      </c>
      <c r="M589" s="32">
        <v>-2.0147728875880446</v>
      </c>
      <c r="N589" s="32">
        <v>-1.9389552514627448</v>
      </c>
      <c r="O589" s="34" t="s">
        <v>69</v>
      </c>
      <c r="P589" s="34" t="s">
        <v>69</v>
      </c>
      <c r="Q589" s="34" t="s">
        <v>69</v>
      </c>
      <c r="R589" s="34" t="s">
        <v>69</v>
      </c>
    </row>
    <row r="590">
      <c r="A590" s="27" t="s">
        <v>630</v>
      </c>
      <c r="B590" s="35">
        <v>61.75</v>
      </c>
      <c r="C590" s="36">
        <v>25.0</v>
      </c>
      <c r="D590" s="36">
        <v>6.0</v>
      </c>
      <c r="E590" s="37">
        <v>-1.4136395589184096</v>
      </c>
      <c r="F590" s="37">
        <v>-1.8894702365725922</v>
      </c>
      <c r="G590" s="37">
        <v>-0.6427790600080937</v>
      </c>
      <c r="H590" s="37">
        <v>-2.118103077893504</v>
      </c>
      <c r="I590" s="37">
        <v>-1.7192002479584871</v>
      </c>
      <c r="J590" s="37">
        <v>0.3955314727296667</v>
      </c>
      <c r="K590" s="37">
        <v>-1.8133038523174414</v>
      </c>
      <c r="L590" s="37">
        <v>0.7623139591751688</v>
      </c>
      <c r="M590" s="37">
        <v>-0.6778447804480388</v>
      </c>
      <c r="N590" s="37">
        <v>-1.8506980071339787</v>
      </c>
      <c r="O590" s="34" t="s">
        <v>69</v>
      </c>
      <c r="P590" s="34" t="s">
        <v>69</v>
      </c>
      <c r="Q590" s="34" t="s">
        <v>69</v>
      </c>
      <c r="R590" s="34" t="s">
        <v>69</v>
      </c>
    </row>
    <row r="591">
      <c r="A591" s="27" t="s">
        <v>631</v>
      </c>
      <c r="B591" s="29">
        <v>73.0</v>
      </c>
      <c r="C591" s="31">
        <v>34.0</v>
      </c>
      <c r="D591" s="31">
        <v>7.0</v>
      </c>
      <c r="E591" s="32">
        <v>-2.2797315773603057</v>
      </c>
      <c r="F591" s="32">
        <v>-2.0672387482883523</v>
      </c>
      <c r="G591" s="32">
        <v>-0.5255041801807165</v>
      </c>
      <c r="H591" s="32">
        <v>-2.0860802495910784</v>
      </c>
      <c r="I591" s="32">
        <v>-1.72461069241107</v>
      </c>
      <c r="J591" s="32" t="s">
        <v>69</v>
      </c>
      <c r="K591" s="32">
        <v>-2.1056616114631015</v>
      </c>
      <c r="L591" s="32">
        <v>0.0</v>
      </c>
      <c r="M591" s="32">
        <v>-0.9912273416770755</v>
      </c>
      <c r="N591" s="32">
        <v>0.8112685224684117</v>
      </c>
      <c r="O591" s="34" t="s">
        <v>69</v>
      </c>
      <c r="P591" s="34" t="s">
        <v>69</v>
      </c>
      <c r="Q591" s="34" t="s">
        <v>69</v>
      </c>
      <c r="R591" s="34" t="s">
        <v>69</v>
      </c>
    </row>
    <row r="592">
      <c r="A592" s="27" t="s">
        <v>632</v>
      </c>
      <c r="B592" s="35">
        <v>73.57142857142857</v>
      </c>
      <c r="C592" s="36">
        <v>25.0</v>
      </c>
      <c r="D592" s="36">
        <v>6.0</v>
      </c>
      <c r="E592" s="37">
        <v>-2.4270476627053457</v>
      </c>
      <c r="F592" s="37">
        <v>-1.903681745094137</v>
      </c>
      <c r="G592" s="37">
        <v>-1.7754695925194934</v>
      </c>
      <c r="H592" s="37">
        <v>0.5117785095861634</v>
      </c>
      <c r="I592" s="37">
        <v>-1.72461069241107</v>
      </c>
      <c r="J592" s="37">
        <v>-0.16952108464970286</v>
      </c>
      <c r="K592" s="37">
        <v>-2.4543095665226313</v>
      </c>
      <c r="L592" s="37">
        <v>0.0</v>
      </c>
      <c r="M592" s="37">
        <v>-1.1507702494178587</v>
      </c>
      <c r="N592" s="37">
        <v>0.12333333157536332</v>
      </c>
      <c r="O592" s="34" t="s">
        <v>69</v>
      </c>
      <c r="P592" s="34" t="s">
        <v>69</v>
      </c>
      <c r="Q592" s="34" t="s">
        <v>69</v>
      </c>
      <c r="R592" s="34" t="s">
        <v>69</v>
      </c>
    </row>
    <row r="593">
      <c r="A593" s="27" t="s">
        <v>633</v>
      </c>
      <c r="B593" s="29">
        <v>72.6</v>
      </c>
      <c r="C593" s="31">
        <v>34.0</v>
      </c>
      <c r="D593" s="31">
        <v>7.0</v>
      </c>
      <c r="E593" s="32">
        <v>-0.6951853910880438</v>
      </c>
      <c r="F593" s="32">
        <v>-1.571927823721473</v>
      </c>
      <c r="G593" s="32">
        <v>-1.8534189242066725</v>
      </c>
      <c r="H593" s="32">
        <v>-2.465323220588919</v>
      </c>
      <c r="I593" s="32">
        <v>-0.9078429010030005</v>
      </c>
      <c r="J593" s="32">
        <v>-0.7871777123417198</v>
      </c>
      <c r="K593" s="32">
        <v>-1.6019129638605947</v>
      </c>
      <c r="L593" s="32">
        <v>0.0</v>
      </c>
      <c r="M593" s="32">
        <v>0.38786740761985866</v>
      </c>
      <c r="N593" s="32">
        <v>-1.4782858263397145</v>
      </c>
      <c r="O593" s="34" t="s">
        <v>69</v>
      </c>
      <c r="P593" s="34" t="s">
        <v>69</v>
      </c>
      <c r="Q593" s="34" t="s">
        <v>69</v>
      </c>
      <c r="R593" s="34" t="s">
        <v>69</v>
      </c>
    </row>
    <row r="594">
      <c r="A594" s="27" t="s">
        <v>634</v>
      </c>
      <c r="B594" s="35">
        <v>61.0</v>
      </c>
      <c r="C594" s="36">
        <v>30.0</v>
      </c>
      <c r="D594" s="36">
        <v>5.0</v>
      </c>
      <c r="E594" s="37">
        <v>-1.90245867586691</v>
      </c>
      <c r="F594" s="37">
        <v>-2.18903651662447</v>
      </c>
      <c r="G594" s="37">
        <v>-1.8157260551653716</v>
      </c>
      <c r="H594" s="37">
        <v>0.7426992881796962</v>
      </c>
      <c r="I594" s="37">
        <v>-1.72461069241107</v>
      </c>
      <c r="J594" s="37">
        <v>-0.7871777123417198</v>
      </c>
      <c r="K594" s="37">
        <v>-2.48519826376636</v>
      </c>
      <c r="L594" s="37">
        <v>0.0</v>
      </c>
      <c r="M594" s="37">
        <v>0.9657347468497772</v>
      </c>
      <c r="N594" s="37">
        <v>-1.7775739765107113</v>
      </c>
      <c r="O594" s="34" t="s">
        <v>69</v>
      </c>
      <c r="P594" s="34" t="s">
        <v>69</v>
      </c>
      <c r="Q594" s="34" t="s">
        <v>69</v>
      </c>
      <c r="R594" s="34" t="s">
        <v>69</v>
      </c>
    </row>
    <row r="595">
      <c r="A595" s="27" t="s">
        <v>635</v>
      </c>
      <c r="B595" s="29">
        <v>76.91666666666667</v>
      </c>
      <c r="C595" s="31">
        <v>28.0</v>
      </c>
      <c r="D595" s="31">
        <v>7.0</v>
      </c>
      <c r="E595" s="32">
        <v>-0.5212206642883112</v>
      </c>
      <c r="F595" s="32">
        <v>-0.9318128856883205</v>
      </c>
      <c r="G595" s="32">
        <v>-1.6414120359816142</v>
      </c>
      <c r="H595" s="32">
        <v>-1.7016563636888962</v>
      </c>
      <c r="I595" s="32">
        <v>-0.07940699828910124</v>
      </c>
      <c r="J595" s="32">
        <v>-0.7871777123417198</v>
      </c>
      <c r="K595" s="32">
        <v>-1.1687044617366737</v>
      </c>
      <c r="L595" s="32">
        <v>0.0</v>
      </c>
      <c r="M595" s="32">
        <v>-2.16608765311379</v>
      </c>
      <c r="N595" s="32">
        <v>-1.9920638174665926</v>
      </c>
      <c r="O595" s="34" t="s">
        <v>69</v>
      </c>
      <c r="P595" s="34" t="s">
        <v>69</v>
      </c>
      <c r="Q595" s="34" t="s">
        <v>69</v>
      </c>
      <c r="R595" s="34" t="s">
        <v>69</v>
      </c>
    </row>
    <row r="596">
      <c r="A596" s="27" t="s">
        <v>636</v>
      </c>
      <c r="B596" s="35">
        <v>79.54714285714286</v>
      </c>
      <c r="C596" s="36">
        <v>31.0</v>
      </c>
      <c r="D596" s="36">
        <v>7.0</v>
      </c>
      <c r="E596" s="37">
        <v>-2.0719618141306357</v>
      </c>
      <c r="F596" s="37">
        <v>-0.6832030802859274</v>
      </c>
      <c r="G596" s="37">
        <v>-5.065662268037584</v>
      </c>
      <c r="H596" s="37">
        <v>-0.07919464810121235</v>
      </c>
      <c r="I596" s="37">
        <v>-0.5608592506466794</v>
      </c>
      <c r="J596" s="37">
        <v>-0.7314233796861049</v>
      </c>
      <c r="K596" s="37">
        <v>-1.399747300735828</v>
      </c>
      <c r="L596" s="37">
        <v>0.0</v>
      </c>
      <c r="M596" s="37">
        <v>-0.5164351133978751</v>
      </c>
      <c r="N596" s="37">
        <v>0.07578405109306845</v>
      </c>
      <c r="O596" s="34" t="s">
        <v>69</v>
      </c>
      <c r="P596" s="34" t="s">
        <v>69</v>
      </c>
      <c r="Q596" s="34" t="s">
        <v>69</v>
      </c>
      <c r="R596" s="34" t="s">
        <v>69</v>
      </c>
    </row>
    <row r="597">
      <c r="A597" s="27" t="s">
        <v>637</v>
      </c>
      <c r="B597" s="29">
        <v>68.42857142857143</v>
      </c>
      <c r="C597" s="31">
        <v>23.0</v>
      </c>
      <c r="D597" s="31">
        <v>7.0</v>
      </c>
      <c r="E597" s="32">
        <v>-1.6868741607278266</v>
      </c>
      <c r="F597" s="32">
        <v>-1.9222414050310692</v>
      </c>
      <c r="G597" s="32">
        <v>0.03415739420536698</v>
      </c>
      <c r="H597" s="32">
        <v>-1.5576269293481866</v>
      </c>
      <c r="I597" s="32">
        <v>-1.72461069241107</v>
      </c>
      <c r="J597" s="32">
        <v>-0.7871777123417198</v>
      </c>
      <c r="K597" s="32">
        <v>-2.0054376470020676</v>
      </c>
      <c r="L597" s="32">
        <v>0.0</v>
      </c>
      <c r="M597" s="32">
        <v>0.66948259522836</v>
      </c>
      <c r="N597" s="32">
        <v>-2.053774183668517</v>
      </c>
      <c r="O597" s="34" t="s">
        <v>69</v>
      </c>
      <c r="P597" s="34" t="s">
        <v>69</v>
      </c>
      <c r="Q597" s="34" t="s">
        <v>69</v>
      </c>
      <c r="R597" s="34" t="s">
        <v>69</v>
      </c>
    </row>
    <row r="598">
      <c r="A598" s="27" t="s">
        <v>638</v>
      </c>
      <c r="B598" s="35">
        <v>61.59145833333333</v>
      </c>
      <c r="C598" s="36">
        <v>33.0</v>
      </c>
      <c r="D598" s="36">
        <v>8.0</v>
      </c>
      <c r="E598" s="37">
        <v>-2.2415654017922506</v>
      </c>
      <c r="F598" s="37">
        <v>-1.2840671100083534</v>
      </c>
      <c r="G598" s="37">
        <v>-0.09140578971163249</v>
      </c>
      <c r="H598" s="37">
        <v>-1.9285500492923442</v>
      </c>
      <c r="I598" s="37">
        <v>-1.4768502254432323</v>
      </c>
      <c r="J598" s="37">
        <v>-0.7549622479472149</v>
      </c>
      <c r="K598" s="37">
        <v>-2.2562523689223575</v>
      </c>
      <c r="L598" s="37">
        <v>0.0</v>
      </c>
      <c r="M598" s="37">
        <v>-1.1588084252033255</v>
      </c>
      <c r="N598" s="37">
        <v>0.1540204831698762</v>
      </c>
      <c r="O598" s="34" t="s">
        <v>69</v>
      </c>
      <c r="P598" s="34" t="s">
        <v>69</v>
      </c>
      <c r="Q598" s="34" t="s">
        <v>69</v>
      </c>
      <c r="R598" s="34" t="s">
        <v>69</v>
      </c>
    </row>
    <row r="599">
      <c r="A599" s="27" t="s">
        <v>639</v>
      </c>
      <c r="B599" s="29">
        <v>77.47764705882352</v>
      </c>
      <c r="C599" s="31">
        <v>23.0</v>
      </c>
      <c r="D599" s="31">
        <v>6.0</v>
      </c>
      <c r="E599" s="32">
        <v>-0.680345829396302</v>
      </c>
      <c r="F599" s="32">
        <v>-0.8171909271582386</v>
      </c>
      <c r="G599" s="32">
        <v>-1.3193214007995953</v>
      </c>
      <c r="H599" s="32">
        <v>-1.713773626237289</v>
      </c>
      <c r="I599" s="32">
        <v>-0.7780337538657335</v>
      </c>
      <c r="J599" s="32">
        <v>-0.7565595249151053</v>
      </c>
      <c r="K599" s="32">
        <v>-0.9902239013227996</v>
      </c>
      <c r="L599" s="32">
        <v>0.0</v>
      </c>
      <c r="M599" s="32">
        <v>-2.3158628616298595</v>
      </c>
      <c r="N599" s="32">
        <v>-1.6709049281010655</v>
      </c>
      <c r="O599" s="34" t="s">
        <v>69</v>
      </c>
      <c r="P599" s="34" t="s">
        <v>69</v>
      </c>
      <c r="Q599" s="34" t="s">
        <v>69</v>
      </c>
      <c r="R599" s="34" t="s">
        <v>69</v>
      </c>
    </row>
    <row r="600">
      <c r="A600" s="27" t="s">
        <v>640</v>
      </c>
      <c r="B600" s="35">
        <v>71.4</v>
      </c>
      <c r="C600" s="36">
        <v>25.0</v>
      </c>
      <c r="D600" s="36">
        <v>6.0</v>
      </c>
      <c r="E600" s="37">
        <v>-1.776701042035778</v>
      </c>
      <c r="F600" s="37">
        <v>-2.026639492176313</v>
      </c>
      <c r="G600" s="37">
        <v>-1.4475999702169735</v>
      </c>
      <c r="H600" s="37">
        <v>0.5561863516233814</v>
      </c>
      <c r="I600" s="37">
        <v>-1.72461069241107</v>
      </c>
      <c r="J600" s="37">
        <v>-0.16952108464970286</v>
      </c>
      <c r="K600" s="37">
        <v>-2.287379160141631</v>
      </c>
      <c r="L600" s="37">
        <v>0.12321551619921398</v>
      </c>
      <c r="M600" s="37">
        <v>-0.5670481245827733</v>
      </c>
      <c r="N600" s="37">
        <v>-1.7296878724833518</v>
      </c>
      <c r="O600" s="34" t="s">
        <v>69</v>
      </c>
      <c r="P600" s="34" t="s">
        <v>69</v>
      </c>
      <c r="Q600" s="34" t="s">
        <v>69</v>
      </c>
      <c r="R600" s="34" t="s">
        <v>69</v>
      </c>
    </row>
    <row r="601">
      <c r="A601" s="27" t="s">
        <v>641</v>
      </c>
      <c r="B601" s="29">
        <v>71.42857142857143</v>
      </c>
      <c r="C601" s="31">
        <v>16.0</v>
      </c>
      <c r="D601" s="31">
        <v>6.0</v>
      </c>
      <c r="E601" s="32">
        <v>-1.38505583953311</v>
      </c>
      <c r="F601" s="32">
        <v>-1.6577662509297846</v>
      </c>
      <c r="G601" s="32">
        <v>0.050690505356446335</v>
      </c>
      <c r="H601" s="32">
        <v>-1.122430077383452</v>
      </c>
      <c r="I601" s="32">
        <v>-1.561257134129456</v>
      </c>
      <c r="J601" s="32">
        <v>-0.7871777123417198</v>
      </c>
      <c r="K601" s="32">
        <v>-1.8759680011081425</v>
      </c>
      <c r="L601" s="32">
        <v>0.0</v>
      </c>
      <c r="M601" s="32">
        <v>-1.4013550733189786</v>
      </c>
      <c r="N601" s="32">
        <v>-1.3226559882507962</v>
      </c>
      <c r="O601" s="34" t="s">
        <v>69</v>
      </c>
      <c r="P601" s="34" t="s">
        <v>69</v>
      </c>
      <c r="Q601" s="34" t="s">
        <v>69</v>
      </c>
      <c r="R601" s="34" t="s">
        <v>69</v>
      </c>
    </row>
    <row r="602">
      <c r="A602" s="27" t="s">
        <v>642</v>
      </c>
      <c r="B602" s="35">
        <v>73.9225</v>
      </c>
      <c r="C602" s="36">
        <v>28.0</v>
      </c>
      <c r="D602" s="36">
        <v>7.0</v>
      </c>
      <c r="E602" s="37">
        <v>-1.3541635220891661</v>
      </c>
      <c r="F602" s="37">
        <v>-1.544481760439002</v>
      </c>
      <c r="G602" s="37">
        <v>-1.1799780082751308</v>
      </c>
      <c r="H602" s="37">
        <v>-1.0033888297204132</v>
      </c>
      <c r="I602" s="37">
        <v>-1.6666756328518182</v>
      </c>
      <c r="J602" s="37">
        <v>0.028608577793078765</v>
      </c>
      <c r="K602" s="37">
        <v>-2.1167214610823257</v>
      </c>
      <c r="L602" s="37">
        <v>0.2849306044284761</v>
      </c>
      <c r="M602" s="37">
        <v>-1.1436848749419608</v>
      </c>
      <c r="N602" s="37">
        <v>-1.3855680078015669</v>
      </c>
      <c r="O602" s="34" t="s">
        <v>69</v>
      </c>
      <c r="P602" s="34" t="s">
        <v>69</v>
      </c>
      <c r="Q602" s="34" t="s">
        <v>69</v>
      </c>
      <c r="R602" s="34" t="s">
        <v>69</v>
      </c>
    </row>
    <row r="603">
      <c r="A603" s="27" t="s">
        <v>643</v>
      </c>
      <c r="B603" s="29">
        <v>74.0</v>
      </c>
      <c r="C603" s="31">
        <v>26.0</v>
      </c>
      <c r="D603" s="31">
        <v>5.0</v>
      </c>
      <c r="E603" s="32">
        <v>-1.6509434082046461</v>
      </c>
      <c r="F603" s="32">
        <v>-2.18903651662447</v>
      </c>
      <c r="G603" s="32" t="s">
        <v>69</v>
      </c>
      <c r="H603" s="32">
        <v>-1.6819688870523963</v>
      </c>
      <c r="I603" s="32" t="s">
        <v>69</v>
      </c>
      <c r="J603" s="32" t="s">
        <v>69</v>
      </c>
      <c r="K603" s="32">
        <v>-1.680120516456418</v>
      </c>
      <c r="L603" s="32" t="s">
        <v>69</v>
      </c>
      <c r="M603" s="32">
        <v>-1.6777009538828302</v>
      </c>
      <c r="N603" s="32">
        <v>-2.2265062017672066</v>
      </c>
      <c r="O603" s="34" t="s">
        <v>69</v>
      </c>
      <c r="P603" s="34" t="s">
        <v>69</v>
      </c>
      <c r="Q603" s="34" t="s">
        <v>69</v>
      </c>
      <c r="R603" s="34" t="s">
        <v>69</v>
      </c>
    </row>
    <row r="604">
      <c r="A604" s="27" t="s">
        <v>644</v>
      </c>
      <c r="B604" s="35">
        <v>73.85714285714286</v>
      </c>
      <c r="C604" s="36">
        <v>26.0</v>
      </c>
      <c r="D604" s="36">
        <v>5.0</v>
      </c>
      <c r="E604" s="37">
        <v>-1.5467442258874227</v>
      </c>
      <c r="F604" s="37">
        <v>-1.9361611499837683</v>
      </c>
      <c r="G604" s="37">
        <v>-1.680920088266446</v>
      </c>
      <c r="H604" s="37">
        <v>-1.912889665645929</v>
      </c>
      <c r="I604" s="37">
        <v>-1.701274469799411</v>
      </c>
      <c r="J604" s="37">
        <v>0.44813554304231407</v>
      </c>
      <c r="K604" s="37">
        <v>-1.8838544770001584</v>
      </c>
      <c r="L604" s="37">
        <v>0.0</v>
      </c>
      <c r="M604" s="37">
        <v>1.0840014160741376</v>
      </c>
      <c r="N604" s="37">
        <v>-1.989641008631875</v>
      </c>
      <c r="O604" s="34" t="s">
        <v>69</v>
      </c>
      <c r="P604" s="34" t="s">
        <v>69</v>
      </c>
      <c r="Q604" s="34" t="s">
        <v>69</v>
      </c>
      <c r="R604" s="34" t="s">
        <v>69</v>
      </c>
    </row>
    <row r="605">
      <c r="A605" s="27" t="s">
        <v>645</v>
      </c>
      <c r="B605" s="29">
        <v>77.69735294117648</v>
      </c>
      <c r="C605" s="31">
        <v>25.0</v>
      </c>
      <c r="D605" s="31">
        <v>7.0</v>
      </c>
      <c r="E605" s="32">
        <v>-0.2588656915417551</v>
      </c>
      <c r="F605" s="32">
        <v>-1.0427010948621105</v>
      </c>
      <c r="G605" s="32">
        <v>-1.6067337892927074</v>
      </c>
      <c r="H605" s="32">
        <v>-1.9308539713577018</v>
      </c>
      <c r="I605" s="32">
        <v>-1.1594058927253406</v>
      </c>
      <c r="J605" s="32">
        <v>-0.786119342999152</v>
      </c>
      <c r="K605" s="32">
        <v>-0.5808838305852748</v>
      </c>
      <c r="L605" s="32">
        <v>0.0</v>
      </c>
      <c r="M605" s="32">
        <v>-1.906610154497109</v>
      </c>
      <c r="N605" s="32">
        <v>-1.8651294892367565</v>
      </c>
      <c r="O605" s="34" t="s">
        <v>69</v>
      </c>
      <c r="P605" s="34" t="s">
        <v>69</v>
      </c>
      <c r="Q605" s="34" t="s">
        <v>69</v>
      </c>
      <c r="R605" s="34" t="s">
        <v>69</v>
      </c>
    </row>
    <row r="606">
      <c r="A606" s="27" t="s">
        <v>646</v>
      </c>
      <c r="B606" s="35">
        <v>69.81818181818181</v>
      </c>
      <c r="C606" s="36">
        <v>29.0</v>
      </c>
      <c r="D606" s="36">
        <v>7.0</v>
      </c>
      <c r="E606" s="37">
        <v>-1.1296208534137717</v>
      </c>
      <c r="F606" s="37">
        <v>-1.3076635748467447</v>
      </c>
      <c r="G606" s="37">
        <v>-0.980818281865234</v>
      </c>
      <c r="H606" s="37">
        <v>-1.0444337584599022</v>
      </c>
      <c r="I606" s="37">
        <v>-1.340859476130453</v>
      </c>
      <c r="J606" s="37">
        <v>-0.7871777123417198</v>
      </c>
      <c r="K606" s="37">
        <v>-1.481046746212505</v>
      </c>
      <c r="L606" s="37">
        <v>0.0</v>
      </c>
      <c r="M606" s="37">
        <v>-1.1262866005235266</v>
      </c>
      <c r="N606" s="37">
        <v>-1.9680300720740729</v>
      </c>
      <c r="O606" s="34" t="s">
        <v>69</v>
      </c>
      <c r="P606" s="34" t="s">
        <v>69</v>
      </c>
      <c r="Q606" s="34" t="s">
        <v>69</v>
      </c>
      <c r="R606" s="34" t="s">
        <v>69</v>
      </c>
    </row>
    <row r="607">
      <c r="A607" s="27" t="s">
        <v>647</v>
      </c>
      <c r="B607" s="29">
        <v>77.57142857142857</v>
      </c>
      <c r="C607" s="31">
        <v>23.0</v>
      </c>
      <c r="D607" s="31">
        <v>6.0</v>
      </c>
      <c r="E607" s="32">
        <v>-1.9491686541470448</v>
      </c>
      <c r="F607" s="32">
        <v>-1.715765188232698</v>
      </c>
      <c r="G607" s="32">
        <v>-3.159741042547066</v>
      </c>
      <c r="H607" s="32">
        <v>-0.882627730382476</v>
      </c>
      <c r="I607" s="32">
        <v>-1.7199434478887383</v>
      </c>
      <c r="J607" s="32">
        <v>-0.7871777123417198</v>
      </c>
      <c r="K607" s="32">
        <v>-1.6209719472662998</v>
      </c>
      <c r="L607" s="32">
        <v>0.0</v>
      </c>
      <c r="M607" s="32">
        <v>-0.6642375656285345</v>
      </c>
      <c r="N607" s="32">
        <v>1.3281819132637478</v>
      </c>
      <c r="O607" s="34" t="s">
        <v>69</v>
      </c>
      <c r="P607" s="34" t="s">
        <v>69</v>
      </c>
      <c r="Q607" s="34" t="s">
        <v>69</v>
      </c>
      <c r="R607" s="34" t="s">
        <v>69</v>
      </c>
    </row>
    <row r="608">
      <c r="A608" s="27" t="s">
        <v>648</v>
      </c>
      <c r="B608" s="35">
        <v>66.0</v>
      </c>
      <c r="C608" s="36">
        <v>23.0</v>
      </c>
      <c r="D608" s="36">
        <v>6.0</v>
      </c>
      <c r="E608" s="37">
        <v>-2.028216309698042</v>
      </c>
      <c r="F608" s="37">
        <v>-2.5138305655207844</v>
      </c>
      <c r="G608" s="37" t="s">
        <v>69</v>
      </c>
      <c r="H608" s="37">
        <v>-0.8737461619750322</v>
      </c>
      <c r="I608" s="37" t="s">
        <v>69</v>
      </c>
      <c r="J608" s="37" t="s">
        <v>69</v>
      </c>
      <c r="K608" s="37">
        <v>-2.6002093705249227</v>
      </c>
      <c r="L608" s="37" t="s">
        <v>69</v>
      </c>
      <c r="M608" s="37">
        <v>-1.7801597019732414</v>
      </c>
      <c r="N608" s="37">
        <v>-1.3884993812884154</v>
      </c>
      <c r="O608" s="34" t="s">
        <v>69</v>
      </c>
      <c r="P608" s="34" t="s">
        <v>69</v>
      </c>
      <c r="Q608" s="34" t="s">
        <v>69</v>
      </c>
      <c r="R608" s="34" t="s">
        <v>69</v>
      </c>
    </row>
    <row r="609">
      <c r="A609" s="27" t="s">
        <v>649</v>
      </c>
      <c r="B609" s="29">
        <v>75.71428571428571</v>
      </c>
      <c r="C609" s="31">
        <v>23.0</v>
      </c>
      <c r="D609" s="31">
        <v>7.0</v>
      </c>
      <c r="E609" s="32">
        <v>-1.2880428077205226</v>
      </c>
      <c r="F609" s="32">
        <v>-1.803923572933126</v>
      </c>
      <c r="G609" s="32">
        <v>0.2630656646355087</v>
      </c>
      <c r="H609" s="32">
        <v>-2.0638763285724697</v>
      </c>
      <c r="I609" s="32">
        <v>-1.72461069241107</v>
      </c>
      <c r="J609" s="32">
        <v>-0.16952108464970286</v>
      </c>
      <c r="K609" s="32">
        <v>-1.7504415931602249</v>
      </c>
      <c r="L609" s="32">
        <v>0.0</v>
      </c>
      <c r="M609" s="32">
        <v>-0.5652916889012234</v>
      </c>
      <c r="N609" s="32">
        <v>-2.1076460506992962</v>
      </c>
      <c r="O609" s="34" t="s">
        <v>69</v>
      </c>
      <c r="P609" s="34" t="s">
        <v>69</v>
      </c>
      <c r="Q609" s="34" t="s">
        <v>69</v>
      </c>
      <c r="R609" s="34" t="s">
        <v>69</v>
      </c>
    </row>
    <row r="610">
      <c r="A610" s="27" t="s">
        <v>650</v>
      </c>
      <c r="B610" s="35">
        <v>77.08200000000001</v>
      </c>
      <c r="C610" s="36">
        <v>28.0</v>
      </c>
      <c r="D610" s="36">
        <v>6.0</v>
      </c>
      <c r="E610" s="37">
        <v>-0.9003253186456589</v>
      </c>
      <c r="F610" s="37">
        <v>-0.6930918774565806</v>
      </c>
      <c r="G610" s="37">
        <v>-1.2910036114876056</v>
      </c>
      <c r="H610" s="37">
        <v>-1.6941525294277073</v>
      </c>
      <c r="I610" s="37">
        <v>-1.1004210405700836</v>
      </c>
      <c r="J610" s="37">
        <v>-0.7849323247846122</v>
      </c>
      <c r="K610" s="37">
        <v>-1.2079793774745244</v>
      </c>
      <c r="L610" s="37">
        <v>0.0</v>
      </c>
      <c r="M610" s="37">
        <v>-1.9510655047604264</v>
      </c>
      <c r="N610" s="37">
        <v>-1.6244303533043316</v>
      </c>
      <c r="O610" s="34" t="s">
        <v>69</v>
      </c>
      <c r="P610" s="34" t="s">
        <v>69</v>
      </c>
      <c r="Q610" s="34" t="s">
        <v>69</v>
      </c>
      <c r="R610" s="34" t="s">
        <v>69</v>
      </c>
    </row>
    <row r="611">
      <c r="A611" s="27" t="s">
        <v>651</v>
      </c>
      <c r="B611" s="29">
        <v>79.8364705882353</v>
      </c>
      <c r="C611" s="31">
        <v>23.0</v>
      </c>
      <c r="D611" s="31">
        <v>6.0</v>
      </c>
      <c r="E611" s="32">
        <v>-0.6884692701368602</v>
      </c>
      <c r="F611" s="32">
        <v>-0.43270063383609964</v>
      </c>
      <c r="G611" s="32">
        <v>-1.2675116415340184</v>
      </c>
      <c r="H611" s="32">
        <v>-1.699789731370445</v>
      </c>
      <c r="I611" s="32">
        <v>-0.7519026184960231</v>
      </c>
      <c r="J611" s="32">
        <v>-0.7836692397917715</v>
      </c>
      <c r="K611" s="32">
        <v>-1.6459420347470088</v>
      </c>
      <c r="L611" s="32">
        <v>0.0</v>
      </c>
      <c r="M611" s="32">
        <v>-2.100187767441637</v>
      </c>
      <c r="N611" s="32">
        <v>-1.9237523839909485</v>
      </c>
      <c r="O611" s="34" t="s">
        <v>69</v>
      </c>
      <c r="P611" s="34" t="s">
        <v>69</v>
      </c>
      <c r="Q611" s="34" t="s">
        <v>69</v>
      </c>
      <c r="R611" s="34" t="s">
        <v>69</v>
      </c>
    </row>
    <row r="612">
      <c r="A612" s="27" t="s">
        <v>652</v>
      </c>
      <c r="B612" s="35">
        <v>81.00958333333334</v>
      </c>
      <c r="C612" s="36">
        <v>29.0</v>
      </c>
      <c r="D612" s="36">
        <v>7.0</v>
      </c>
      <c r="E612" s="37">
        <v>-1.2750019899524458</v>
      </c>
      <c r="F612" s="37">
        <v>-1.2592529540242545</v>
      </c>
      <c r="G612" s="37">
        <v>-1.9222948582842734</v>
      </c>
      <c r="H612" s="37">
        <v>-1.3415843870339417</v>
      </c>
      <c r="I612" s="37">
        <v>-1.336572880359028</v>
      </c>
      <c r="J612" s="37">
        <v>-0.32954569782303395</v>
      </c>
      <c r="K612" s="37">
        <v>-1.7389305253732577</v>
      </c>
      <c r="L612" s="37">
        <v>1.0061509678563685</v>
      </c>
      <c r="M612" s="37">
        <v>-2.0896768607487486</v>
      </c>
      <c r="N612" s="37">
        <v>-1.013955693814116</v>
      </c>
      <c r="O612" s="34" t="s">
        <v>69</v>
      </c>
      <c r="P612" s="34" t="s">
        <v>69</v>
      </c>
      <c r="Q612" s="34" t="s">
        <v>69</v>
      </c>
      <c r="R612" s="34" t="s">
        <v>69</v>
      </c>
    </row>
    <row r="613">
      <c r="A613" s="27" t="s">
        <v>653</v>
      </c>
      <c r="B613" s="29">
        <v>70.8</v>
      </c>
      <c r="C613" s="31">
        <v>30.0</v>
      </c>
      <c r="D613" s="31">
        <v>5.0</v>
      </c>
      <c r="E613" s="32">
        <v>-2.1539739435291736</v>
      </c>
      <c r="F613" s="32">
        <v>-1.7765480745261513</v>
      </c>
      <c r="G613" s="32">
        <v>-0.058349553772084436</v>
      </c>
      <c r="H613" s="32">
        <v>-0.9732197281384002</v>
      </c>
      <c r="I613" s="32">
        <v>-1.7199434478887383</v>
      </c>
      <c r="J613" s="32">
        <v>-0.7871777123417198</v>
      </c>
      <c r="K613" s="32">
        <v>-2.1171627221389575</v>
      </c>
      <c r="L613" s="32">
        <v>0.0</v>
      </c>
      <c r="M613" s="32">
        <v>-1.4449146782214162</v>
      </c>
      <c r="N613" s="32">
        <v>-0.33141363488445413</v>
      </c>
      <c r="O613" s="34" t="s">
        <v>69</v>
      </c>
      <c r="P613" s="34" t="s">
        <v>69</v>
      </c>
      <c r="Q613" s="34" t="s">
        <v>69</v>
      </c>
      <c r="R613" s="34" t="s">
        <v>69</v>
      </c>
    </row>
    <row r="614">
      <c r="A614" s="27" t="s">
        <v>654</v>
      </c>
      <c r="B614" s="35">
        <v>79.93458333333334</v>
      </c>
      <c r="C614" s="36">
        <v>23.0</v>
      </c>
      <c r="D614" s="36">
        <v>6.0</v>
      </c>
      <c r="E614" s="37">
        <v>-1.2724048122817606</v>
      </c>
      <c r="F614" s="37">
        <v>-0.9976980365585072</v>
      </c>
      <c r="G614" s="37">
        <v>-2.5901357117249857</v>
      </c>
      <c r="H614" s="37">
        <v>0.3133960960532154</v>
      </c>
      <c r="I614" s="37">
        <v>-1.2156284121798235</v>
      </c>
      <c r="J614" s="37">
        <v>-0.7716346797733514</v>
      </c>
      <c r="K614" s="37">
        <v>-1.4835324685150473</v>
      </c>
      <c r="L614" s="37">
        <v>0.3492951137522264</v>
      </c>
      <c r="M614" s="37">
        <v>-1.8131748674051276</v>
      </c>
      <c r="N614" s="37">
        <v>-1.8978812980950501</v>
      </c>
      <c r="O614" s="34" t="s">
        <v>69</v>
      </c>
      <c r="P614" s="34" t="s">
        <v>69</v>
      </c>
      <c r="Q614" s="34" t="s">
        <v>69</v>
      </c>
      <c r="R614" s="34" t="s">
        <v>69</v>
      </c>
    </row>
    <row r="615">
      <c r="A615" s="27" t="s">
        <v>655</v>
      </c>
      <c r="B615" s="29">
        <v>78.56678571428571</v>
      </c>
      <c r="C615" s="31">
        <v>23.0</v>
      </c>
      <c r="D615" s="31">
        <v>6.0</v>
      </c>
      <c r="E615" s="32">
        <v>-1.9041905188790549</v>
      </c>
      <c r="F615" s="32">
        <v>-1.0365690917467796</v>
      </c>
      <c r="G615" s="32">
        <v>-1.7788350599239733</v>
      </c>
      <c r="H615" s="32">
        <v>-1.3877867284729253</v>
      </c>
      <c r="I615" s="32">
        <v>-0.8186741677385693</v>
      </c>
      <c r="J615" s="32">
        <v>-0.7804401026118492</v>
      </c>
      <c r="K615" s="32">
        <v>-1.9272895770822809</v>
      </c>
      <c r="L615" s="32">
        <v>0.0</v>
      </c>
      <c r="M615" s="32">
        <v>-1.9603361084432545</v>
      </c>
      <c r="N615" s="32">
        <v>0.20760629067204187</v>
      </c>
      <c r="O615" s="34" t="s">
        <v>69</v>
      </c>
      <c r="P615" s="34" t="s">
        <v>69</v>
      </c>
      <c r="Q615" s="34" t="s">
        <v>69</v>
      </c>
      <c r="R615" s="34" t="s">
        <v>69</v>
      </c>
    </row>
    <row r="616">
      <c r="A616" s="27" t="s">
        <v>656</v>
      </c>
      <c r="B616" s="35">
        <v>83.0</v>
      </c>
      <c r="C616" s="36">
        <v>29.0</v>
      </c>
      <c r="D616" s="36">
        <v>7.0</v>
      </c>
      <c r="E616" s="37">
        <v>-2.028216309698042</v>
      </c>
      <c r="F616" s="37">
        <v>-1.133455857711449</v>
      </c>
      <c r="G616" s="37">
        <v>-2.6276862099030516</v>
      </c>
      <c r="H616" s="37">
        <v>-0.8737461619750322</v>
      </c>
      <c r="I616" s="37">
        <v>-0.7911617879447048</v>
      </c>
      <c r="J616" s="37">
        <v>-0.7871777123417198</v>
      </c>
      <c r="K616" s="37">
        <v>-1.7491271805115558</v>
      </c>
      <c r="L616" s="37">
        <v>0.0</v>
      </c>
      <c r="M616" s="37">
        <v>-0.6326217233606365</v>
      </c>
      <c r="N616" s="37">
        <v>-0.8198518959635213</v>
      </c>
      <c r="O616" s="34" t="s">
        <v>69</v>
      </c>
      <c r="P616" s="34" t="s">
        <v>69</v>
      </c>
      <c r="Q616" s="34" t="s">
        <v>69</v>
      </c>
      <c r="R616" s="34" t="s">
        <v>69</v>
      </c>
    </row>
    <row r="617">
      <c r="A617" s="27" t="s">
        <v>657</v>
      </c>
      <c r="B617" s="29">
        <v>77.0</v>
      </c>
      <c r="C617" s="31">
        <v>27.0</v>
      </c>
      <c r="D617" s="31">
        <v>6.0</v>
      </c>
      <c r="E617" s="32">
        <v>-1.2844497324682045</v>
      </c>
      <c r="F617" s="32">
        <v>-1.5696078662293564</v>
      </c>
      <c r="G617" s="32">
        <v>-2.2555731148713036</v>
      </c>
      <c r="H617" s="32">
        <v>-0.42966774160285387</v>
      </c>
      <c r="I617" s="32">
        <v>-1.1925448168652417</v>
      </c>
      <c r="J617" s="32">
        <v>-0.7871777123417198</v>
      </c>
      <c r="K617" s="32">
        <v>-1.1648707581780553</v>
      </c>
      <c r="L617" s="32">
        <v>0.0</v>
      </c>
      <c r="M617" s="32">
        <v>-0.93648509626877</v>
      </c>
      <c r="N617" s="32">
        <v>-1.846837805550285</v>
      </c>
      <c r="O617" s="34" t="s">
        <v>69</v>
      </c>
      <c r="P617" s="34" t="s">
        <v>69</v>
      </c>
      <c r="Q617" s="34" t="s">
        <v>69</v>
      </c>
      <c r="R617" s="34" t="s">
        <v>69</v>
      </c>
    </row>
    <row r="618">
      <c r="A618" s="27" t="s">
        <v>658</v>
      </c>
      <c r="B618" s="35">
        <v>72.28571428571429</v>
      </c>
      <c r="C618" s="36">
        <v>25.0</v>
      </c>
      <c r="D618" s="36">
        <v>6.0</v>
      </c>
      <c r="E618" s="37">
        <v>-1.9994717076794974</v>
      </c>
      <c r="F618" s="37">
        <v>-1.7552044655986792</v>
      </c>
      <c r="G618" s="37">
        <v>-1.0223352077631156</v>
      </c>
      <c r="H618" s="37">
        <v>-1.504337518903525</v>
      </c>
      <c r="I618" s="37">
        <v>-1.7106089588440747</v>
      </c>
      <c r="J618" s="37">
        <v>0.44813554304231407</v>
      </c>
      <c r="K618" s="37">
        <v>-2.4786262005230135</v>
      </c>
      <c r="L618" s="37">
        <v>0.37214652746520394</v>
      </c>
      <c r="M618" s="37">
        <v>-0.7063920219857327</v>
      </c>
      <c r="N618" s="37">
        <v>-1.1199951551350067</v>
      </c>
      <c r="O618" s="34" t="s">
        <v>69</v>
      </c>
      <c r="P618" s="34" t="s">
        <v>69</v>
      </c>
      <c r="Q618" s="34" t="s">
        <v>69</v>
      </c>
      <c r="R618" s="34" t="s">
        <v>69</v>
      </c>
    </row>
    <row r="619">
      <c r="A619" s="27" t="s">
        <v>659</v>
      </c>
      <c r="B619" s="29">
        <v>74.14285714285714</v>
      </c>
      <c r="C619" s="31">
        <v>33.0</v>
      </c>
      <c r="D619" s="31">
        <v>6.0</v>
      </c>
      <c r="E619" s="32">
        <v>-1.9958786324271793</v>
      </c>
      <c r="F619" s="32">
        <v>-1.7528845081065627</v>
      </c>
      <c r="G619" s="32">
        <v>-1.7076860807572898</v>
      </c>
      <c r="H619" s="32">
        <v>-0.5806544045293945</v>
      </c>
      <c r="I619" s="32">
        <v>-1.7059417143217428</v>
      </c>
      <c r="J619" s="32">
        <v>-0.7871777123417198</v>
      </c>
      <c r="K619" s="32">
        <v>-1.9561471726769692</v>
      </c>
      <c r="L619" s="32">
        <v>0.0</v>
      </c>
      <c r="M619" s="32">
        <v>-0.623839544952887</v>
      </c>
      <c r="N619" s="32">
        <v>-0.42906708274024846</v>
      </c>
      <c r="O619" s="34" t="s">
        <v>69</v>
      </c>
      <c r="P619" s="34" t="s">
        <v>69</v>
      </c>
      <c r="Q619" s="34" t="s">
        <v>69</v>
      </c>
      <c r="R619" s="34" t="s">
        <v>69</v>
      </c>
    </row>
    <row r="620">
      <c r="A620" s="27" t="s">
        <v>660</v>
      </c>
      <c r="B620" s="35">
        <v>71.85714285714286</v>
      </c>
      <c r="C620" s="36">
        <v>18.0</v>
      </c>
      <c r="D620" s="36">
        <v>6.0</v>
      </c>
      <c r="E620" s="37">
        <v>-2.480943791490117</v>
      </c>
      <c r="F620" s="37">
        <v>-1.838722935314874</v>
      </c>
      <c r="G620" s="37">
        <v>-1.6346087618555838</v>
      </c>
      <c r="H620" s="37">
        <v>-0.3319704891209748</v>
      </c>
      <c r="I620" s="37">
        <v>-1.72461069241107</v>
      </c>
      <c r="J620" s="37">
        <v>-0.7871777123417198</v>
      </c>
      <c r="K620" s="37">
        <v>-2.842061297880073</v>
      </c>
      <c r="L620" s="37">
        <v>0.0</v>
      </c>
      <c r="M620" s="37">
        <v>-0.7344949928905308</v>
      </c>
      <c r="N620" s="37">
        <v>0.83307380198087</v>
      </c>
      <c r="O620" s="34" t="s">
        <v>69</v>
      </c>
      <c r="P620" s="34" t="s">
        <v>69</v>
      </c>
      <c r="Q620" s="34" t="s">
        <v>69</v>
      </c>
      <c r="R620" s="34" t="s">
        <v>69</v>
      </c>
    </row>
    <row r="621">
      <c r="A621" s="27" t="s">
        <v>661</v>
      </c>
      <c r="B621" s="29">
        <v>81.92208333333333</v>
      </c>
      <c r="C621" s="31">
        <v>31.0</v>
      </c>
      <c r="D621" s="31">
        <v>7.0</v>
      </c>
      <c r="E621" s="32">
        <v>-0.4965814856713122</v>
      </c>
      <c r="F621" s="32">
        <v>-1.2700990037413156</v>
      </c>
      <c r="G621" s="32">
        <v>-3.214936417545085</v>
      </c>
      <c r="H621" s="32">
        <v>-0.7087807923164663</v>
      </c>
      <c r="I621" s="32">
        <v>-1.279506730837379</v>
      </c>
      <c r="J621" s="32">
        <v>-0.7868914786652097</v>
      </c>
      <c r="K621" s="32">
        <v>-0.761297549861373</v>
      </c>
      <c r="L621" s="32">
        <v>0.0</v>
      </c>
      <c r="M621" s="32">
        <v>-0.9621563560532744</v>
      </c>
      <c r="N621" s="32">
        <v>-2.06794677324033</v>
      </c>
      <c r="O621" s="34" t="s">
        <v>69</v>
      </c>
      <c r="P621" s="34" t="s">
        <v>69</v>
      </c>
      <c r="Q621" s="34" t="s">
        <v>69</v>
      </c>
      <c r="R621" s="34" t="s">
        <v>69</v>
      </c>
    </row>
    <row r="622">
      <c r="A622" s="27" t="s">
        <v>662</v>
      </c>
      <c r="B622" s="35">
        <v>71.85714285714286</v>
      </c>
      <c r="C622" s="36">
        <v>23.0</v>
      </c>
      <c r="D622" s="36">
        <v>6.0</v>
      </c>
      <c r="E622" s="37">
        <v>-2.089298588987449</v>
      </c>
      <c r="F622" s="37">
        <v>-1.785363912996194</v>
      </c>
      <c r="G622" s="37">
        <v>-1.528954428229246</v>
      </c>
      <c r="H622" s="37">
        <v>-0.7760489094931531</v>
      </c>
      <c r="I622" s="37">
        <v>-1.7106089588440747</v>
      </c>
      <c r="J622" s="37">
        <v>-0.7871777123417198</v>
      </c>
      <c r="K622" s="37">
        <v>-2.199970719005123</v>
      </c>
      <c r="L622" s="37">
        <v>0.0</v>
      </c>
      <c r="M622" s="37">
        <v>-1.3615425312038472</v>
      </c>
      <c r="N622" s="37">
        <v>0.6731684188895088</v>
      </c>
      <c r="O622" s="34" t="s">
        <v>69</v>
      </c>
      <c r="P622" s="34" t="s">
        <v>69</v>
      </c>
      <c r="Q622" s="34" t="s">
        <v>69</v>
      </c>
      <c r="R622" s="34" t="s">
        <v>69</v>
      </c>
    </row>
    <row r="623">
      <c r="A623" s="27" t="s">
        <v>663</v>
      </c>
      <c r="B623" s="29">
        <v>69.0</v>
      </c>
      <c r="C623" s="31">
        <v>16.0</v>
      </c>
      <c r="D623" s="31">
        <v>6.0</v>
      </c>
      <c r="E623" s="32">
        <v>-2.2797315773603057</v>
      </c>
      <c r="F623" s="32">
        <v>-1.6206469310559204</v>
      </c>
      <c r="G623" s="32">
        <v>-0.3443236678169363</v>
      </c>
      <c r="H623" s="32">
        <v>-0.998088119679242</v>
      </c>
      <c r="I623" s="32">
        <v>-1.72461069241107</v>
      </c>
      <c r="J623" s="32">
        <v>-0.7871777123417198</v>
      </c>
      <c r="K623" s="32">
        <v>-1.9331449513252568</v>
      </c>
      <c r="L623" s="32">
        <v>0.0</v>
      </c>
      <c r="M623" s="32">
        <v>-1.2678659615211856</v>
      </c>
      <c r="N623" s="32">
        <v>-0.6103501908438235</v>
      </c>
      <c r="O623" s="34" t="s">
        <v>69</v>
      </c>
      <c r="P623" s="34" t="s">
        <v>69</v>
      </c>
      <c r="Q623" s="34" t="s">
        <v>69</v>
      </c>
      <c r="R623" s="34" t="s">
        <v>69</v>
      </c>
    </row>
    <row r="624">
      <c r="A624" s="27" t="s">
        <v>664</v>
      </c>
      <c r="B624" s="35">
        <v>78.71428571428571</v>
      </c>
      <c r="C624" s="36">
        <v>27.0</v>
      </c>
      <c r="D624" s="36">
        <v>6.0</v>
      </c>
      <c r="E624" s="37">
        <v>-1.1479128728801185</v>
      </c>
      <c r="F624" s="37">
        <v>-1.4721696515604623</v>
      </c>
      <c r="G624" s="37">
        <v>-1.0441670409975614</v>
      </c>
      <c r="H624" s="37">
        <v>-1.868481823608711</v>
      </c>
      <c r="I624" s="37">
        <v>-1.2812224627895468</v>
      </c>
      <c r="J624" s="37">
        <v>-0.7871777123417198</v>
      </c>
      <c r="K624" s="37">
        <v>-1.5223909986161026</v>
      </c>
      <c r="L624" s="37">
        <v>0.0</v>
      </c>
      <c r="M624" s="37">
        <v>-0.6894131437307501</v>
      </c>
      <c r="N624" s="37">
        <v>-1.7561962514984972</v>
      </c>
      <c r="O624" s="34" t="s">
        <v>69</v>
      </c>
      <c r="P624" s="34" t="s">
        <v>69</v>
      </c>
      <c r="Q624" s="34" t="s">
        <v>69</v>
      </c>
      <c r="R624" s="34" t="s">
        <v>69</v>
      </c>
    </row>
    <row r="625">
      <c r="A625" s="27" t="s">
        <v>665</v>
      </c>
      <c r="B625" s="29">
        <v>70.0</v>
      </c>
      <c r="C625" s="31">
        <v>25.0</v>
      </c>
      <c r="D625" s="31">
        <v>6.0</v>
      </c>
      <c r="E625" s="32">
        <v>-2.182718545547718</v>
      </c>
      <c r="F625" s="32">
        <v>-1.5858475686741722</v>
      </c>
      <c r="G625" s="32">
        <v>0.5424317721194057</v>
      </c>
      <c r="H625" s="32">
        <v>-1.2290088982727747</v>
      </c>
      <c r="I625" s="32">
        <v>-1.6079295793527744</v>
      </c>
      <c r="J625" s="32">
        <v>-0.7871777123417198</v>
      </c>
      <c r="K625" s="32">
        <v>-2.046841645435151</v>
      </c>
      <c r="L625" s="32">
        <v>0.0</v>
      </c>
      <c r="M625" s="32">
        <v>-1.8591993076429871</v>
      </c>
      <c r="N625" s="32">
        <v>-0.8189967869630328</v>
      </c>
      <c r="O625" s="34" t="s">
        <v>69</v>
      </c>
      <c r="P625" s="34" t="s">
        <v>69</v>
      </c>
      <c r="Q625" s="34" t="s">
        <v>69</v>
      </c>
      <c r="R625" s="34" t="s">
        <v>69</v>
      </c>
    </row>
    <row r="626">
      <c r="A626" s="27" t="s">
        <v>666</v>
      </c>
      <c r="B626" s="35">
        <v>79.14285714285714</v>
      </c>
      <c r="C626" s="36">
        <v>23.0</v>
      </c>
      <c r="D626" s="36">
        <v>6.0</v>
      </c>
      <c r="E626" s="37">
        <v>-1.4084108286731774</v>
      </c>
      <c r="F626" s="37">
        <v>-0.9408993858657771</v>
      </c>
      <c r="G626" s="37">
        <v>-3.517081671360092</v>
      </c>
      <c r="H626" s="37">
        <v>-1.3586797970214508</v>
      </c>
      <c r="I626" s="37">
        <v>-0.2252583896119708</v>
      </c>
      <c r="J626" s="37">
        <v>-0.7871777123417198</v>
      </c>
      <c r="K626" s="37">
        <v>-0.9923540980402106</v>
      </c>
      <c r="L626" s="37">
        <v>0.0</v>
      </c>
      <c r="M626" s="37">
        <v>-1.8802765358215863</v>
      </c>
      <c r="N626" s="37">
        <v>-0.46540921526101214</v>
      </c>
      <c r="O626" s="34" t="s">
        <v>69</v>
      </c>
      <c r="P626" s="34" t="s">
        <v>69</v>
      </c>
      <c r="Q626" s="34" t="s">
        <v>69</v>
      </c>
      <c r="R626" s="34" t="s">
        <v>69</v>
      </c>
    </row>
    <row r="627">
      <c r="A627" s="27" t="s">
        <v>667</v>
      </c>
      <c r="B627" s="29">
        <v>78.0909090909091</v>
      </c>
      <c r="C627" s="31">
        <v>29.0</v>
      </c>
      <c r="D627" s="31">
        <v>6.0</v>
      </c>
      <c r="E627" s="32">
        <v>-0.8918246003512681</v>
      </c>
      <c r="F627" s="32">
        <v>-1.4656315895372252</v>
      </c>
      <c r="G627" s="32">
        <v>-0.9748687030686877</v>
      </c>
      <c r="H627" s="32">
        <v>-1.1235604588171264</v>
      </c>
      <c r="I627" s="32">
        <v>-1.260479153801405</v>
      </c>
      <c r="J627" s="32">
        <v>-0.7871777123417198</v>
      </c>
      <c r="K627" s="32">
        <v>-0.9883809870794602</v>
      </c>
      <c r="L627" s="32">
        <v>0.0</v>
      </c>
      <c r="M627" s="32">
        <v>-2.064436155765909</v>
      </c>
      <c r="N627" s="32">
        <v>-2.0213577788318142</v>
      </c>
      <c r="O627" s="34" t="s">
        <v>69</v>
      </c>
      <c r="P627" s="34" t="s">
        <v>69</v>
      </c>
      <c r="Q627" s="34" t="s">
        <v>69</v>
      </c>
      <c r="R627" s="34" t="s">
        <v>69</v>
      </c>
    </row>
    <row r="628">
      <c r="A628" s="27" t="s">
        <v>668</v>
      </c>
      <c r="B628" s="35">
        <v>79.28571428571429</v>
      </c>
      <c r="C628" s="36">
        <v>27.0</v>
      </c>
      <c r="D628" s="36">
        <v>6.0</v>
      </c>
      <c r="E628" s="37">
        <v>-2.1575670187814917</v>
      </c>
      <c r="F628" s="37">
        <v>-1.8155233603937087</v>
      </c>
      <c r="G628" s="37">
        <v>-2.3660840259427083</v>
      </c>
      <c r="H628" s="37">
        <v>-0.758285772678266</v>
      </c>
      <c r="I628" s="37">
        <v>-1.72461069241107</v>
      </c>
      <c r="J628" s="37">
        <v>-0.7871777123417198</v>
      </c>
      <c r="K628" s="37">
        <v>-2.170396434410064</v>
      </c>
      <c r="L628" s="37">
        <v>0.0</v>
      </c>
      <c r="M628" s="37">
        <v>-0.6337926804816696</v>
      </c>
      <c r="N628" s="37">
        <v>0.8236676029754958</v>
      </c>
      <c r="O628" s="34" t="s">
        <v>69</v>
      </c>
      <c r="P628" s="34" t="s">
        <v>69</v>
      </c>
      <c r="Q628" s="34" t="s">
        <v>69</v>
      </c>
      <c r="R628" s="34" t="s">
        <v>69</v>
      </c>
    </row>
    <row r="629">
      <c r="A629" s="27" t="s">
        <v>669</v>
      </c>
      <c r="B629" s="29">
        <v>67.0</v>
      </c>
      <c r="C629" s="31">
        <v>16.0</v>
      </c>
      <c r="D629" s="31">
        <v>6.0</v>
      </c>
      <c r="E629" s="32">
        <v>-1.90245867586691</v>
      </c>
      <c r="F629" s="32">
        <v>-1.9454409799522345</v>
      </c>
      <c r="G629" s="32">
        <v>-1.2001785977238975</v>
      </c>
      <c r="H629" s="32">
        <v>0.6805283093275912</v>
      </c>
      <c r="I629" s="32">
        <v>-1.72461069241107</v>
      </c>
      <c r="J629" s="32">
        <v>-0.7871777123417198</v>
      </c>
      <c r="K629" s="32">
        <v>-2.853233805393762</v>
      </c>
      <c r="L629" s="32">
        <v>0.0</v>
      </c>
      <c r="M629" s="32">
        <v>0.1255730125084059</v>
      </c>
      <c r="N629" s="32">
        <v>-1.9870756816304092</v>
      </c>
      <c r="O629" s="34" t="s">
        <v>69</v>
      </c>
      <c r="P629" s="34" t="s">
        <v>69</v>
      </c>
      <c r="Q629" s="34" t="s">
        <v>69</v>
      </c>
      <c r="R629" s="34" t="s">
        <v>69</v>
      </c>
    </row>
    <row r="630">
      <c r="A630" s="27" t="s">
        <v>670</v>
      </c>
      <c r="B630" s="35">
        <v>70.6</v>
      </c>
      <c r="C630" s="36">
        <v>25.0</v>
      </c>
      <c r="D630" s="36">
        <v>7.0</v>
      </c>
      <c r="E630" s="37">
        <v>-1.8270040955682307</v>
      </c>
      <c r="F630" s="37">
        <v>-1.8967218726177872</v>
      </c>
      <c r="G630" s="37">
        <v>-1.3474331037415355</v>
      </c>
      <c r="H630" s="37">
        <v>-2.079863151705868</v>
      </c>
      <c r="I630" s="37">
        <v>-1.72461069241107</v>
      </c>
      <c r="J630" s="37">
        <v>0.44813554304231407</v>
      </c>
      <c r="K630" s="37">
        <v>-2.296580048682316</v>
      </c>
      <c r="L630" s="37">
        <v>0.0</v>
      </c>
      <c r="M630" s="37">
        <v>0.41655585708517334</v>
      </c>
      <c r="N630" s="37">
        <v>-1.2927271732336962</v>
      </c>
      <c r="O630" s="34" t="s">
        <v>69</v>
      </c>
      <c r="P630" s="34" t="s">
        <v>69</v>
      </c>
      <c r="Q630" s="34" t="s">
        <v>69</v>
      </c>
      <c r="R630" s="34" t="s">
        <v>69</v>
      </c>
    </row>
    <row r="631">
      <c r="A631" s="27" t="s">
        <v>671</v>
      </c>
      <c r="B631" s="29">
        <v>75.57142857142857</v>
      </c>
      <c r="C631" s="31">
        <v>21.0</v>
      </c>
      <c r="D631" s="31">
        <v>7.0</v>
      </c>
      <c r="E631" s="32">
        <v>-1.7946664182973682</v>
      </c>
      <c r="F631" s="32">
        <v>-1.9106416175704863</v>
      </c>
      <c r="G631" s="32">
        <v>-2.320238043703256</v>
      </c>
      <c r="H631" s="32">
        <v>-1.2556536034951054</v>
      </c>
      <c r="I631" s="32">
        <v>-1.6546020245760928</v>
      </c>
      <c r="J631" s="32">
        <v>-0.16952108464970286</v>
      </c>
      <c r="K631" s="32">
        <v>-2.0139813292184185</v>
      </c>
      <c r="L631" s="32">
        <v>0.0</v>
      </c>
      <c r="M631" s="32">
        <v>0.47978754162097</v>
      </c>
      <c r="N631" s="32">
        <v>-0.962655099045111</v>
      </c>
      <c r="O631" s="34" t="s">
        <v>69</v>
      </c>
      <c r="P631" s="34" t="s">
        <v>69</v>
      </c>
      <c r="Q631" s="34" t="s">
        <v>69</v>
      </c>
      <c r="R631" s="34" t="s">
        <v>69</v>
      </c>
    </row>
    <row r="632">
      <c r="A632" s="27" t="s">
        <v>672</v>
      </c>
      <c r="B632" s="35">
        <v>57.8</v>
      </c>
      <c r="C632" s="36">
        <v>33.0</v>
      </c>
      <c r="D632" s="36">
        <v>8.0</v>
      </c>
      <c r="E632" s="37">
        <v>-2.485974096843362</v>
      </c>
      <c r="F632" s="37">
        <v>-2.1045900639114286</v>
      </c>
      <c r="G632" s="37">
        <v>-0.7403843345717335</v>
      </c>
      <c r="H632" s="37">
        <v>-0.11526021997935178</v>
      </c>
      <c r="I632" s="37">
        <v>-1.72461069241107</v>
      </c>
      <c r="J632" s="37">
        <v>-0.7871777123417198</v>
      </c>
      <c r="K632" s="37">
        <v>-3.012409177147613</v>
      </c>
      <c r="L632" s="37">
        <v>0.0</v>
      </c>
      <c r="M632" s="37">
        <v>-0.6063922838494913</v>
      </c>
      <c r="N632" s="37">
        <v>-0.03332263731414146</v>
      </c>
      <c r="O632" s="34" t="s">
        <v>69</v>
      </c>
      <c r="P632" s="34" t="s">
        <v>69</v>
      </c>
      <c r="Q632" s="34" t="s">
        <v>69</v>
      </c>
      <c r="R632" s="34" t="s">
        <v>69</v>
      </c>
    </row>
    <row r="633">
      <c r="A633" s="27" t="s">
        <v>673</v>
      </c>
      <c r="B633" s="29">
        <v>69.42857142857143</v>
      </c>
      <c r="C633" s="31">
        <v>29.0</v>
      </c>
      <c r="D633" s="31">
        <v>6.0</v>
      </c>
      <c r="E633" s="32">
        <v>-1.4569173445794712</v>
      </c>
      <c r="F633" s="32">
        <v>-1.4953692264816276</v>
      </c>
      <c r="G633" s="32">
        <v>-1.0963617826055518</v>
      </c>
      <c r="H633" s="32">
        <v>-1.6642057502375094</v>
      </c>
      <c r="I633" s="32">
        <v>-1.5192519334284698</v>
      </c>
      <c r="J633" s="32">
        <v>-0.16952108464970286</v>
      </c>
      <c r="K633" s="32">
        <v>-1.680120516456418</v>
      </c>
      <c r="L633" s="32">
        <v>0.0</v>
      </c>
      <c r="M633" s="32">
        <v>-0.5799286529141394</v>
      </c>
      <c r="N633" s="32">
        <v>-1.9580019756137979</v>
      </c>
      <c r="O633" s="34" t="s">
        <v>69</v>
      </c>
      <c r="P633" s="34" t="s">
        <v>69</v>
      </c>
      <c r="Q633" s="34" t="s">
        <v>69</v>
      </c>
      <c r="R633" s="34" t="s">
        <v>69</v>
      </c>
    </row>
    <row r="634">
      <c r="A634" s="27" t="s">
        <v>674</v>
      </c>
      <c r="B634" s="35">
        <v>78.0</v>
      </c>
      <c r="C634" s="36">
        <v>29.0</v>
      </c>
      <c r="D634" s="36">
        <v>7.0</v>
      </c>
      <c r="E634" s="37">
        <v>-1.6868741607278266</v>
      </c>
      <c r="F634" s="37">
        <v>-1.8062435304252427</v>
      </c>
      <c r="G634" s="37">
        <v>-0.41106066293450455</v>
      </c>
      <c r="H634" s="37">
        <v>-1.468811245273751</v>
      </c>
      <c r="I634" s="37">
        <v>-1.5565898896071244</v>
      </c>
      <c r="J634" s="37">
        <v>-0.16952108464970286</v>
      </c>
      <c r="K634" s="37">
        <v>-1.956804379001304</v>
      </c>
      <c r="L634" s="37">
        <v>0.614920234565604</v>
      </c>
      <c r="M634" s="37">
        <v>-1.5635326345820864</v>
      </c>
      <c r="N634" s="37">
        <v>-1.62365435642277</v>
      </c>
      <c r="O634" s="34" t="s">
        <v>69</v>
      </c>
      <c r="P634" s="34" t="s">
        <v>69</v>
      </c>
      <c r="Q634" s="34" t="s">
        <v>69</v>
      </c>
      <c r="R634" s="34" t="s">
        <v>69</v>
      </c>
    </row>
    <row r="635">
      <c r="A635" s="27" t="s">
        <v>675</v>
      </c>
      <c r="B635" s="29">
        <v>68.0</v>
      </c>
      <c r="C635" s="31">
        <v>25.0</v>
      </c>
      <c r="D635" s="31">
        <v>6.0</v>
      </c>
      <c r="E635" s="32">
        <v>-1.4245796673086086</v>
      </c>
      <c r="F635" s="32">
        <v>-1.7180851457248145</v>
      </c>
      <c r="G635" s="32">
        <v>-2.1708508284957233</v>
      </c>
      <c r="H635" s="32">
        <v>-1.6197979082002913</v>
      </c>
      <c r="I635" s="32">
        <v>-1.6079295793527744</v>
      </c>
      <c r="J635" s="32">
        <v>-0.16952108464970286</v>
      </c>
      <c r="K635" s="32">
        <v>-1.873339175810804</v>
      </c>
      <c r="L635" s="32">
        <v>0.34311923639885167</v>
      </c>
      <c r="M635" s="32">
        <v>-0.23918013069345767</v>
      </c>
      <c r="N635" s="32">
        <v>-1.1849834391721377</v>
      </c>
      <c r="O635" s="34" t="s">
        <v>69</v>
      </c>
      <c r="P635" s="34" t="s">
        <v>69</v>
      </c>
      <c r="Q635" s="34" t="s">
        <v>69</v>
      </c>
      <c r="R635" s="34" t="s">
        <v>69</v>
      </c>
    </row>
    <row r="636">
      <c r="A636" s="27" t="s">
        <v>676</v>
      </c>
      <c r="B636" s="35">
        <v>71.57142857142857</v>
      </c>
      <c r="C636" s="36">
        <v>29.0</v>
      </c>
      <c r="D636" s="36">
        <v>6.0</v>
      </c>
      <c r="E636" s="37">
        <v>-1.970727105660953</v>
      </c>
      <c r="F636" s="37">
        <v>-1.6136870585795708</v>
      </c>
      <c r="G636" s="37">
        <v>-1.1791605014385325</v>
      </c>
      <c r="H636" s="37">
        <v>-1.4599296768663073</v>
      </c>
      <c r="I636" s="37">
        <v>-1.6779382471877518</v>
      </c>
      <c r="J636" s="37">
        <v>-0.16952108464970286</v>
      </c>
      <c r="K636" s="37">
        <v>-2.2387458921408676</v>
      </c>
      <c r="L636" s="37">
        <v>0.0</v>
      </c>
      <c r="M636" s="37">
        <v>0.1425518907633882</v>
      </c>
      <c r="N636" s="37">
        <v>-1.5030839873538828</v>
      </c>
      <c r="O636" s="34" t="s">
        <v>69</v>
      </c>
      <c r="P636" s="34" t="s">
        <v>69</v>
      </c>
      <c r="Q636" s="34" t="s">
        <v>69</v>
      </c>
      <c r="R636" s="34" t="s">
        <v>69</v>
      </c>
    </row>
    <row r="637">
      <c r="A637" s="27" t="s">
        <v>677</v>
      </c>
      <c r="B637" s="29">
        <v>69.14285714285714</v>
      </c>
      <c r="C637" s="31">
        <v>23.0</v>
      </c>
      <c r="D637" s="31">
        <v>7.0</v>
      </c>
      <c r="E637" s="32">
        <v>-1.2377397541880697</v>
      </c>
      <c r="F637" s="32">
        <v>-1.903681745094137</v>
      </c>
      <c r="G637" s="32">
        <v>0.20522403692706828</v>
      </c>
      <c r="H637" s="32">
        <v>-1.584271634570517</v>
      </c>
      <c r="I637" s="32">
        <v>-1.5565898896071244</v>
      </c>
      <c r="J637" s="32">
        <v>-0.16952108464970286</v>
      </c>
      <c r="K637" s="32">
        <v>-2.2407175111138713</v>
      </c>
      <c r="L637" s="32">
        <v>0.16596479940602343</v>
      </c>
      <c r="M637" s="32">
        <v>-1.8621267004455702</v>
      </c>
      <c r="N637" s="32">
        <v>-1.500518660352417</v>
      </c>
      <c r="O637" s="34" t="s">
        <v>69</v>
      </c>
      <c r="P637" s="34" t="s">
        <v>69</v>
      </c>
      <c r="Q637" s="34" t="s">
        <v>69</v>
      </c>
      <c r="R637" s="34" t="s">
        <v>69</v>
      </c>
    </row>
    <row r="638">
      <c r="A638" s="27" t="s">
        <v>678</v>
      </c>
      <c r="B638" s="35">
        <v>77.0</v>
      </c>
      <c r="C638" s="36">
        <v>25.0</v>
      </c>
      <c r="D638" s="36">
        <v>6.0</v>
      </c>
      <c r="E638" s="37">
        <v>-1.90245867586691</v>
      </c>
      <c r="F638" s="37">
        <v>-2.18903651662447</v>
      </c>
      <c r="G638" s="37" t="s">
        <v>69</v>
      </c>
      <c r="H638" s="37">
        <v>-2.3036786755734457</v>
      </c>
      <c r="I638" s="37" t="s">
        <v>69</v>
      </c>
      <c r="J638" s="37" t="s">
        <v>69</v>
      </c>
      <c r="K638" s="37">
        <v>-1.979149394028682</v>
      </c>
      <c r="L638" s="37" t="s">
        <v>69</v>
      </c>
      <c r="M638" s="37">
        <v>-1.12442371419461</v>
      </c>
      <c r="N638" s="37">
        <v>-2.196577386750107</v>
      </c>
      <c r="O638" s="34" t="s">
        <v>69</v>
      </c>
      <c r="P638" s="34" t="s">
        <v>69</v>
      </c>
      <c r="Q638" s="34" t="s">
        <v>69</v>
      </c>
      <c r="R638" s="34" t="s">
        <v>69</v>
      </c>
    </row>
    <row r="639">
      <c r="A639" s="27" t="s">
        <v>679</v>
      </c>
      <c r="B639" s="29">
        <v>74.42857142857143</v>
      </c>
      <c r="C639" s="31">
        <v>18.0</v>
      </c>
      <c r="D639" s="31">
        <v>6.0</v>
      </c>
      <c r="E639" s="32">
        <v>-2.1791254702954</v>
      </c>
      <c r="F639" s="32">
        <v>-1.725045018201164</v>
      </c>
      <c r="G639" s="32">
        <v>-2.819741865593515</v>
      </c>
      <c r="H639" s="32">
        <v>-0.12769441574977294</v>
      </c>
      <c r="I639" s="32">
        <v>-1.72461069241107</v>
      </c>
      <c r="J639" s="32">
        <v>-0.16952108464970286</v>
      </c>
      <c r="K639" s="32">
        <v>-2.090217262841237</v>
      </c>
      <c r="L639" s="32">
        <v>0.0</v>
      </c>
      <c r="M639" s="32">
        <v>-0.6917550579728167</v>
      </c>
      <c r="N639" s="32">
        <v>-0.17082416459270242</v>
      </c>
      <c r="O639" s="34" t="s">
        <v>69</v>
      </c>
      <c r="P639" s="34" t="s">
        <v>69</v>
      </c>
      <c r="Q639" s="34" t="s">
        <v>69</v>
      </c>
      <c r="R639" s="34" t="s">
        <v>69</v>
      </c>
    </row>
    <row r="640">
      <c r="A640" s="27" t="s">
        <v>680</v>
      </c>
      <c r="B640" s="35">
        <v>68.2</v>
      </c>
      <c r="C640" s="36">
        <v>33.0</v>
      </c>
      <c r="D640" s="36">
        <v>8.0</v>
      </c>
      <c r="E640" s="37">
        <v>-2.2042769970616263</v>
      </c>
      <c r="F640" s="37">
        <v>-1.474489609052579</v>
      </c>
      <c r="G640" s="37">
        <v>-3.0662939322368463</v>
      </c>
      <c r="H640" s="37">
        <v>-0.8488777704341903</v>
      </c>
      <c r="I640" s="37">
        <v>-1.1412051271195918</v>
      </c>
      <c r="J640" s="37">
        <v>-0.16952108464970286</v>
      </c>
      <c r="K640" s="37">
        <v>-2.126363610679643</v>
      </c>
      <c r="L640" s="37">
        <v>0.0</v>
      </c>
      <c r="M640" s="37">
        <v>-1.4604884079311586</v>
      </c>
      <c r="N640" s="37">
        <v>0.7843325889530218</v>
      </c>
      <c r="O640" s="34" t="s">
        <v>69</v>
      </c>
      <c r="P640" s="34" t="s">
        <v>69</v>
      </c>
      <c r="Q640" s="34" t="s">
        <v>69</v>
      </c>
      <c r="R640" s="34" t="s">
        <v>69</v>
      </c>
    </row>
    <row r="641">
      <c r="A641" s="27" t="s">
        <v>681</v>
      </c>
      <c r="B641" s="29">
        <v>78.32714285714285</v>
      </c>
      <c r="C641" s="31">
        <v>23.0</v>
      </c>
      <c r="D641" s="31">
        <v>6.0</v>
      </c>
      <c r="E641" s="32">
        <v>-0.6125653498769553</v>
      </c>
      <c r="F641" s="32">
        <v>-1.1572995134756812</v>
      </c>
      <c r="G641" s="32">
        <v>-2.579745986850631</v>
      </c>
      <c r="H641" s="32">
        <v>-1.4094080283576975</v>
      </c>
      <c r="I641" s="32">
        <v>-0.7226751225627318</v>
      </c>
      <c r="J641" s="32">
        <v>-0.7835720665974945</v>
      </c>
      <c r="K641" s="32">
        <v>-0.9001365652861106</v>
      </c>
      <c r="L641" s="32">
        <v>0.0</v>
      </c>
      <c r="M641" s="32">
        <v>-1.7004858623948977</v>
      </c>
      <c r="N641" s="32">
        <v>-1.8774404647507252</v>
      </c>
      <c r="O641" s="34" t="s">
        <v>69</v>
      </c>
      <c r="P641" s="34" t="s">
        <v>69</v>
      </c>
      <c r="Q641" s="34" t="s">
        <v>69</v>
      </c>
      <c r="R641" s="34" t="s">
        <v>69</v>
      </c>
    </row>
    <row r="642">
      <c r="A642" s="27" t="s">
        <v>682</v>
      </c>
      <c r="B642" s="35">
        <v>71.0</v>
      </c>
      <c r="C642" s="36">
        <v>25.0</v>
      </c>
      <c r="D642" s="36">
        <v>6.0</v>
      </c>
      <c r="E642" s="37">
        <v>-2.283324652612624</v>
      </c>
      <c r="F642" s="37">
        <v>-1.423450544226015</v>
      </c>
      <c r="G642" s="37">
        <v>-1.6610026842647216</v>
      </c>
      <c r="H642" s="37">
        <v>-0.7494042042708223</v>
      </c>
      <c r="I642" s="37">
        <v>-1.72461069241107</v>
      </c>
      <c r="J642" s="37">
        <v>-0.7871777123417198</v>
      </c>
      <c r="K642" s="37">
        <v>-2.132935673922989</v>
      </c>
      <c r="L642" s="37">
        <v>0.0</v>
      </c>
      <c r="M642" s="37">
        <v>-1.4897623359569903</v>
      </c>
      <c r="N642" s="37">
        <v>0.5081323817952166</v>
      </c>
      <c r="O642" s="34" t="s">
        <v>69</v>
      </c>
      <c r="P642" s="34" t="s">
        <v>69</v>
      </c>
      <c r="Q642" s="34" t="s">
        <v>69</v>
      </c>
      <c r="R642" s="34" t="s">
        <v>69</v>
      </c>
    </row>
    <row r="643">
      <c r="A643" s="27" t="s">
        <v>683</v>
      </c>
      <c r="B643" s="29">
        <v>70.0</v>
      </c>
      <c r="C643" s="31">
        <v>28.0</v>
      </c>
      <c r="D643" s="31">
        <v>7.0</v>
      </c>
      <c r="E643" s="32">
        <v>-2.2797315773603057</v>
      </c>
      <c r="F643" s="32">
        <v>-2.026639492176313</v>
      </c>
      <c r="G643" s="32">
        <v>-0.6005413558989255</v>
      </c>
      <c r="H643" s="32">
        <v>-0.12769441574977294</v>
      </c>
      <c r="I643" s="32">
        <v>-1.72461069241107</v>
      </c>
      <c r="J643" s="32">
        <v>-0.7871777123417198</v>
      </c>
      <c r="K643" s="32">
        <v>-2.5772071491732103</v>
      </c>
      <c r="L643" s="32">
        <v>0.0</v>
      </c>
      <c r="M643" s="32">
        <v>-0.9809814668680344</v>
      </c>
      <c r="N643" s="32">
        <v>-0.6702078208780229</v>
      </c>
      <c r="O643" s="34" t="s">
        <v>69</v>
      </c>
      <c r="P643" s="34" t="s">
        <v>69</v>
      </c>
      <c r="Q643" s="34" t="s">
        <v>69</v>
      </c>
      <c r="R643" s="34" t="s">
        <v>69</v>
      </c>
    </row>
    <row r="644">
      <c r="A644" s="27" t="s">
        <v>684</v>
      </c>
      <c r="B644" s="35">
        <v>82.0</v>
      </c>
      <c r="C644" s="36">
        <v>25.0</v>
      </c>
      <c r="D644" s="36">
        <v>7.0</v>
      </c>
      <c r="E644" s="37">
        <v>-1.6509434082046461</v>
      </c>
      <c r="F644" s="37">
        <v>-2.026639492176313</v>
      </c>
      <c r="G644" s="37">
        <v>-1.2121686439169663</v>
      </c>
      <c r="H644" s="37">
        <v>-0.5628912677145075</v>
      </c>
      <c r="I644" s="37">
        <v>-1.72461069241107</v>
      </c>
      <c r="J644" s="37">
        <v>-0.7871777123417198</v>
      </c>
      <c r="K644" s="37">
        <v>-2.347184935656084</v>
      </c>
      <c r="L644" s="37">
        <v>0.0</v>
      </c>
      <c r="M644" s="37">
        <v>0.37147400792539265</v>
      </c>
      <c r="N644" s="37">
        <v>-1.8673604215620103</v>
      </c>
      <c r="O644" s="34" t="s">
        <v>69</v>
      </c>
      <c r="P644" s="34" t="s">
        <v>69</v>
      </c>
      <c r="Q644" s="34" t="s">
        <v>69</v>
      </c>
      <c r="R644" s="34" t="s">
        <v>69</v>
      </c>
    </row>
    <row r="645">
      <c r="A645" s="27" t="s">
        <v>685</v>
      </c>
      <c r="B645" s="29">
        <v>68.8</v>
      </c>
      <c r="C645" s="31">
        <v>23.0</v>
      </c>
      <c r="D645" s="31">
        <v>6.0</v>
      </c>
      <c r="E645" s="32">
        <v>-1.5251857743735142</v>
      </c>
      <c r="F645" s="32">
        <v>-1.6856057408351832</v>
      </c>
      <c r="G645" s="32">
        <v>-0.0064762986905084466</v>
      </c>
      <c r="H645" s="32">
        <v>-1.4830217547256606</v>
      </c>
      <c r="I645" s="32">
        <v>-1.4912484662944787</v>
      </c>
      <c r="J645" s="32">
        <v>-0.7871777123417198</v>
      </c>
      <c r="K645" s="32">
        <v>-2.1217631664093</v>
      </c>
      <c r="L645" s="32">
        <v>0.0</v>
      </c>
      <c r="M645" s="32">
        <v>-1.12442371419461</v>
      </c>
      <c r="N645" s="32">
        <v>-1.6279299014252129</v>
      </c>
      <c r="O645" s="34" t="s">
        <v>69</v>
      </c>
      <c r="P645" s="34" t="s">
        <v>69</v>
      </c>
      <c r="Q645" s="34" t="s">
        <v>69</v>
      </c>
      <c r="R645" s="34" t="s">
        <v>69</v>
      </c>
    </row>
    <row r="646">
      <c r="A646" s="27" t="s">
        <v>686</v>
      </c>
      <c r="B646" s="35">
        <v>63.0</v>
      </c>
      <c r="C646" s="36">
        <v>34.0</v>
      </c>
      <c r="D646" s="36">
        <v>7.0</v>
      </c>
      <c r="E646" s="37">
        <v>-2.1539739435291736</v>
      </c>
      <c r="F646" s="37">
        <v>-2.026639492176313</v>
      </c>
      <c r="G646" s="37" t="s">
        <v>69</v>
      </c>
      <c r="H646" s="37">
        <v>-1.4332849716439766</v>
      </c>
      <c r="I646" s="37" t="s">
        <v>69</v>
      </c>
      <c r="J646" s="37" t="s">
        <v>69</v>
      </c>
      <c r="K646" s="37">
        <v>-2.278178271600946</v>
      </c>
      <c r="L646" s="37" t="s">
        <v>69</v>
      </c>
      <c r="M646" s="37">
        <v>-1.9031101996817348</v>
      </c>
      <c r="N646" s="37">
        <v>-2.1367197567159075</v>
      </c>
      <c r="O646" s="34" t="s">
        <v>69</v>
      </c>
      <c r="P646" s="34" t="s">
        <v>69</v>
      </c>
      <c r="Q646" s="34" t="s">
        <v>69</v>
      </c>
      <c r="R646" s="34" t="s">
        <v>69</v>
      </c>
    </row>
    <row r="647">
      <c r="A647" s="27" t="s">
        <v>687</v>
      </c>
      <c r="B647" s="29">
        <v>71.6</v>
      </c>
      <c r="C647" s="31">
        <v>28.0</v>
      </c>
      <c r="D647" s="31">
        <v>7.0</v>
      </c>
      <c r="E647" s="32">
        <v>-1.2736705067112504</v>
      </c>
      <c r="F647" s="32">
        <v>-1.6693660383903675</v>
      </c>
      <c r="G647" s="32">
        <v>-1.3966315816372348</v>
      </c>
      <c r="H647" s="32">
        <v>-1.6197979082002913</v>
      </c>
      <c r="I647" s="32">
        <v>-1.4912484662944787</v>
      </c>
      <c r="J647" s="32">
        <v>-0.7871777123417198</v>
      </c>
      <c r="K647" s="32">
        <v>-1.7215245148895004</v>
      </c>
      <c r="L647" s="32">
        <v>0.0</v>
      </c>
      <c r="M647" s="32">
        <v>-0.21868838107537544</v>
      </c>
      <c r="N647" s="32">
        <v>-1.789545502517551</v>
      </c>
      <c r="O647" s="34" t="s">
        <v>69</v>
      </c>
      <c r="P647" s="34" t="s">
        <v>69</v>
      </c>
      <c r="Q647" s="34" t="s">
        <v>69</v>
      </c>
      <c r="R647" s="34" t="s">
        <v>69</v>
      </c>
    </row>
    <row r="648">
      <c r="A648" s="27" t="s">
        <v>688</v>
      </c>
      <c r="B648" s="35">
        <v>79.0</v>
      </c>
      <c r="C648" s="36">
        <v>25.0</v>
      </c>
      <c r="D648" s="36">
        <v>6.0</v>
      </c>
      <c r="E648" s="37">
        <v>-1.5503373011397406</v>
      </c>
      <c r="F648" s="37">
        <v>-1.6624061659140177</v>
      </c>
      <c r="G648" s="37">
        <v>-1.549620474963025</v>
      </c>
      <c r="H648" s="37">
        <v>-1.8773633920161548</v>
      </c>
      <c r="I648" s="37">
        <v>-1.3839018422808467</v>
      </c>
      <c r="J648" s="37">
        <v>-0.7871777123417198</v>
      </c>
      <c r="K648" s="37">
        <v>-1.9311733323522526</v>
      </c>
      <c r="L648" s="37">
        <v>0.0</v>
      </c>
      <c r="M648" s="37">
        <v>-0.33695505029973577</v>
      </c>
      <c r="N648" s="37">
        <v>-0.9010872510099348</v>
      </c>
      <c r="O648" s="34" t="s">
        <v>69</v>
      </c>
      <c r="P648" s="34" t="s">
        <v>69</v>
      </c>
      <c r="Q648" s="34" t="s">
        <v>69</v>
      </c>
      <c r="R648" s="34" t="s">
        <v>69</v>
      </c>
    </row>
    <row r="649">
      <c r="A649" s="27" t="s">
        <v>689</v>
      </c>
      <c r="B649" s="29">
        <v>66.2675</v>
      </c>
      <c r="C649" s="31">
        <v>26.0</v>
      </c>
      <c r="D649" s="31">
        <v>5.0</v>
      </c>
      <c r="E649" s="32">
        <v>-1.1385360885048308</v>
      </c>
      <c r="F649" s="32">
        <v>-1.3096439969811666</v>
      </c>
      <c r="G649" s="32">
        <v>-1.4152594750632495</v>
      </c>
      <c r="H649" s="32">
        <v>-1.5747889086328681</v>
      </c>
      <c r="I649" s="32">
        <v>-0.9813884911723285</v>
      </c>
      <c r="J649" s="32">
        <v>-0.7871777123417198</v>
      </c>
      <c r="K649" s="32">
        <v>-1.6486922092011864</v>
      </c>
      <c r="L649" s="32">
        <v>0.0</v>
      </c>
      <c r="M649" s="32">
        <v>-1.2237866795745067</v>
      </c>
      <c r="N649" s="32">
        <v>-1.9130012406405954</v>
      </c>
      <c r="O649" s="34" t="s">
        <v>69</v>
      </c>
      <c r="P649" s="34" t="s">
        <v>69</v>
      </c>
      <c r="Q649" s="34" t="s">
        <v>69</v>
      </c>
      <c r="R649" s="34" t="s">
        <v>69</v>
      </c>
    </row>
    <row r="650">
      <c r="A650" s="27" t="s">
        <v>690</v>
      </c>
      <c r="B650" s="35">
        <v>75.0</v>
      </c>
      <c r="C650" s="36">
        <v>24.0</v>
      </c>
      <c r="D650" s="36">
        <v>7.0</v>
      </c>
      <c r="E650" s="37">
        <v>-1.90245867586691</v>
      </c>
      <c r="F650" s="37">
        <v>-2.1078380044003917</v>
      </c>
      <c r="G650" s="37" t="s">
        <v>69</v>
      </c>
      <c r="H650" s="37">
        <v>-1.7441398659045013</v>
      </c>
      <c r="I650" s="37" t="s">
        <v>69</v>
      </c>
      <c r="J650" s="37" t="s">
        <v>69</v>
      </c>
      <c r="K650" s="37">
        <v>-2.0711582794355325</v>
      </c>
      <c r="L650" s="37" t="s">
        <v>69</v>
      </c>
      <c r="M650" s="37">
        <v>-1.9440936989178992</v>
      </c>
      <c r="N650" s="37">
        <v>-2.2265062017672066</v>
      </c>
      <c r="O650" s="34" t="s">
        <v>69</v>
      </c>
      <c r="P650" s="34" t="s">
        <v>69</v>
      </c>
      <c r="Q650" s="34" t="s">
        <v>69</v>
      </c>
      <c r="R650" s="34" t="s">
        <v>69</v>
      </c>
    </row>
    <row r="651">
      <c r="A651" s="27" t="s">
        <v>691</v>
      </c>
      <c r="B651" s="29">
        <v>80.9154411764706</v>
      </c>
      <c r="C651" s="31">
        <v>31.0</v>
      </c>
      <c r="D651" s="31">
        <v>7.0</v>
      </c>
      <c r="E651" s="32">
        <v>-0.8690850167814783</v>
      </c>
      <c r="F651" s="32">
        <v>-0.5110533191602269</v>
      </c>
      <c r="G651" s="32">
        <v>-3.874052742761815</v>
      </c>
      <c r="H651" s="32">
        <v>-2.2204636462057707</v>
      </c>
      <c r="I651" s="32">
        <v>0.16750992024995406</v>
      </c>
      <c r="J651" s="32">
        <v>0.5195974140278878</v>
      </c>
      <c r="K651" s="32">
        <v>-1.4741264228998774</v>
      </c>
      <c r="L651" s="32">
        <v>0.0</v>
      </c>
      <c r="M651" s="32">
        <v>-2.1835447606339162</v>
      </c>
      <c r="N651" s="32">
        <v>-1.5511970248225626</v>
      </c>
      <c r="O651" s="34" t="s">
        <v>69</v>
      </c>
      <c r="P651" s="34" t="s">
        <v>69</v>
      </c>
      <c r="Q651" s="34" t="s">
        <v>69</v>
      </c>
      <c r="R651" s="34" t="s">
        <v>69</v>
      </c>
    </row>
    <row r="652">
      <c r="A652" s="27" t="s">
        <v>692</v>
      </c>
      <c r="B652" s="35">
        <v>65.6</v>
      </c>
      <c r="C652" s="36">
        <v>23.0</v>
      </c>
      <c r="D652" s="36">
        <v>6.0</v>
      </c>
      <c r="E652" s="37">
        <v>-1.374276613776156</v>
      </c>
      <c r="F652" s="37">
        <v>-1.7018454432799988</v>
      </c>
      <c r="G652" s="37">
        <v>-0.9756048231237767</v>
      </c>
      <c r="H652" s="37">
        <v>-2.1295999347875516</v>
      </c>
      <c r="I652" s="37">
        <v>-1.6079295793527744</v>
      </c>
      <c r="J652" s="37">
        <v>-0.16952108464970286</v>
      </c>
      <c r="K652" s="37">
        <v>-1.8181338445666935</v>
      </c>
      <c r="L652" s="37">
        <v>0.0</v>
      </c>
      <c r="M652" s="37">
        <v>-0.3785240280964168</v>
      </c>
      <c r="N652" s="37">
        <v>-1.8494031325517506</v>
      </c>
      <c r="O652" s="34" t="s">
        <v>69</v>
      </c>
      <c r="P652" s="34" t="s">
        <v>69</v>
      </c>
      <c r="Q652" s="34" t="s">
        <v>69</v>
      </c>
      <c r="R652" s="34" t="s">
        <v>69</v>
      </c>
    </row>
    <row r="653">
      <c r="A653" s="27" t="s">
        <v>693</v>
      </c>
      <c r="B653" s="29">
        <v>82.38199999999999</v>
      </c>
      <c r="C653" s="31">
        <v>31.0</v>
      </c>
      <c r="D653" s="31">
        <v>7.0</v>
      </c>
      <c r="E653" s="32">
        <v>-0.943873078427645</v>
      </c>
      <c r="F653" s="32">
        <v>-1.1308680604779036</v>
      </c>
      <c r="G653" s="32">
        <v>-3.158567445907302</v>
      </c>
      <c r="H653" s="32">
        <v>-1.7486339424786574</v>
      </c>
      <c r="I653" s="32">
        <v>-1.2900592103724489</v>
      </c>
      <c r="J653" s="32">
        <v>-0.047346633716819804</v>
      </c>
      <c r="K653" s="32">
        <v>-1.3178836764742161</v>
      </c>
      <c r="L653" s="32">
        <v>0.45485009595075426</v>
      </c>
      <c r="M653" s="32">
        <v>-1.5938600977818684</v>
      </c>
      <c r="N653" s="32">
        <v>-1.2451460603644189</v>
      </c>
      <c r="O653" s="34" t="s">
        <v>69</v>
      </c>
      <c r="P653" s="34" t="s">
        <v>69</v>
      </c>
      <c r="Q653" s="34" t="s">
        <v>69</v>
      </c>
      <c r="R653" s="34" t="s">
        <v>69</v>
      </c>
    </row>
    <row r="654">
      <c r="A654" s="27" t="s">
        <v>694</v>
      </c>
      <c r="B654" s="35">
        <v>82.71428571428571</v>
      </c>
      <c r="C654" s="36">
        <v>28.0</v>
      </c>
      <c r="D654" s="36">
        <v>7.0</v>
      </c>
      <c r="E654" s="37">
        <v>-2.312069254631168</v>
      </c>
      <c r="F654" s="37">
        <v>-1.6090471435953377</v>
      </c>
      <c r="G654" s="37">
        <v>-1.384895915249321</v>
      </c>
      <c r="H654" s="37">
        <v>-1.646442613422622</v>
      </c>
      <c r="I654" s="37">
        <v>-1.72461069241107</v>
      </c>
      <c r="J654" s="37">
        <v>-0.16952108464970286</v>
      </c>
      <c r="K654" s="37">
        <v>-2.309724175169009</v>
      </c>
      <c r="L654" s="37">
        <v>0.0</v>
      </c>
      <c r="M654" s="37">
        <v>-1.5810969913975852</v>
      </c>
      <c r="N654" s="37">
        <v>0.7133585419124713</v>
      </c>
      <c r="O654" s="34" t="s">
        <v>69</v>
      </c>
      <c r="P654" s="34" t="s">
        <v>69</v>
      </c>
      <c r="Q654" s="34" t="s">
        <v>69</v>
      </c>
      <c r="R654" s="34" t="s">
        <v>69</v>
      </c>
    </row>
    <row r="655">
      <c r="A655" s="27" t="s">
        <v>695</v>
      </c>
      <c r="B655" s="29">
        <v>76.28571428571429</v>
      </c>
      <c r="C655" s="31">
        <v>29.0</v>
      </c>
      <c r="D655" s="31">
        <v>7.0</v>
      </c>
      <c r="E655" s="32">
        <v>-1.5036273228596058</v>
      </c>
      <c r="F655" s="32">
        <v>-1.790003827980427</v>
      </c>
      <c r="G655" s="32">
        <v>-2.312796755646445</v>
      </c>
      <c r="H655" s="32">
        <v>-1.4510481084588638</v>
      </c>
      <c r="I655" s="32">
        <v>-1.4212397984595013</v>
      </c>
      <c r="J655" s="32">
        <v>-0.16952108464970286</v>
      </c>
      <c r="K655" s="32">
        <v>-1.9226296501359021</v>
      </c>
      <c r="L655" s="32">
        <v>0.0</v>
      </c>
      <c r="M655" s="32">
        <v>-0.7830897134134117</v>
      </c>
      <c r="N655" s="32">
        <v>-0.6881651098882825</v>
      </c>
      <c r="O655" s="34" t="s">
        <v>69</v>
      </c>
      <c r="P655" s="34" t="s">
        <v>69</v>
      </c>
      <c r="Q655" s="34" t="s">
        <v>69</v>
      </c>
      <c r="R655" s="34" t="s">
        <v>69</v>
      </c>
    </row>
    <row r="656">
      <c r="A656" s="27" t="s">
        <v>696</v>
      </c>
      <c r="B656" s="35">
        <v>63.0</v>
      </c>
      <c r="C656" s="36">
        <v>24.0</v>
      </c>
      <c r="D656" s="36">
        <v>7.0</v>
      </c>
      <c r="E656" s="37">
        <v>-2.028216309698042</v>
      </c>
      <c r="F656" s="37">
        <v>-2.2702350288485484</v>
      </c>
      <c r="G656" s="37" t="s">
        <v>69</v>
      </c>
      <c r="H656" s="37">
        <v>-2.3658496544255505</v>
      </c>
      <c r="I656" s="37" t="s">
        <v>69</v>
      </c>
      <c r="J656" s="37" t="s">
        <v>69</v>
      </c>
      <c r="K656" s="37">
        <v>-1.9331449513252568</v>
      </c>
      <c r="L656" s="37" t="s">
        <v>69</v>
      </c>
      <c r="M656" s="37">
        <v>-1.1654072134307745</v>
      </c>
      <c r="N656" s="37">
        <v>-2.286363831801406</v>
      </c>
      <c r="O656" s="34" t="s">
        <v>69</v>
      </c>
      <c r="P656" s="34" t="s">
        <v>69</v>
      </c>
      <c r="Q656" s="34" t="s">
        <v>69</v>
      </c>
      <c r="R656" s="34" t="s">
        <v>69</v>
      </c>
    </row>
    <row r="657">
      <c r="A657" s="27" t="s">
        <v>697</v>
      </c>
      <c r="B657" s="29">
        <v>70.85714285714286</v>
      </c>
      <c r="C657" s="31">
        <v>25.0</v>
      </c>
      <c r="D657" s="31">
        <v>7.0</v>
      </c>
      <c r="E657" s="32">
        <v>-2.297696953621896</v>
      </c>
      <c r="F657" s="32">
        <v>-1.7621643380750287</v>
      </c>
      <c r="G657" s="32">
        <v>-0.12563041542870398</v>
      </c>
      <c r="H657" s="32">
        <v>-1.3533508559769847</v>
      </c>
      <c r="I657" s="32">
        <v>-1.5519226450847925</v>
      </c>
      <c r="J657" s="32">
        <v>-0.7871777123417198</v>
      </c>
      <c r="K657" s="32">
        <v>-2.4950563586313796</v>
      </c>
      <c r="L657" s="32">
        <v>0.0</v>
      </c>
      <c r="M657" s="32">
        <v>-1.157795992144058</v>
      </c>
      <c r="N657" s="32">
        <v>-0.5385210348027845</v>
      </c>
      <c r="O657" s="34" t="s">
        <v>69</v>
      </c>
      <c r="P657" s="34" t="s">
        <v>69</v>
      </c>
      <c r="Q657" s="34" t="s">
        <v>69</v>
      </c>
      <c r="R657" s="34" t="s">
        <v>69</v>
      </c>
    </row>
    <row r="658">
      <c r="A658" s="27" t="s">
        <v>698</v>
      </c>
      <c r="B658" s="35">
        <v>63.2</v>
      </c>
      <c r="C658" s="36">
        <v>34.0</v>
      </c>
      <c r="D658" s="36">
        <v>7.0</v>
      </c>
      <c r="E658" s="37">
        <v>-1.9829435615188344</v>
      </c>
      <c r="F658" s="37">
        <v>-2.1045900639114286</v>
      </c>
      <c r="G658" s="37">
        <v>-0.9717815606699826</v>
      </c>
      <c r="H658" s="37">
        <v>-0.6747990296482962</v>
      </c>
      <c r="I658" s="37">
        <v>-1.6966072252770792</v>
      </c>
      <c r="J658" s="37">
        <v>-0.7871777123417198</v>
      </c>
      <c r="K658" s="37">
        <v>-2.3876688452350985</v>
      </c>
      <c r="L658" s="37">
        <v>0.0</v>
      </c>
      <c r="M658" s="37">
        <v>0.28540865952944755</v>
      </c>
      <c r="N658" s="37">
        <v>-1.7715882135072913</v>
      </c>
      <c r="O658" s="34" t="s">
        <v>69</v>
      </c>
      <c r="P658" s="34" t="s">
        <v>69</v>
      </c>
      <c r="Q658" s="34" t="s">
        <v>69</v>
      </c>
      <c r="R658" s="34" t="s">
        <v>69</v>
      </c>
    </row>
    <row r="659">
      <c r="A659" s="27" t="s">
        <v>699</v>
      </c>
      <c r="B659" s="29">
        <v>61.0</v>
      </c>
      <c r="C659" s="31">
        <v>23.0</v>
      </c>
      <c r="D659" s="31">
        <v>6.0</v>
      </c>
      <c r="E659" s="32">
        <v>-2.3731515339205753</v>
      </c>
      <c r="F659" s="32">
        <v>-1.8712023402045055</v>
      </c>
      <c r="G659" s="32">
        <v>-1.7344208537854096</v>
      </c>
      <c r="H659" s="32">
        <v>-0.7938120463080401</v>
      </c>
      <c r="I659" s="32">
        <v>-1.72461069241107</v>
      </c>
      <c r="J659" s="32">
        <v>-0.16952108464970286</v>
      </c>
      <c r="K659" s="32">
        <v>-2.525287849550773</v>
      </c>
      <c r="L659" s="32">
        <v>0.0</v>
      </c>
      <c r="M659" s="32">
        <v>-1.0570936797351969</v>
      </c>
      <c r="N659" s="32">
        <v>0.12418844057585135</v>
      </c>
      <c r="O659" s="34" t="s">
        <v>69</v>
      </c>
      <c r="P659" s="34" t="s">
        <v>69</v>
      </c>
      <c r="Q659" s="34" t="s">
        <v>69</v>
      </c>
      <c r="R659" s="34" t="s">
        <v>69</v>
      </c>
    </row>
    <row r="660">
      <c r="A660" s="27" t="s">
        <v>700</v>
      </c>
      <c r="B660" s="35">
        <v>65.0</v>
      </c>
      <c r="C660" s="36">
        <v>18.0</v>
      </c>
      <c r="D660" s="36">
        <v>6.0</v>
      </c>
      <c r="E660" s="37">
        <v>-1.90245867586691</v>
      </c>
      <c r="F660" s="37">
        <v>-1.864242467728156</v>
      </c>
      <c r="G660" s="37">
        <v>-1.6318680638286827</v>
      </c>
      <c r="H660" s="37">
        <v>-0.5007202888624026</v>
      </c>
      <c r="I660" s="37">
        <v>-1.72461069241107</v>
      </c>
      <c r="J660" s="37">
        <v>-0.7871777123417198</v>
      </c>
      <c r="K660" s="37">
        <v>-2.692218255931773</v>
      </c>
      <c r="L660" s="37">
        <v>0.0</v>
      </c>
      <c r="M660" s="37">
        <v>0.576391504106215</v>
      </c>
      <c r="N660" s="37">
        <v>-1.6279299014252129</v>
      </c>
      <c r="O660" s="34" t="s">
        <v>69</v>
      </c>
      <c r="P660" s="34" t="s">
        <v>69</v>
      </c>
      <c r="Q660" s="34" t="s">
        <v>69</v>
      </c>
      <c r="R660" s="34" t="s">
        <v>69</v>
      </c>
    </row>
    <row r="661">
      <c r="A661" s="27" t="s">
        <v>701</v>
      </c>
      <c r="B661" s="29">
        <v>78.94624999999999</v>
      </c>
      <c r="C661" s="31">
        <v>23.0</v>
      </c>
      <c r="D661" s="31">
        <v>6.0</v>
      </c>
      <c r="E661" s="32">
        <v>-0.37520308453172896</v>
      </c>
      <c r="F661" s="32">
        <v>-1.2530324790321439</v>
      </c>
      <c r="G661" s="32">
        <v>-3.4124996110111714</v>
      </c>
      <c r="H661" s="32">
        <v>-2.1407925666253145</v>
      </c>
      <c r="I661" s="32">
        <v>-0.8190499511307614</v>
      </c>
      <c r="J661" s="32">
        <v>0.26516896763446557</v>
      </c>
      <c r="K661" s="32">
        <v>-0.5451841933313648</v>
      </c>
      <c r="L661" s="32">
        <v>0.0</v>
      </c>
      <c r="M661" s="32">
        <v>-2.216064045522508</v>
      </c>
      <c r="N661" s="32">
        <v>-1.6596309181519358</v>
      </c>
      <c r="O661" s="34" t="s">
        <v>69</v>
      </c>
      <c r="P661" s="34" t="s">
        <v>69</v>
      </c>
      <c r="Q661" s="34" t="s">
        <v>69</v>
      </c>
      <c r="R661" s="34" t="s">
        <v>69</v>
      </c>
    </row>
    <row r="662">
      <c r="A662" s="27" t="s">
        <v>702</v>
      </c>
      <c r="B662" s="35">
        <v>69.85714285714286</v>
      </c>
      <c r="C662" s="36">
        <v>29.0</v>
      </c>
      <c r="D662" s="36">
        <v>6.0</v>
      </c>
      <c r="E662" s="37">
        <v>-2.16116009403381</v>
      </c>
      <c r="F662" s="37">
        <v>-1.5023290989579774</v>
      </c>
      <c r="G662" s="37">
        <v>0.16853986468857757</v>
      </c>
      <c r="H662" s="37">
        <v>-1.6730873186449529</v>
      </c>
      <c r="I662" s="37">
        <v>-1.6359330464867654</v>
      </c>
      <c r="J662" s="37">
        <v>-0.7871777123417198</v>
      </c>
      <c r="K662" s="37">
        <v>-2.499656802901722</v>
      </c>
      <c r="L662" s="37">
        <v>0.0</v>
      </c>
      <c r="M662" s="37">
        <v>-1.8861313214267523</v>
      </c>
      <c r="N662" s="37">
        <v>-0.18450590860051935</v>
      </c>
      <c r="O662" s="34" t="s">
        <v>69</v>
      </c>
      <c r="P662" s="34" t="s">
        <v>69</v>
      </c>
      <c r="Q662" s="34" t="s">
        <v>69</v>
      </c>
      <c r="R662" s="34" t="s">
        <v>69</v>
      </c>
    </row>
    <row r="663">
      <c r="A663" s="27" t="s">
        <v>703</v>
      </c>
      <c r="B663" s="29">
        <v>33.6</v>
      </c>
      <c r="C663" s="31">
        <v>27.0</v>
      </c>
      <c r="D663" s="31">
        <v>6.0</v>
      </c>
      <c r="E663" s="32" t="s">
        <v>69</v>
      </c>
      <c r="F663" s="32" t="s">
        <v>69</v>
      </c>
      <c r="G663" s="32" t="s">
        <v>69</v>
      </c>
      <c r="H663" s="32" t="s">
        <v>69</v>
      </c>
      <c r="I663" s="32" t="s">
        <v>69</v>
      </c>
      <c r="J663" s="32" t="s">
        <v>69</v>
      </c>
      <c r="K663" s="32" t="s">
        <v>69</v>
      </c>
      <c r="L663" s="32" t="s">
        <v>69</v>
      </c>
      <c r="M663" s="32" t="s">
        <v>69</v>
      </c>
      <c r="N663" s="32" t="s">
        <v>69</v>
      </c>
      <c r="O663" s="34">
        <v>-1.8467700510185285</v>
      </c>
      <c r="P663" s="34">
        <v>-3.7559893480446895</v>
      </c>
      <c r="Q663" s="34">
        <v>-6.5590676844959575</v>
      </c>
      <c r="R663" s="34">
        <v>0.0</v>
      </c>
    </row>
    <row r="664">
      <c r="A664" s="27" t="s">
        <v>704</v>
      </c>
      <c r="B664" s="35">
        <v>76.0</v>
      </c>
      <c r="C664" s="36">
        <v>18.0</v>
      </c>
      <c r="D664" s="36">
        <v>6.0</v>
      </c>
      <c r="E664" s="37">
        <v>-1.2736705067112504</v>
      </c>
      <c r="F664" s="37">
        <v>-1.9454409799522345</v>
      </c>
      <c r="G664" s="37">
        <v>-2.4102786462738934</v>
      </c>
      <c r="H664" s="37">
        <v>-1.5576269293481866</v>
      </c>
      <c r="I664" s="37">
        <v>-1.72461069241107</v>
      </c>
      <c r="J664" s="37">
        <v>-0.7871777123417198</v>
      </c>
      <c r="K664" s="37">
        <v>-2.278178271600946</v>
      </c>
      <c r="L664" s="37">
        <v>0.0</v>
      </c>
      <c r="M664" s="37">
        <v>0.9042594979955306</v>
      </c>
      <c r="N664" s="37">
        <v>-1.0892112311174185</v>
      </c>
      <c r="O664" s="34" t="s">
        <v>69</v>
      </c>
      <c r="P664" s="34" t="s">
        <v>69</v>
      </c>
      <c r="Q664" s="34" t="s">
        <v>69</v>
      </c>
      <c r="R664" s="34" t="s">
        <v>69</v>
      </c>
    </row>
    <row r="665">
      <c r="A665" s="27" t="s">
        <v>705</v>
      </c>
      <c r="B665" s="29">
        <v>69.4</v>
      </c>
      <c r="C665" s="31">
        <v>23.0</v>
      </c>
      <c r="D665" s="31">
        <v>7.0</v>
      </c>
      <c r="E665" s="32">
        <v>-1.5754888279059671</v>
      </c>
      <c r="F665" s="32">
        <v>-1.636886633500736</v>
      </c>
      <c r="G665" s="32">
        <v>-0.3965614160531406</v>
      </c>
      <c r="H665" s="32">
        <v>-1.3462456012510298</v>
      </c>
      <c r="I665" s="32">
        <v>-1.4912484662944787</v>
      </c>
      <c r="J665" s="32">
        <v>-0.7871777123417198</v>
      </c>
      <c r="K665" s="32">
        <v>-2.0435556138134774</v>
      </c>
      <c r="L665" s="32">
        <v>0.0</v>
      </c>
      <c r="M665" s="32">
        <v>-1.0096699163333496</v>
      </c>
      <c r="N665" s="32">
        <v>-1.89728923657911</v>
      </c>
      <c r="O665" s="34" t="s">
        <v>69</v>
      </c>
      <c r="P665" s="34" t="s">
        <v>69</v>
      </c>
      <c r="Q665" s="34" t="s">
        <v>69</v>
      </c>
      <c r="R665" s="34" t="s">
        <v>69</v>
      </c>
    </row>
    <row r="666">
      <c r="A666" s="27" t="s">
        <v>706</v>
      </c>
      <c r="B666" s="35">
        <v>73.71428571428571</v>
      </c>
      <c r="C666" s="36">
        <v>25.0</v>
      </c>
      <c r="D666" s="36">
        <v>6.0</v>
      </c>
      <c r="E666" s="37">
        <v>-1.6868741607278266</v>
      </c>
      <c r="F666" s="37">
        <v>-2.0637588120501773</v>
      </c>
      <c r="G666" s="37">
        <v>-0.09450579136493033</v>
      </c>
      <c r="H666" s="37">
        <v>-1.868481823608711</v>
      </c>
      <c r="I666" s="37">
        <v>-1.6546020245760928</v>
      </c>
      <c r="J666" s="37">
        <v>-0.16952108464970286</v>
      </c>
      <c r="K666" s="37">
        <v>-2.207199988572804</v>
      </c>
      <c r="L666" s="37">
        <v>0.0</v>
      </c>
      <c r="M666" s="37">
        <v>-0.6724342654757679</v>
      </c>
      <c r="N666" s="37">
        <v>-1.792110829519017</v>
      </c>
      <c r="O666" s="34" t="s">
        <v>69</v>
      </c>
      <c r="P666" s="34" t="s">
        <v>69</v>
      </c>
      <c r="Q666" s="34" t="s">
        <v>69</v>
      </c>
      <c r="R666" s="34" t="s">
        <v>69</v>
      </c>
    </row>
    <row r="667">
      <c r="A667" s="27" t="s">
        <v>707</v>
      </c>
      <c r="B667" s="29">
        <v>69.6</v>
      </c>
      <c r="C667" s="31">
        <v>31.0</v>
      </c>
      <c r="D667" s="31">
        <v>7.0</v>
      </c>
      <c r="E667" s="32">
        <v>-1.9678526454590985</v>
      </c>
      <c r="F667" s="32">
        <v>-2.1825406356465438</v>
      </c>
      <c r="G667" s="32">
        <v>-1.4671415343790535</v>
      </c>
      <c r="H667" s="32">
        <v>-0.35150993961735083</v>
      </c>
      <c r="I667" s="32">
        <v>-1.72461069241107</v>
      </c>
      <c r="J667" s="32">
        <v>-0.16952108464970286</v>
      </c>
      <c r="K667" s="32">
        <v>-2.752024031446226</v>
      </c>
      <c r="L667" s="32">
        <v>0.00904150467156218</v>
      </c>
      <c r="M667" s="32">
        <v>0.06163875369998927</v>
      </c>
      <c r="N667" s="32">
        <v>-1.70813912567104</v>
      </c>
      <c r="O667" s="34" t="s">
        <v>69</v>
      </c>
      <c r="P667" s="34" t="s">
        <v>69</v>
      </c>
      <c r="Q667" s="34" t="s">
        <v>69</v>
      </c>
      <c r="R667" s="34" t="s">
        <v>69</v>
      </c>
    </row>
    <row r="668">
      <c r="A668" s="27" t="s">
        <v>708</v>
      </c>
      <c r="B668" s="35">
        <v>75.0</v>
      </c>
      <c r="C668" s="36">
        <v>26.0</v>
      </c>
      <c r="D668" s="36">
        <v>5.0</v>
      </c>
      <c r="E668" s="37">
        <v>-1.90245867586691</v>
      </c>
      <c r="F668" s="37">
        <v>-2.026639492176313</v>
      </c>
      <c r="G668" s="37" t="s">
        <v>69</v>
      </c>
      <c r="H668" s="37">
        <v>-2.117165739017131</v>
      </c>
      <c r="I668" s="37" t="s">
        <v>69</v>
      </c>
      <c r="J668" s="37" t="s">
        <v>69</v>
      </c>
      <c r="K668" s="37">
        <v>-2.0711582794355325</v>
      </c>
      <c r="L668" s="37" t="s">
        <v>69</v>
      </c>
      <c r="M668" s="37">
        <v>-1.9440936989178992</v>
      </c>
      <c r="N668" s="37">
        <v>-2.196577386750107</v>
      </c>
      <c r="O668" s="34" t="s">
        <v>69</v>
      </c>
      <c r="P668" s="34" t="s">
        <v>69</v>
      </c>
      <c r="Q668" s="34" t="s">
        <v>69</v>
      </c>
      <c r="R668" s="34" t="s">
        <v>69</v>
      </c>
    </row>
    <row r="669">
      <c r="A669" s="27" t="s">
        <v>709</v>
      </c>
      <c r="B669" s="29">
        <v>71.0</v>
      </c>
      <c r="C669" s="31">
        <v>28.0</v>
      </c>
      <c r="D669" s="31">
        <v>6.0</v>
      </c>
      <c r="E669" s="32">
        <v>-1.7201101068117688</v>
      </c>
      <c r="F669" s="32">
        <v>-1.7302649225584263</v>
      </c>
      <c r="G669" s="32">
        <v>-0.04250478705387482</v>
      </c>
      <c r="H669" s="32">
        <v>-1.7752253553305537</v>
      </c>
      <c r="I669" s="32">
        <v>-1.6079295793527744</v>
      </c>
      <c r="J669" s="32" t="s">
        <v>69</v>
      </c>
      <c r="K669" s="32">
        <v>-1.979149394028682</v>
      </c>
      <c r="L669" s="32">
        <v>0.0</v>
      </c>
      <c r="M669" s="32">
        <v>-1.3580296598407475</v>
      </c>
      <c r="N669" s="32">
        <v>-2.0544155154188832</v>
      </c>
      <c r="O669" s="34" t="s">
        <v>69</v>
      </c>
      <c r="P669" s="34" t="s">
        <v>69</v>
      </c>
      <c r="Q669" s="34" t="s">
        <v>69</v>
      </c>
      <c r="R669" s="34" t="s">
        <v>69</v>
      </c>
    </row>
    <row r="670">
      <c r="A670" s="27" t="s">
        <v>710</v>
      </c>
      <c r="B670" s="35">
        <v>70.0</v>
      </c>
      <c r="C670" s="36">
        <v>26.0</v>
      </c>
      <c r="D670" s="36">
        <v>5.0</v>
      </c>
      <c r="E670" s="37">
        <v>-2.028216309698042</v>
      </c>
      <c r="F670" s="37">
        <v>-1.6206469310559204</v>
      </c>
      <c r="G670" s="37">
        <v>-1.5903644897180844</v>
      </c>
      <c r="H670" s="37">
        <v>-1.5576269293481866</v>
      </c>
      <c r="I670" s="37">
        <v>-1.6079295793527744</v>
      </c>
      <c r="J670" s="37">
        <v>-0.7871777123417198</v>
      </c>
      <c r="K670" s="37">
        <v>-1.8411360659184062</v>
      </c>
      <c r="L670" s="37">
        <v>0.0</v>
      </c>
      <c r="M670" s="37">
        <v>-0.5096712256521432</v>
      </c>
      <c r="N670" s="37">
        <v>-0.7300654509122222</v>
      </c>
      <c r="O670" s="34" t="s">
        <v>69</v>
      </c>
      <c r="P670" s="34" t="s">
        <v>69</v>
      </c>
      <c r="Q670" s="34" t="s">
        <v>69</v>
      </c>
      <c r="R670" s="34" t="s">
        <v>69</v>
      </c>
    </row>
    <row r="671">
      <c r="A671" s="27" t="s">
        <v>711</v>
      </c>
      <c r="B671" s="29">
        <v>80.0</v>
      </c>
      <c r="C671" s="31">
        <v>34.0</v>
      </c>
      <c r="D671" s="31">
        <v>7.0</v>
      </c>
      <c r="E671" s="32">
        <v>-2.028216309698042</v>
      </c>
      <c r="F671" s="32">
        <v>-1.9454409799522345</v>
      </c>
      <c r="G671" s="32" t="s">
        <v>69</v>
      </c>
      <c r="H671" s="32">
        <v>-1.992823781312921</v>
      </c>
      <c r="I671" s="32" t="s">
        <v>69</v>
      </c>
      <c r="J671" s="32" t="s">
        <v>69</v>
      </c>
      <c r="K671" s="32">
        <v>-2.3701871570077966</v>
      </c>
      <c r="L671" s="32" t="s">
        <v>69</v>
      </c>
      <c r="M671" s="32">
        <v>-1.7801597019732414</v>
      </c>
      <c r="N671" s="32">
        <v>-2.166648571733007</v>
      </c>
      <c r="O671" s="34" t="s">
        <v>69</v>
      </c>
      <c r="P671" s="34" t="s">
        <v>69</v>
      </c>
      <c r="Q671" s="34" t="s">
        <v>69</v>
      </c>
      <c r="R671" s="34" t="s">
        <v>69</v>
      </c>
    </row>
    <row r="672">
      <c r="A672" s="27" t="s">
        <v>712</v>
      </c>
      <c r="B672" s="35">
        <v>55.4</v>
      </c>
      <c r="C672" s="36">
        <v>21.0</v>
      </c>
      <c r="D672" s="36">
        <v>7.0</v>
      </c>
      <c r="E672" s="37">
        <v>-2.214337607768117</v>
      </c>
      <c r="F672" s="37">
        <v>-2.163052992712765</v>
      </c>
      <c r="G672" s="37">
        <v>-1.6136922598919938</v>
      </c>
      <c r="H672" s="37">
        <v>1.1157251612923258</v>
      </c>
      <c r="I672" s="37">
        <v>-1.72461069241107</v>
      </c>
      <c r="J672" s="37">
        <v>-0.7871777123417198</v>
      </c>
      <c r="K672" s="37">
        <v>-3.177105082025876</v>
      </c>
      <c r="L672" s="37">
        <v>0.0</v>
      </c>
      <c r="M672" s="37">
        <v>0.34114621849063115</v>
      </c>
      <c r="N672" s="37">
        <v>-2.0612991428728167</v>
      </c>
      <c r="O672" s="34" t="s">
        <v>69</v>
      </c>
      <c r="P672" s="34" t="s">
        <v>69</v>
      </c>
      <c r="Q672" s="34" t="s">
        <v>69</v>
      </c>
      <c r="R672" s="34" t="s">
        <v>69</v>
      </c>
    </row>
    <row r="673">
      <c r="A673" s="27" t="s">
        <v>713</v>
      </c>
      <c r="B673" s="29">
        <v>76.41441176470589</v>
      </c>
      <c r="C673" s="31">
        <v>31.0</v>
      </c>
      <c r="D673" s="31">
        <v>7.0</v>
      </c>
      <c r="E673" s="32">
        <v>-0.35472401435711776</v>
      </c>
      <c r="F673" s="32">
        <v>-1.61209286573678</v>
      </c>
      <c r="G673" s="32">
        <v>-3.303276559921699</v>
      </c>
      <c r="H673" s="32">
        <v>-1.5830405216904284</v>
      </c>
      <c r="I673" s="32">
        <v>-1.05135491162888</v>
      </c>
      <c r="J673" s="32">
        <v>-0.7862365920464865</v>
      </c>
      <c r="K673" s="32">
        <v>-1.0779699183593472</v>
      </c>
      <c r="L673" s="32">
        <v>0.0</v>
      </c>
      <c r="M673" s="32">
        <v>-0.6073636074104645</v>
      </c>
      <c r="N673" s="32">
        <v>-1.9200913498450733</v>
      </c>
      <c r="O673" s="34" t="s">
        <v>69</v>
      </c>
      <c r="P673" s="34" t="s">
        <v>69</v>
      </c>
      <c r="Q673" s="34" t="s">
        <v>69</v>
      </c>
      <c r="R673" s="34" t="s">
        <v>69</v>
      </c>
    </row>
    <row r="674">
      <c r="A674" s="27" t="s">
        <v>714</v>
      </c>
      <c r="B674" s="35">
        <v>77.0</v>
      </c>
      <c r="C674" s="36">
        <v>28.0</v>
      </c>
      <c r="D674" s="36">
        <v>6.0</v>
      </c>
      <c r="E674" s="37">
        <v>-2.028216309698042</v>
      </c>
      <c r="F674" s="37">
        <v>-2.026639492176313</v>
      </c>
      <c r="G674" s="37" t="s">
        <v>69</v>
      </c>
      <c r="H674" s="37">
        <v>-1.6819688870523963</v>
      </c>
      <c r="I674" s="37" t="s">
        <v>69</v>
      </c>
      <c r="J674" s="37" t="s">
        <v>69</v>
      </c>
      <c r="K674" s="37">
        <v>-2.324182714304371</v>
      </c>
      <c r="L674" s="37" t="s">
        <v>69</v>
      </c>
      <c r="M674" s="37">
        <v>-2.3129451920433794</v>
      </c>
      <c r="N674" s="37">
        <v>-1.9272180515962098</v>
      </c>
      <c r="O674" s="34" t="s">
        <v>69</v>
      </c>
      <c r="P674" s="34" t="s">
        <v>69</v>
      </c>
      <c r="Q674" s="34" t="s">
        <v>69</v>
      </c>
      <c r="R674" s="34" t="s">
        <v>69</v>
      </c>
    </row>
    <row r="675">
      <c r="A675" s="27" t="s">
        <v>715</v>
      </c>
      <c r="B675" s="29">
        <v>79.85714285714286</v>
      </c>
      <c r="C675" s="31">
        <v>29.0</v>
      </c>
      <c r="D675" s="31">
        <v>6.0</v>
      </c>
      <c r="E675" s="32">
        <v>-1.632978031943056</v>
      </c>
      <c r="F675" s="32">
        <v>-1.725045018201164</v>
      </c>
      <c r="G675" s="32">
        <v>-0.6862615979830562</v>
      </c>
      <c r="H675" s="32">
        <v>-1.3711139927918716</v>
      </c>
      <c r="I675" s="32">
        <v>-1.72461069241107</v>
      </c>
      <c r="J675" s="32">
        <v>-0.16952108464970286</v>
      </c>
      <c r="K675" s="32">
        <v>-2.7283646037701788</v>
      </c>
      <c r="L675" s="32">
        <v>0.0</v>
      </c>
      <c r="M675" s="32">
        <v>-0.9926910380783671</v>
      </c>
      <c r="N675" s="32">
        <v>-1.281610756227345</v>
      </c>
      <c r="O675" s="34" t="s">
        <v>69</v>
      </c>
      <c r="P675" s="34" t="s">
        <v>69</v>
      </c>
      <c r="Q675" s="34" t="s">
        <v>69</v>
      </c>
      <c r="R675" s="34" t="s">
        <v>69</v>
      </c>
    </row>
    <row r="676">
      <c r="A676" s="27" t="s">
        <v>716</v>
      </c>
      <c r="B676" s="35">
        <v>74.43589285714286</v>
      </c>
      <c r="C676" s="36">
        <v>26.0</v>
      </c>
      <c r="D676" s="36">
        <v>5.0</v>
      </c>
      <c r="E676" s="37">
        <v>-0.7841303972347105</v>
      </c>
      <c r="F676" s="37">
        <v>-1.5742123424427266</v>
      </c>
      <c r="G676" s="37">
        <v>-1.5658623455540046</v>
      </c>
      <c r="H676" s="37">
        <v>-1.998299334262391</v>
      </c>
      <c r="I676" s="37">
        <v>-0.8460894574567466</v>
      </c>
      <c r="J676" s="37">
        <v>-0.7871777123417198</v>
      </c>
      <c r="K676" s="37">
        <v>-1.4025686155806665</v>
      </c>
      <c r="L676" s="37">
        <v>0.0</v>
      </c>
      <c r="M676" s="37">
        <v>-1.8331056719759606</v>
      </c>
      <c r="N676" s="37">
        <v>-1.5294165121678944</v>
      </c>
      <c r="O676" s="34" t="s">
        <v>69</v>
      </c>
      <c r="P676" s="34" t="s">
        <v>69</v>
      </c>
      <c r="Q676" s="34" t="s">
        <v>69</v>
      </c>
      <c r="R676" s="34" t="s">
        <v>69</v>
      </c>
    </row>
    <row r="677">
      <c r="A677" s="27" t="s">
        <v>717</v>
      </c>
      <c r="B677" s="29">
        <v>81.42964285714285</v>
      </c>
      <c r="C677" s="31">
        <v>21.0</v>
      </c>
      <c r="D677" s="31">
        <v>7.0</v>
      </c>
      <c r="E677" s="32">
        <v>-2.0721270772266105</v>
      </c>
      <c r="F677" s="32">
        <v>-0.551054163694929</v>
      </c>
      <c r="G677" s="32">
        <v>-2.4537618507215453</v>
      </c>
      <c r="H677" s="32">
        <v>-1.7814483543871764</v>
      </c>
      <c r="I677" s="32">
        <v>-0.7760382289354583</v>
      </c>
      <c r="J677" s="32">
        <v>-0.34649432813790226</v>
      </c>
      <c r="K677" s="32">
        <v>-1.8086136983371819</v>
      </c>
      <c r="L677" s="32">
        <v>0.0</v>
      </c>
      <c r="M677" s="32">
        <v>-2.359516072299717</v>
      </c>
      <c r="N677" s="32">
        <v>-0.20713250821392656</v>
      </c>
      <c r="O677" s="34" t="s">
        <v>69</v>
      </c>
      <c r="P677" s="34" t="s">
        <v>69</v>
      </c>
      <c r="Q677" s="34" t="s">
        <v>69</v>
      </c>
      <c r="R677" s="34" t="s">
        <v>69</v>
      </c>
    </row>
    <row r="678">
      <c r="A678" s="27" t="s">
        <v>718</v>
      </c>
      <c r="B678" s="35">
        <v>80.91882352941175</v>
      </c>
      <c r="C678" s="36">
        <v>27.0</v>
      </c>
      <c r="D678" s="36">
        <v>6.0</v>
      </c>
      <c r="E678" s="37">
        <v>-1.665366060523552</v>
      </c>
      <c r="F678" s="37">
        <v>-0.34330230495857184</v>
      </c>
      <c r="G678" s="37">
        <v>-5.416639730494124</v>
      </c>
      <c r="H678" s="37">
        <v>-0.2775218649866422</v>
      </c>
      <c r="I678" s="37">
        <v>0.17101904787812897</v>
      </c>
      <c r="J678" s="37">
        <v>-0.7481888229173576</v>
      </c>
      <c r="K678" s="37">
        <v>-1.5596316315865248</v>
      </c>
      <c r="L678" s="37">
        <v>0.0</v>
      </c>
      <c r="M678" s="37">
        <v>-1.910285726720433</v>
      </c>
      <c r="N678" s="37">
        <v>-0.635416961006047</v>
      </c>
      <c r="O678" s="34" t="s">
        <v>69</v>
      </c>
      <c r="P678" s="34" t="s">
        <v>69</v>
      </c>
      <c r="Q678" s="34" t="s">
        <v>69</v>
      </c>
      <c r="R678" s="34" t="s">
        <v>69</v>
      </c>
    </row>
    <row r="679">
      <c r="A679" s="27" t="s">
        <v>719</v>
      </c>
      <c r="B679" s="29">
        <v>67.2</v>
      </c>
      <c r="C679" s="31">
        <v>28.0</v>
      </c>
      <c r="D679" s="31">
        <v>7.0</v>
      </c>
      <c r="E679" s="32">
        <v>-1.8471253169812116</v>
      </c>
      <c r="F679" s="32">
        <v>-2.163052992712765</v>
      </c>
      <c r="G679" s="32">
        <v>-1.1755252563275507</v>
      </c>
      <c r="H679" s="32">
        <v>-0.6623648338778755</v>
      </c>
      <c r="I679" s="32">
        <v>-1.72461069241107</v>
      </c>
      <c r="J679" s="32">
        <v>-0.7871777123417198</v>
      </c>
      <c r="K679" s="32">
        <v>-2.7198209215538287</v>
      </c>
      <c r="L679" s="32">
        <v>0.0</v>
      </c>
      <c r="M679" s="32">
        <v>0.6501618027313109</v>
      </c>
      <c r="N679" s="32">
        <v>-1.993061444633829</v>
      </c>
      <c r="O679" s="34" t="s">
        <v>69</v>
      </c>
      <c r="P679" s="34" t="s">
        <v>69</v>
      </c>
      <c r="Q679" s="34" t="s">
        <v>69</v>
      </c>
      <c r="R679" s="34" t="s">
        <v>69</v>
      </c>
    </row>
    <row r="680">
      <c r="A680" s="27" t="s">
        <v>720</v>
      </c>
      <c r="B680" s="35">
        <v>80.0</v>
      </c>
      <c r="C680" s="36">
        <v>27.0</v>
      </c>
      <c r="D680" s="36">
        <v>6.0</v>
      </c>
      <c r="E680" s="37">
        <v>-1.1277916514671373</v>
      </c>
      <c r="F680" s="37">
        <v>-1.9389450989743082</v>
      </c>
      <c r="G680" s="37">
        <v>-3.506010312902897</v>
      </c>
      <c r="H680" s="37">
        <v>-1.072693294301768</v>
      </c>
      <c r="I680" s="37">
        <v>-1.561257134129456</v>
      </c>
      <c r="J680" s="37">
        <v>-0.7871777123417198</v>
      </c>
      <c r="K680" s="37">
        <v>-2.0831194345384234</v>
      </c>
      <c r="L680" s="37">
        <v>0.0</v>
      </c>
      <c r="M680" s="37">
        <v>1.5444217560644196</v>
      </c>
      <c r="N680" s="37">
        <v>-1.9188379833914218</v>
      </c>
      <c r="O680" s="34" t="s">
        <v>69</v>
      </c>
      <c r="P680" s="34" t="s">
        <v>69</v>
      </c>
      <c r="Q680" s="34" t="s">
        <v>69</v>
      </c>
      <c r="R680" s="34" t="s">
        <v>69</v>
      </c>
    </row>
    <row r="681">
      <c r="A681" s="27" t="s">
        <v>721</v>
      </c>
      <c r="B681" s="29">
        <v>72.0</v>
      </c>
      <c r="C681" s="31">
        <v>29.0</v>
      </c>
      <c r="D681" s="31">
        <v>6.0</v>
      </c>
      <c r="E681" s="32">
        <v>-2.4054892111914374</v>
      </c>
      <c r="F681" s="32">
        <v>-2.1078380044003917</v>
      </c>
      <c r="G681" s="32">
        <v>-4.196949791387729</v>
      </c>
      <c r="H681" s="32">
        <v>-0.12769441574977294</v>
      </c>
      <c r="I681" s="32">
        <v>-1.72461069241107</v>
      </c>
      <c r="J681" s="32">
        <v>-0.7871777123417198</v>
      </c>
      <c r="K681" s="32">
        <v>-2.6002093705249227</v>
      </c>
      <c r="L681" s="32">
        <v>0.0</v>
      </c>
      <c r="M681" s="32">
        <v>1.0886852445582706</v>
      </c>
      <c r="N681" s="32">
        <v>0.40722951973756594</v>
      </c>
      <c r="O681" s="34" t="s">
        <v>69</v>
      </c>
      <c r="P681" s="34" t="s">
        <v>69</v>
      </c>
      <c r="Q681" s="34" t="s">
        <v>69</v>
      </c>
      <c r="R681" s="34" t="s">
        <v>69</v>
      </c>
    </row>
    <row r="682">
      <c r="A682" s="27" t="s">
        <v>722</v>
      </c>
      <c r="B682" s="35">
        <v>74.8</v>
      </c>
      <c r="C682" s="36">
        <v>30.0</v>
      </c>
      <c r="D682" s="36">
        <v>5.0</v>
      </c>
      <c r="E682" s="37">
        <v>-1.1227613461138923</v>
      </c>
      <c r="F682" s="37">
        <v>-1.6693660383903675</v>
      </c>
      <c r="G682" s="37">
        <v>-0.18927506844175002</v>
      </c>
      <c r="H682" s="37">
        <v>-1.8311792362974482</v>
      </c>
      <c r="I682" s="37">
        <v>-1.374567353236183</v>
      </c>
      <c r="J682" s="37">
        <v>-0.7871777123417198</v>
      </c>
      <c r="K682" s="37">
        <v>-2.075758723705875</v>
      </c>
      <c r="L682" s="37">
        <v>0.0</v>
      </c>
      <c r="M682" s="37">
        <v>-1.4973735572437066</v>
      </c>
      <c r="N682" s="37">
        <v>-1.90926076258595</v>
      </c>
      <c r="O682" s="34" t="s">
        <v>69</v>
      </c>
      <c r="P682" s="34" t="s">
        <v>69</v>
      </c>
      <c r="Q682" s="34" t="s">
        <v>69</v>
      </c>
      <c r="R682" s="34" t="s">
        <v>69</v>
      </c>
    </row>
    <row r="683">
      <c r="A683" s="27" t="s">
        <v>723</v>
      </c>
      <c r="B683" s="29">
        <v>75.57142857142857</v>
      </c>
      <c r="C683" s="31">
        <v>26.0</v>
      </c>
      <c r="D683" s="31">
        <v>6.0</v>
      </c>
      <c r="E683" s="32">
        <v>-1.9994717076794974</v>
      </c>
      <c r="F683" s="32">
        <v>-1.6392065909928524</v>
      </c>
      <c r="G683" s="32">
        <v>-2.184554098463007</v>
      </c>
      <c r="H683" s="32">
        <v>-0.5895359729368383</v>
      </c>
      <c r="I683" s="32">
        <v>-1.5425881560401289</v>
      </c>
      <c r="J683" s="32">
        <v>-0.7871777123417198</v>
      </c>
      <c r="K683" s="32">
        <v>-2.439851027387269</v>
      </c>
      <c r="L683" s="32">
        <v>0.0</v>
      </c>
      <c r="M683" s="32">
        <v>-1.1864844416093732</v>
      </c>
      <c r="N683" s="32">
        <v>-0.0878785915453114</v>
      </c>
      <c r="O683" s="34" t="s">
        <v>69</v>
      </c>
      <c r="P683" s="34" t="s">
        <v>69</v>
      </c>
      <c r="Q683" s="34" t="s">
        <v>69</v>
      </c>
      <c r="R683" s="34" t="s">
        <v>69</v>
      </c>
    </row>
    <row r="684">
      <c r="A684" s="27" t="s">
        <v>724</v>
      </c>
      <c r="B684" s="35">
        <v>74.57142857142857</v>
      </c>
      <c r="C684" s="36">
        <v>18.0</v>
      </c>
      <c r="D684" s="36">
        <v>6.0</v>
      </c>
      <c r="E684" s="37">
        <v>-1.9779132561655892</v>
      </c>
      <c r="F684" s="37">
        <v>-0.8109817663072514</v>
      </c>
      <c r="G684" s="37">
        <v>-1.2600468397515574</v>
      </c>
      <c r="H684" s="37">
        <v>-1.6855215144153737</v>
      </c>
      <c r="I684" s="37">
        <v>-0.7771600543777092</v>
      </c>
      <c r="J684" s="37">
        <v>-0.7871777123417198</v>
      </c>
      <c r="K684" s="37">
        <v>-2.2775210652766114</v>
      </c>
      <c r="L684" s="37">
        <v>0.0</v>
      </c>
      <c r="M684" s="37">
        <v>-1.8732507930953863</v>
      </c>
      <c r="N684" s="37">
        <v>-1.012251421073448</v>
      </c>
      <c r="O684" s="34" t="s">
        <v>69</v>
      </c>
      <c r="P684" s="34" t="s">
        <v>69</v>
      </c>
      <c r="Q684" s="34" t="s">
        <v>69</v>
      </c>
      <c r="R684" s="34" t="s">
        <v>69</v>
      </c>
    </row>
    <row r="685">
      <c r="A685" s="27" t="s">
        <v>725</v>
      </c>
      <c r="B685" s="29">
        <v>73.57142857142857</v>
      </c>
      <c r="C685" s="31">
        <v>34.0</v>
      </c>
      <c r="D685" s="31">
        <v>7.0</v>
      </c>
      <c r="E685" s="32">
        <v>-2.301290028874214</v>
      </c>
      <c r="F685" s="32">
        <v>-1.4420102041629472</v>
      </c>
      <c r="G685" s="32">
        <v>-0.2174026973453919</v>
      </c>
      <c r="H685" s="32">
        <v>-1.770784571126832</v>
      </c>
      <c r="I685" s="32">
        <v>-1.72461069241107</v>
      </c>
      <c r="J685" s="32">
        <v>-0.7871777123417198</v>
      </c>
      <c r="K685" s="32">
        <v>-2.5062288661450682</v>
      </c>
      <c r="L685" s="32">
        <v>0.0</v>
      </c>
      <c r="M685" s="32">
        <v>-1.5547504561743368</v>
      </c>
      <c r="N685" s="32">
        <v>-0.16911394659172507</v>
      </c>
      <c r="O685" s="34" t="s">
        <v>69</v>
      </c>
      <c r="P685" s="34" t="s">
        <v>69</v>
      </c>
      <c r="Q685" s="34" t="s">
        <v>69</v>
      </c>
      <c r="R685" s="34" t="s">
        <v>69</v>
      </c>
    </row>
    <row r="686">
      <c r="A686" s="27" t="s">
        <v>726</v>
      </c>
      <c r="B686" s="35">
        <v>71.6</v>
      </c>
      <c r="C686" s="36">
        <v>34.0</v>
      </c>
      <c r="D686" s="36">
        <v>7.0</v>
      </c>
      <c r="E686" s="37">
        <v>-2.028216309698042</v>
      </c>
      <c r="F686" s="37">
        <v>-1.7180851457248145</v>
      </c>
      <c r="G686" s="37">
        <v>-1.0898686850749197</v>
      </c>
      <c r="H686" s="37">
        <v>-1.22190364354682</v>
      </c>
      <c r="I686" s="37">
        <v>-1.7059417143217428</v>
      </c>
      <c r="J686" s="37">
        <v>-0.7871777123417198</v>
      </c>
      <c r="K686" s="37">
        <v>-1.993870815693778</v>
      </c>
      <c r="L686" s="37">
        <v>0.0</v>
      </c>
      <c r="M686" s="37">
        <v>-1.7096680832870386</v>
      </c>
      <c r="N686" s="37">
        <v>-0.23803573203110343</v>
      </c>
      <c r="O686" s="34" t="s">
        <v>69</v>
      </c>
      <c r="P686" s="34" t="s">
        <v>69</v>
      </c>
      <c r="Q686" s="34" t="s">
        <v>69</v>
      </c>
      <c r="R686" s="34" t="s">
        <v>69</v>
      </c>
    </row>
    <row r="687">
      <c r="A687" s="27" t="s">
        <v>727</v>
      </c>
      <c r="B687" s="29">
        <v>68.0</v>
      </c>
      <c r="C687" s="31">
        <v>28.0</v>
      </c>
      <c r="D687" s="31">
        <v>7.0</v>
      </c>
      <c r="E687" s="32">
        <v>-2.1539739435291736</v>
      </c>
      <c r="F687" s="32">
        <v>-1.0522573454873705</v>
      </c>
      <c r="G687" s="32">
        <v>-1.2317770675236144</v>
      </c>
      <c r="H687" s="32">
        <v>-1.3089430139397666</v>
      </c>
      <c r="I687" s="32">
        <v>-0.5577995618281134</v>
      </c>
      <c r="J687" s="32">
        <v>-0.7871777123417198</v>
      </c>
      <c r="K687" s="32">
        <v>-2.1401649434906704</v>
      </c>
      <c r="L687" s="32">
        <v>0.0</v>
      </c>
      <c r="M687" s="32">
        <v>-2.026060697390228</v>
      </c>
      <c r="N687" s="32">
        <v>-1.2388553062029168</v>
      </c>
      <c r="O687" s="34" t="s">
        <v>69</v>
      </c>
      <c r="P687" s="34" t="s">
        <v>69</v>
      </c>
      <c r="Q687" s="34" t="s">
        <v>69</v>
      </c>
      <c r="R687" s="34" t="s">
        <v>69</v>
      </c>
    </row>
    <row r="688">
      <c r="A688" s="27" t="s">
        <v>728</v>
      </c>
      <c r="B688" s="35">
        <v>82.0</v>
      </c>
      <c r="C688" s="36">
        <v>28.0</v>
      </c>
      <c r="D688" s="36">
        <v>7.0</v>
      </c>
      <c r="E688" s="37">
        <v>-2.304883104126532</v>
      </c>
      <c r="F688" s="37">
        <v>-1.5278486313712591</v>
      </c>
      <c r="G688" s="37">
        <v>-1.1077419729033102</v>
      </c>
      <c r="H688" s="37">
        <v>-1.5753900661630735</v>
      </c>
      <c r="I688" s="37">
        <v>-1.72461069241107</v>
      </c>
      <c r="J688" s="37">
        <v>-0.16952108464970286</v>
      </c>
      <c r="K688" s="37">
        <v>-2.42013483765723</v>
      </c>
      <c r="L688" s="37">
        <v>0.0</v>
      </c>
      <c r="M688" s="37">
        <v>-1.6888250465326462</v>
      </c>
      <c r="N688" s="37">
        <v>-0.004077909497432785</v>
      </c>
      <c r="O688" s="34" t="s">
        <v>69</v>
      </c>
      <c r="P688" s="34" t="s">
        <v>69</v>
      </c>
      <c r="Q688" s="34" t="s">
        <v>69</v>
      </c>
      <c r="R688" s="34" t="s">
        <v>69</v>
      </c>
    </row>
    <row r="689">
      <c r="A689" s="27" t="s">
        <v>729</v>
      </c>
      <c r="B689" s="29">
        <v>74.0</v>
      </c>
      <c r="C689" s="31">
        <v>34.0</v>
      </c>
      <c r="D689" s="31">
        <v>7.0</v>
      </c>
      <c r="E689" s="32">
        <v>-0.9970037122827603</v>
      </c>
      <c r="F689" s="32">
        <v>-1.523208716387026</v>
      </c>
      <c r="G689" s="32">
        <v>-1.172916566727935</v>
      </c>
      <c r="H689" s="32">
        <v>-2.1047315432467104</v>
      </c>
      <c r="I689" s="32">
        <v>-1.2578862401778874</v>
      </c>
      <c r="J689" s="32">
        <v>-0.7871777123417198</v>
      </c>
      <c r="K689" s="32">
        <v>-1.3534889732620985</v>
      </c>
      <c r="L689" s="32">
        <v>0.0</v>
      </c>
      <c r="M689" s="32">
        <v>-1.4399966583130763</v>
      </c>
      <c r="N689" s="32">
        <v>-1.89728923657911</v>
      </c>
      <c r="O689" s="34" t="s">
        <v>69</v>
      </c>
      <c r="P689" s="34" t="s">
        <v>69</v>
      </c>
      <c r="Q689" s="34" t="s">
        <v>69</v>
      </c>
      <c r="R689" s="34" t="s">
        <v>69</v>
      </c>
    </row>
    <row r="690">
      <c r="A690" s="27" t="s">
        <v>730</v>
      </c>
      <c r="B690" s="35">
        <v>76.43535714285714</v>
      </c>
      <c r="C690" s="36">
        <v>25.0</v>
      </c>
      <c r="D690" s="36">
        <v>6.0</v>
      </c>
      <c r="E690" s="37">
        <v>-0.8429545547687981</v>
      </c>
      <c r="F690" s="37">
        <v>-0.4564941472291897</v>
      </c>
      <c r="G690" s="37">
        <v>-2.2602859608082793</v>
      </c>
      <c r="H690" s="37">
        <v>-1.9487372214501961</v>
      </c>
      <c r="I690" s="37">
        <v>-0.6275039128261505</v>
      </c>
      <c r="J690" s="37">
        <v>-0.7871777123417198</v>
      </c>
      <c r="K690" s="37">
        <v>-1.27507035483282</v>
      </c>
      <c r="L690" s="37">
        <v>0.0</v>
      </c>
      <c r="M690" s="37">
        <v>-2.170146879805773</v>
      </c>
      <c r="N690" s="37">
        <v>-2.1785897293271805</v>
      </c>
      <c r="O690" s="34" t="s">
        <v>69</v>
      </c>
      <c r="P690" s="34" t="s">
        <v>69</v>
      </c>
      <c r="Q690" s="34" t="s">
        <v>69</v>
      </c>
      <c r="R690" s="34" t="s">
        <v>69</v>
      </c>
    </row>
    <row r="691">
      <c r="A691" s="27" t="s">
        <v>731</v>
      </c>
      <c r="B691" s="29">
        <v>73.42857142857143</v>
      </c>
      <c r="C691" s="31">
        <v>29.0</v>
      </c>
      <c r="D691" s="31">
        <v>7.0</v>
      </c>
      <c r="E691" s="32">
        <v>-1.6221988061861015</v>
      </c>
      <c r="F691" s="32">
        <v>-1.7760840830277278</v>
      </c>
      <c r="G691" s="32">
        <v>-1.7626843172845794</v>
      </c>
      <c r="H691" s="32">
        <v>-1.0336143933090165</v>
      </c>
      <c r="I691" s="32">
        <v>-1.640600291009097</v>
      </c>
      <c r="J691" s="32">
        <v>-0.16952108464970286</v>
      </c>
      <c r="K691" s="32">
        <v>-2.0277826620294457</v>
      </c>
      <c r="L691" s="32">
        <v>0.0</v>
      </c>
      <c r="M691" s="32">
        <v>-0.864471233325224</v>
      </c>
      <c r="N691" s="32">
        <v>-1.6783813324540382</v>
      </c>
      <c r="O691" s="34" t="s">
        <v>69</v>
      </c>
      <c r="P691" s="34" t="s">
        <v>69</v>
      </c>
      <c r="Q691" s="34" t="s">
        <v>69</v>
      </c>
      <c r="R691" s="34" t="s">
        <v>69</v>
      </c>
    </row>
    <row r="692">
      <c r="A692" s="27" t="s">
        <v>732</v>
      </c>
      <c r="B692" s="35">
        <v>75.0</v>
      </c>
      <c r="C692" s="36">
        <v>31.0</v>
      </c>
      <c r="D692" s="36">
        <v>7.0</v>
      </c>
      <c r="E692" s="37">
        <v>-1.90245867586691</v>
      </c>
      <c r="F692" s="37">
        <v>-2.1078380044003917</v>
      </c>
      <c r="G692" s="37">
        <v>-3.628544088531161</v>
      </c>
      <c r="H692" s="37">
        <v>0.4318443939191715</v>
      </c>
      <c r="I692" s="37">
        <v>-1.6079295793527744</v>
      </c>
      <c r="J692" s="37">
        <v>-0.16952108464970286</v>
      </c>
      <c r="K692" s="37">
        <v>-2.531202706469785</v>
      </c>
      <c r="L692" s="37">
        <v>0.0</v>
      </c>
      <c r="M692" s="37">
        <v>-0.0998362332904986</v>
      </c>
      <c r="N692" s="37">
        <v>-0.9694959710490197</v>
      </c>
      <c r="O692" s="34" t="s">
        <v>69</v>
      </c>
      <c r="P692" s="34" t="s">
        <v>69</v>
      </c>
      <c r="Q692" s="34" t="s">
        <v>69</v>
      </c>
      <c r="R692" s="34" t="s">
        <v>69</v>
      </c>
    </row>
    <row r="693">
      <c r="A693" s="27" t="s">
        <v>733</v>
      </c>
      <c r="B693" s="29">
        <v>75.4</v>
      </c>
      <c r="C693" s="31">
        <v>29.0</v>
      </c>
      <c r="D693" s="31">
        <v>6.0</v>
      </c>
      <c r="E693" s="32">
        <v>-2.45579226472389</v>
      </c>
      <c r="F693" s="32">
        <v>-1.6856057408351832</v>
      </c>
      <c r="G693" s="32">
        <v>-1.5418071252528467</v>
      </c>
      <c r="H693" s="32">
        <v>-1.7565740616749221</v>
      </c>
      <c r="I693" s="32">
        <v>-1.72461069241107</v>
      </c>
      <c r="J693" s="32">
        <v>-0.7871777123417198</v>
      </c>
      <c r="K693" s="32">
        <v>-2.6140107033359503</v>
      </c>
      <c r="L693" s="32">
        <v>0.0</v>
      </c>
      <c r="M693" s="32">
        <v>-0.33344217893663614</v>
      </c>
      <c r="N693" s="32">
        <v>0.2994857856760072</v>
      </c>
      <c r="O693" s="34" t="s">
        <v>69</v>
      </c>
      <c r="P693" s="34" t="s">
        <v>69</v>
      </c>
      <c r="Q693" s="34" t="s">
        <v>69</v>
      </c>
      <c r="R693" s="34" t="s">
        <v>69</v>
      </c>
    </row>
    <row r="694">
      <c r="A694" s="27" t="s">
        <v>734</v>
      </c>
      <c r="B694" s="35">
        <v>72.0</v>
      </c>
      <c r="C694" s="36">
        <v>25.0</v>
      </c>
      <c r="D694" s="36">
        <v>6.0</v>
      </c>
      <c r="E694" s="37">
        <v>-1.2736705067112504</v>
      </c>
      <c r="F694" s="37">
        <v>-1.7830439555040773</v>
      </c>
      <c r="G694" s="37">
        <v>-2.3996409196003534</v>
      </c>
      <c r="H694" s="37">
        <v>-1.8063108447566063</v>
      </c>
      <c r="I694" s="37">
        <v>-1.1412051271195918</v>
      </c>
      <c r="J694" s="37">
        <v>-0.7871777123417198</v>
      </c>
      <c r="K694" s="37">
        <v>-2.232173828897521</v>
      </c>
      <c r="L694" s="37">
        <v>0.0</v>
      </c>
      <c r="M694" s="37">
        <v>0.5354080048700505</v>
      </c>
      <c r="N694" s="37">
        <v>-1.717716346476512</v>
      </c>
      <c r="O694" s="34" t="s">
        <v>69</v>
      </c>
      <c r="P694" s="34" t="s">
        <v>69</v>
      </c>
      <c r="Q694" s="34" t="s">
        <v>69</v>
      </c>
      <c r="R694" s="34" t="s">
        <v>69</v>
      </c>
    </row>
    <row r="695">
      <c r="A695" s="27" t="s">
        <v>735</v>
      </c>
      <c r="B695" s="29">
        <v>68.375</v>
      </c>
      <c r="C695" s="31">
        <v>29.0</v>
      </c>
      <c r="D695" s="31">
        <v>7.0</v>
      </c>
      <c r="E695" s="32">
        <v>-1.2552435427599682</v>
      </c>
      <c r="F695" s="32">
        <v>-1.401540294986142</v>
      </c>
      <c r="G695" s="32">
        <v>-1.66139802648424</v>
      </c>
      <c r="H695" s="32">
        <v>-1.7602584892102562</v>
      </c>
      <c r="I695" s="32">
        <v>-0.6477897384302901</v>
      </c>
      <c r="J695" s="32">
        <v>-0.7793663693524695</v>
      </c>
      <c r="K695" s="32">
        <v>-1.411541606096446</v>
      </c>
      <c r="L695" s="32">
        <v>0.0</v>
      </c>
      <c r="M695" s="32">
        <v>-1.9282160225387286</v>
      </c>
      <c r="N695" s="32">
        <v>-1.783547420834543</v>
      </c>
      <c r="O695" s="34" t="s">
        <v>69</v>
      </c>
      <c r="P695" s="34" t="s">
        <v>69</v>
      </c>
      <c r="Q695" s="34" t="s">
        <v>69</v>
      </c>
      <c r="R695" s="34" t="s">
        <v>69</v>
      </c>
    </row>
    <row r="696">
      <c r="A696" s="27" t="s">
        <v>736</v>
      </c>
      <c r="B696" s="35">
        <v>68.85714285714286</v>
      </c>
      <c r="C696" s="36">
        <v>29.0</v>
      </c>
      <c r="D696" s="36">
        <v>6.0</v>
      </c>
      <c r="E696" s="37">
        <v>-2.04977476121195</v>
      </c>
      <c r="F696" s="37">
        <v>-1.7621643380750287</v>
      </c>
      <c r="G696" s="37">
        <v>-1.5316437160583427</v>
      </c>
      <c r="H696" s="37">
        <v>-1.2556536034951054</v>
      </c>
      <c r="I696" s="37">
        <v>-1.6312658019644335</v>
      </c>
      <c r="J696" s="37">
        <v>-0.7871777123417198</v>
      </c>
      <c r="K696" s="37">
        <v>-2.2091716075458083</v>
      </c>
      <c r="L696" s="37">
        <v>0.0</v>
      </c>
      <c r="M696" s="37">
        <v>-1.5840243842001687</v>
      </c>
      <c r="N696" s="37">
        <v>0.17977052560760803</v>
      </c>
      <c r="O696" s="34" t="s">
        <v>69</v>
      </c>
      <c r="P696" s="34" t="s">
        <v>69</v>
      </c>
      <c r="Q696" s="34" t="s">
        <v>69</v>
      </c>
      <c r="R696" s="34" t="s">
        <v>69</v>
      </c>
    </row>
    <row r="697">
      <c r="A697" s="27" t="s">
        <v>737</v>
      </c>
      <c r="B697" s="29">
        <v>68.8</v>
      </c>
      <c r="C697" s="31">
        <v>30.0</v>
      </c>
      <c r="D697" s="31">
        <v>5.0</v>
      </c>
      <c r="E697" s="32">
        <v>-2.0382769204045323</v>
      </c>
      <c r="F697" s="32">
        <v>-2.0656147780438707</v>
      </c>
      <c r="G697" s="32">
        <v>-1.7528160601465164</v>
      </c>
      <c r="H697" s="32">
        <v>-1.09756168584261</v>
      </c>
      <c r="I697" s="32">
        <v>-1.72461069241107</v>
      </c>
      <c r="J697" s="32">
        <v>-0.7871777123417198</v>
      </c>
      <c r="K697" s="32">
        <v>-2.498999596577387</v>
      </c>
      <c r="L697" s="32">
        <v>0.0</v>
      </c>
      <c r="M697" s="32">
        <v>0.4296705768407463</v>
      </c>
      <c r="N697" s="32">
        <v>-1.1394916403461457</v>
      </c>
      <c r="O697" s="34" t="s">
        <v>69</v>
      </c>
      <c r="P697" s="34" t="s">
        <v>69</v>
      </c>
      <c r="Q697" s="34" t="s">
        <v>69</v>
      </c>
      <c r="R697" s="34" t="s">
        <v>69</v>
      </c>
    </row>
    <row r="698">
      <c r="A698" s="27" t="s">
        <v>738</v>
      </c>
      <c r="B698" s="35">
        <v>72.42857142857143</v>
      </c>
      <c r="C698" s="36">
        <v>24.0</v>
      </c>
      <c r="D698" s="36">
        <v>7.0</v>
      </c>
      <c r="E698" s="37">
        <v>-1.6653157092139184</v>
      </c>
      <c r="F698" s="37">
        <v>-1.85496263775969</v>
      </c>
      <c r="G698" s="37">
        <v>-1.5059800593893997</v>
      </c>
      <c r="H698" s="37">
        <v>-1.9484159392757032</v>
      </c>
      <c r="I698" s="37">
        <v>-1.4912484662944787</v>
      </c>
      <c r="J698" s="37">
        <v>-0.16952108464970286</v>
      </c>
      <c r="K698" s="37">
        <v>-2.207857194897139</v>
      </c>
      <c r="L698" s="37">
        <v>0.0</v>
      </c>
      <c r="M698" s="37">
        <v>0.03599479274936085</v>
      </c>
      <c r="N698" s="37">
        <v>-1.8699257485634762</v>
      </c>
      <c r="O698" s="34" t="s">
        <v>69</v>
      </c>
      <c r="P698" s="34" t="s">
        <v>69</v>
      </c>
      <c r="Q698" s="34" t="s">
        <v>69</v>
      </c>
      <c r="R698" s="34" t="s">
        <v>69</v>
      </c>
    </row>
    <row r="699">
      <c r="A699" s="27" t="s">
        <v>739</v>
      </c>
      <c r="B699" s="29">
        <v>78.98666666666666</v>
      </c>
      <c r="C699" s="31">
        <v>23.0</v>
      </c>
      <c r="D699" s="31">
        <v>6.0</v>
      </c>
      <c r="E699" s="32">
        <v>-1.1335209835862594</v>
      </c>
      <c r="F699" s="32">
        <v>-1.3834332882157012</v>
      </c>
      <c r="G699" s="32">
        <v>-1.705424291014544</v>
      </c>
      <c r="H699" s="32">
        <v>-1.6165314239329367</v>
      </c>
      <c r="I699" s="32">
        <v>-1.5048329844936446</v>
      </c>
      <c r="J699" s="32">
        <v>-0.36280849886881444</v>
      </c>
      <c r="K699" s="32">
        <v>-2.0475393642507007</v>
      </c>
      <c r="L699" s="32">
        <v>0.0</v>
      </c>
      <c r="M699" s="32">
        <v>-1.5867899974489903</v>
      </c>
      <c r="N699" s="32">
        <v>-1.3594073781556142</v>
      </c>
      <c r="O699" s="34" t="s">
        <v>69</v>
      </c>
      <c r="P699" s="34" t="s">
        <v>69</v>
      </c>
      <c r="Q699" s="34" t="s">
        <v>69</v>
      </c>
      <c r="R699" s="34" t="s">
        <v>69</v>
      </c>
    </row>
    <row r="700">
      <c r="A700" s="27" t="s">
        <v>740</v>
      </c>
      <c r="B700" s="35">
        <v>72.89349999999999</v>
      </c>
      <c r="C700" s="36">
        <v>18.0</v>
      </c>
      <c r="D700" s="36">
        <v>6.0</v>
      </c>
      <c r="E700" s="37">
        <v>-1.33307842670355</v>
      </c>
      <c r="F700" s="37">
        <v>-1.6231376823754595</v>
      </c>
      <c r="G700" s="37">
        <v>-1.5560952474948213</v>
      </c>
      <c r="H700" s="37">
        <v>-1.153014490698108</v>
      </c>
      <c r="I700" s="37">
        <v>-1.5634244022879926</v>
      </c>
      <c r="J700" s="37">
        <v>-0.786731382119693</v>
      </c>
      <c r="K700" s="37">
        <v>-1.8233649890855947</v>
      </c>
      <c r="L700" s="37">
        <v>0.0</v>
      </c>
      <c r="M700" s="37">
        <v>-0.7963176326578951</v>
      </c>
      <c r="N700" s="37">
        <v>-2.0785348315898453</v>
      </c>
      <c r="O700" s="34" t="s">
        <v>69</v>
      </c>
      <c r="P700" s="34" t="s">
        <v>69</v>
      </c>
      <c r="Q700" s="34" t="s">
        <v>69</v>
      </c>
      <c r="R700" s="34" t="s">
        <v>69</v>
      </c>
    </row>
    <row r="701">
      <c r="A701" s="27" t="s">
        <v>741</v>
      </c>
      <c r="B701" s="29">
        <v>73.4</v>
      </c>
      <c r="C701" s="31">
        <v>33.0</v>
      </c>
      <c r="D701" s="31">
        <v>6.0</v>
      </c>
      <c r="E701" s="32">
        <v>-1.791791958095514</v>
      </c>
      <c r="F701" s="32">
        <v>-1.9129615750626032</v>
      </c>
      <c r="G701" s="32">
        <v>-2.442050905208225</v>
      </c>
      <c r="H701" s="32">
        <v>-1.5576269293481866</v>
      </c>
      <c r="I701" s="32">
        <v>-1.5845933567411155</v>
      </c>
      <c r="J701" s="32">
        <v>-0.16952108464970286</v>
      </c>
      <c r="K701" s="32">
        <v>-2.3379840471153988</v>
      </c>
      <c r="L701" s="32">
        <v>0.0</v>
      </c>
      <c r="M701" s="32">
        <v>0.5977029237090209</v>
      </c>
      <c r="N701" s="32">
        <v>-1.527369082967758</v>
      </c>
      <c r="O701" s="34" t="s">
        <v>69</v>
      </c>
      <c r="P701" s="34" t="s">
        <v>69</v>
      </c>
      <c r="Q701" s="34" t="s">
        <v>69</v>
      </c>
      <c r="R701" s="34" t="s">
        <v>69</v>
      </c>
    </row>
    <row r="702">
      <c r="A702" s="27" t="s">
        <v>742</v>
      </c>
      <c r="B702" s="35">
        <v>62.714285714285715</v>
      </c>
      <c r="C702" s="36">
        <v>26.0</v>
      </c>
      <c r="D702" s="36">
        <v>6.0</v>
      </c>
      <c r="E702" s="37">
        <v>-2.2941038783695777</v>
      </c>
      <c r="F702" s="37">
        <v>-2.026639492176313</v>
      </c>
      <c r="G702" s="37">
        <v>-1.5148569182183127</v>
      </c>
      <c r="H702" s="37">
        <v>-1.992823781312921</v>
      </c>
      <c r="I702" s="37">
        <v>-1.6219313129197699</v>
      </c>
      <c r="J702" s="37">
        <v>-0.7871777123417198</v>
      </c>
      <c r="K702" s="37">
        <v>-2.341270078737072</v>
      </c>
      <c r="L702" s="37">
        <v>0.0</v>
      </c>
      <c r="M702" s="37">
        <v>-0.13789233972407997</v>
      </c>
      <c r="N702" s="37">
        <v>-0.029731179512089784</v>
      </c>
      <c r="O702" s="34" t="s">
        <v>69</v>
      </c>
      <c r="P702" s="34" t="s">
        <v>69</v>
      </c>
      <c r="Q702" s="34" t="s">
        <v>69</v>
      </c>
      <c r="R702" s="34" t="s">
        <v>69</v>
      </c>
    </row>
    <row r="703">
      <c r="A703" s="27" t="s">
        <v>743</v>
      </c>
      <c r="B703" s="29">
        <v>74.85160714285713</v>
      </c>
      <c r="C703" s="31">
        <v>27.0</v>
      </c>
      <c r="D703" s="31">
        <v>6.0</v>
      </c>
      <c r="E703" s="32">
        <v>-0.6749353653752234</v>
      </c>
      <c r="F703" s="32">
        <v>-1.4900963039403738</v>
      </c>
      <c r="G703" s="32">
        <v>-2.6626940251599485</v>
      </c>
      <c r="H703" s="32">
        <v>-1.9930307074105509</v>
      </c>
      <c r="I703" s="32">
        <v>-0.7462325562668635</v>
      </c>
      <c r="J703" s="32">
        <v>-0.7871777123417198</v>
      </c>
      <c r="K703" s="32">
        <v>-1.2688936841339689</v>
      </c>
      <c r="L703" s="32">
        <v>0.0</v>
      </c>
      <c r="M703" s="32">
        <v>-1.3088027244387646</v>
      </c>
      <c r="N703" s="32">
        <v>-1.836793638789811</v>
      </c>
      <c r="O703" s="34" t="s">
        <v>69</v>
      </c>
      <c r="P703" s="34" t="s">
        <v>69</v>
      </c>
      <c r="Q703" s="34" t="s">
        <v>69</v>
      </c>
      <c r="R703" s="34" t="s">
        <v>69</v>
      </c>
    </row>
    <row r="704">
      <c r="A704" s="27" t="s">
        <v>744</v>
      </c>
      <c r="B704" s="35">
        <v>56.8</v>
      </c>
      <c r="C704" s="36">
        <v>23.0</v>
      </c>
      <c r="D704" s="36">
        <v>7.0</v>
      </c>
      <c r="E704" s="37">
        <v>-2.214337607768117</v>
      </c>
      <c r="F704" s="37">
        <v>-2.299466493249217</v>
      </c>
      <c r="G704" s="37">
        <v>-0.9603200702238757</v>
      </c>
      <c r="H704" s="37">
        <v>-0.5255886804032445</v>
      </c>
      <c r="I704" s="37">
        <v>-1.72461069241107</v>
      </c>
      <c r="J704" s="37">
        <v>-0.7871777123417198</v>
      </c>
      <c r="K704" s="37">
        <v>-2.8909574484105702</v>
      </c>
      <c r="L704" s="37">
        <v>0.0</v>
      </c>
      <c r="M704" s="37">
        <v>0.8157351396454156</v>
      </c>
      <c r="N704" s="37">
        <v>-2.2169289809617343</v>
      </c>
      <c r="O704" s="34" t="s">
        <v>69</v>
      </c>
      <c r="P704" s="34" t="s">
        <v>69</v>
      </c>
      <c r="Q704" s="34" t="s">
        <v>69</v>
      </c>
      <c r="R704" s="34" t="s">
        <v>69</v>
      </c>
    </row>
    <row r="705">
      <c r="A705" s="27" t="s">
        <v>745</v>
      </c>
      <c r="B705" s="29">
        <v>57.2</v>
      </c>
      <c r="C705" s="31">
        <v>29.0</v>
      </c>
      <c r="D705" s="31">
        <v>7.0</v>
      </c>
      <c r="E705" s="32">
        <v>-2.4004589058381924</v>
      </c>
      <c r="F705" s="32">
        <v>-1.8480027652833402</v>
      </c>
      <c r="G705" s="32">
        <v>-0.811298551703707</v>
      </c>
      <c r="H705" s="32">
        <v>-0.28933896076524585</v>
      </c>
      <c r="I705" s="32">
        <v>-1.7059417143217428</v>
      </c>
      <c r="J705" s="32">
        <v>-0.7871777123417198</v>
      </c>
      <c r="K705" s="32">
        <v>-3.0114890882935446</v>
      </c>
      <c r="L705" s="32">
        <v>0.0</v>
      </c>
      <c r="M705" s="32">
        <v>-0.5318023152396719</v>
      </c>
      <c r="N705" s="32">
        <v>-1.4926516575479223</v>
      </c>
      <c r="O705" s="34" t="s">
        <v>69</v>
      </c>
      <c r="P705" s="34" t="s">
        <v>69</v>
      </c>
      <c r="Q705" s="34" t="s">
        <v>69</v>
      </c>
      <c r="R705" s="34" t="s">
        <v>69</v>
      </c>
    </row>
    <row r="706">
      <c r="A706" s="27" t="s">
        <v>746</v>
      </c>
      <c r="B706" s="35">
        <v>78.72642857142857</v>
      </c>
      <c r="C706" s="36">
        <v>26.0</v>
      </c>
      <c r="D706" s="36">
        <v>6.0</v>
      </c>
      <c r="E706" s="37">
        <v>-1.1031526700161334</v>
      </c>
      <c r="F706" s="37">
        <v>-1.3423944618113124</v>
      </c>
      <c r="G706" s="37">
        <v>-2.614691914865786</v>
      </c>
      <c r="H706" s="37">
        <v>-0.750909520057505</v>
      </c>
      <c r="I706" s="37">
        <v>-1.1187596361174872</v>
      </c>
      <c r="J706" s="37">
        <v>-0.7871777123417198</v>
      </c>
      <c r="K706" s="37">
        <v>-1.304832897838332</v>
      </c>
      <c r="L706" s="37">
        <v>0.0</v>
      </c>
      <c r="M706" s="37">
        <v>-2.2967707652645424</v>
      </c>
      <c r="N706" s="37">
        <v>-1.5697400502207048</v>
      </c>
      <c r="O706" s="34" t="s">
        <v>69</v>
      </c>
      <c r="P706" s="34" t="s">
        <v>69</v>
      </c>
      <c r="Q706" s="34" t="s">
        <v>69</v>
      </c>
      <c r="R706" s="34" t="s">
        <v>69</v>
      </c>
    </row>
    <row r="707">
      <c r="A707" s="27" t="s">
        <v>747</v>
      </c>
      <c r="B707" s="29">
        <v>28.6</v>
      </c>
      <c r="C707" s="31">
        <v>31.0</v>
      </c>
      <c r="D707" s="31">
        <v>7.0</v>
      </c>
      <c r="E707" s="32" t="s">
        <v>69</v>
      </c>
      <c r="F707" s="32" t="s">
        <v>69</v>
      </c>
      <c r="G707" s="32" t="s">
        <v>69</v>
      </c>
      <c r="H707" s="32" t="s">
        <v>69</v>
      </c>
      <c r="I707" s="32" t="s">
        <v>69</v>
      </c>
      <c r="J707" s="32" t="s">
        <v>69</v>
      </c>
      <c r="K707" s="32" t="s">
        <v>69</v>
      </c>
      <c r="L707" s="32" t="s">
        <v>69</v>
      </c>
      <c r="M707" s="32" t="s">
        <v>69</v>
      </c>
      <c r="N707" s="32" t="s">
        <v>69</v>
      </c>
      <c r="O707" s="34">
        <v>-2.6870361911314955</v>
      </c>
      <c r="P707" s="34">
        <v>-6.210623943247072</v>
      </c>
      <c r="Q707" s="34">
        <v>-3.9946909619322546</v>
      </c>
      <c r="R707" s="34">
        <v>0.0</v>
      </c>
    </row>
    <row r="708">
      <c r="A708" s="27" t="s">
        <v>748</v>
      </c>
      <c r="B708" s="35">
        <v>71.85714285714286</v>
      </c>
      <c r="C708" s="36">
        <v>26.0</v>
      </c>
      <c r="D708" s="36">
        <v>6.0</v>
      </c>
      <c r="E708" s="37">
        <v>-1.6868741607278266</v>
      </c>
      <c r="F708" s="37">
        <v>-1.5997673136268715</v>
      </c>
      <c r="G708" s="37">
        <v>-1.519036042308478</v>
      </c>
      <c r="H708" s="37">
        <v>-1.8418371183863806</v>
      </c>
      <c r="I708" s="37">
        <v>-1.7199434478887383</v>
      </c>
      <c r="J708" s="37">
        <v>-0.16952108464970286</v>
      </c>
      <c r="K708" s="37">
        <v>-1.7655573386199217</v>
      </c>
      <c r="L708" s="37">
        <v>0.0</v>
      </c>
      <c r="M708" s="37">
        <v>-0.9657590242946018</v>
      </c>
      <c r="N708" s="37">
        <v>-1.63562588242961</v>
      </c>
      <c r="O708" s="34" t="s">
        <v>69</v>
      </c>
      <c r="P708" s="34" t="s">
        <v>69</v>
      </c>
      <c r="Q708" s="34" t="s">
        <v>69</v>
      </c>
      <c r="R708" s="34" t="s">
        <v>69</v>
      </c>
    </row>
    <row r="709">
      <c r="A709" s="27" t="s">
        <v>749</v>
      </c>
      <c r="B709" s="29">
        <v>78.57142857142857</v>
      </c>
      <c r="C709" s="31">
        <v>26.0</v>
      </c>
      <c r="D709" s="31">
        <v>6.0</v>
      </c>
      <c r="E709" s="32">
        <v>-1.571895752653649</v>
      </c>
      <c r="F709" s="32">
        <v>-1.4327303741944812</v>
      </c>
      <c r="G709" s="32">
        <v>-2.2609003427674135</v>
      </c>
      <c r="H709" s="32">
        <v>-2.108284170609687</v>
      </c>
      <c r="I709" s="32">
        <v>-1.379234597758515</v>
      </c>
      <c r="J709" s="32">
        <v>-0.16952108464970286</v>
      </c>
      <c r="K709" s="32">
        <v>-1.79644603586365</v>
      </c>
      <c r="L709" s="32">
        <v>0.6063000087337782</v>
      </c>
      <c r="M709" s="32">
        <v>-1.8510026077957542</v>
      </c>
      <c r="N709" s="32">
        <v>-0.9840328240573252</v>
      </c>
      <c r="O709" s="34" t="s">
        <v>69</v>
      </c>
      <c r="P709" s="34" t="s">
        <v>69</v>
      </c>
      <c r="Q709" s="34" t="s">
        <v>69</v>
      </c>
      <c r="R709" s="34" t="s">
        <v>69</v>
      </c>
    </row>
    <row r="710">
      <c r="A710" s="27" t="s">
        <v>750</v>
      </c>
      <c r="B710" s="35">
        <v>78.0</v>
      </c>
      <c r="C710" s="36">
        <v>29.0</v>
      </c>
      <c r="D710" s="36">
        <v>7.0</v>
      </c>
      <c r="E710" s="37">
        <v>-1.7291926025884614</v>
      </c>
      <c r="F710" s="37">
        <v>-1.1533043829217793</v>
      </c>
      <c r="G710" s="37">
        <v>-2.215345563349524</v>
      </c>
      <c r="H710" s="37">
        <v>-1.4581533631848185</v>
      </c>
      <c r="I710" s="37">
        <v>-0.8144980105563641</v>
      </c>
      <c r="J710" s="37">
        <v>-0.7871777123417198</v>
      </c>
      <c r="K710" s="37">
        <v>-1.8411360659184062</v>
      </c>
      <c r="L710" s="37">
        <v>0.0</v>
      </c>
      <c r="M710" s="37">
        <v>-2.175422783495361</v>
      </c>
      <c r="N710" s="37">
        <v>-0.7759563006051083</v>
      </c>
      <c r="O710" s="34" t="s">
        <v>69</v>
      </c>
      <c r="P710" s="34" t="s">
        <v>69</v>
      </c>
      <c r="Q710" s="34" t="s">
        <v>69</v>
      </c>
      <c r="R710" s="34" t="s">
        <v>69</v>
      </c>
    </row>
    <row r="711">
      <c r="A711" s="27" t="s">
        <v>751</v>
      </c>
      <c r="B711" s="29">
        <v>69.0</v>
      </c>
      <c r="C711" s="31">
        <v>28.0</v>
      </c>
      <c r="D711" s="31">
        <v>7.0</v>
      </c>
      <c r="E711" s="32">
        <v>-1.7012464617370988</v>
      </c>
      <c r="F711" s="32">
        <v>-1.4420102041629477</v>
      </c>
      <c r="G711" s="32">
        <v>-0.5891687664982173</v>
      </c>
      <c r="H711" s="32">
        <v>-1.7441398659045013</v>
      </c>
      <c r="I711" s="32">
        <v>-1.4912484662944787</v>
      </c>
      <c r="J711" s="32">
        <v>-0.7871777123417198</v>
      </c>
      <c r="K711" s="32">
        <v>-2.094160500787245</v>
      </c>
      <c r="L711" s="32">
        <v>0.0</v>
      </c>
      <c r="M711" s="32">
        <v>-1.5957339554105012</v>
      </c>
      <c r="N711" s="32">
        <v>-1.5501149823807536</v>
      </c>
      <c r="O711" s="34" t="s">
        <v>69</v>
      </c>
      <c r="P711" s="34" t="s">
        <v>69</v>
      </c>
      <c r="Q711" s="34" t="s">
        <v>69</v>
      </c>
      <c r="R711" s="34" t="s">
        <v>69</v>
      </c>
    </row>
    <row r="712">
      <c r="A712" s="27" t="s">
        <v>752</v>
      </c>
      <c r="B712" s="35">
        <v>75.42857142857143</v>
      </c>
      <c r="C712" s="36">
        <v>28.0</v>
      </c>
      <c r="D712" s="36">
        <v>7.0</v>
      </c>
      <c r="E712" s="37">
        <v>-2.3875238349298473</v>
      </c>
      <c r="F712" s="37">
        <v>-1.562647993753007</v>
      </c>
      <c r="G712" s="37">
        <v>-0.6863995207057108</v>
      </c>
      <c r="H712" s="37">
        <v>-1.4332849716439766</v>
      </c>
      <c r="I712" s="37">
        <v>-1.7106089588440747</v>
      </c>
      <c r="J712" s="37">
        <v>-0.7871777123417198</v>
      </c>
      <c r="K712" s="37">
        <v>-2.5338315317671234</v>
      </c>
      <c r="L712" s="37">
        <v>0.0</v>
      </c>
      <c r="M712" s="37">
        <v>-2.3843735764264085</v>
      </c>
      <c r="N712" s="37">
        <v>0.4858995477825134</v>
      </c>
      <c r="O712" s="34" t="s">
        <v>69</v>
      </c>
      <c r="P712" s="34" t="s">
        <v>69</v>
      </c>
      <c r="Q712" s="34" t="s">
        <v>69</v>
      </c>
      <c r="R712" s="34" t="s">
        <v>69</v>
      </c>
    </row>
    <row r="713">
      <c r="A713" s="27" t="s">
        <v>753</v>
      </c>
      <c r="B713" s="29">
        <v>50.0</v>
      </c>
      <c r="C713" s="31">
        <v>23.0</v>
      </c>
      <c r="D713" s="31">
        <v>6.0</v>
      </c>
      <c r="E713" s="32">
        <v>-2.4054892111914374</v>
      </c>
      <c r="F713" s="32">
        <v>-2.1078380044003917</v>
      </c>
      <c r="G713" s="32">
        <v>-1.2694501778365663</v>
      </c>
      <c r="H713" s="32">
        <v>-0.06552343689766801</v>
      </c>
      <c r="I713" s="32">
        <v>-1.72461069241107</v>
      </c>
      <c r="J713" s="32">
        <v>-0.7871777123417198</v>
      </c>
      <c r="K713" s="32">
        <v>-2.945242690800612</v>
      </c>
      <c r="L713" s="32">
        <v>0.0</v>
      </c>
      <c r="M713" s="32">
        <v>-0.5506547248883076</v>
      </c>
      <c r="N713" s="32">
        <v>-1.1789976761687175</v>
      </c>
      <c r="O713" s="34" t="s">
        <v>69</v>
      </c>
      <c r="P713" s="34" t="s">
        <v>69</v>
      </c>
      <c r="Q713" s="34" t="s">
        <v>69</v>
      </c>
      <c r="R713" s="34" t="s">
        <v>69</v>
      </c>
    </row>
    <row r="714">
      <c r="A714" s="27" t="s">
        <v>754</v>
      </c>
      <c r="B714" s="35">
        <v>70.2</v>
      </c>
      <c r="C714" s="36">
        <v>23.0</v>
      </c>
      <c r="D714" s="36">
        <v>6.0</v>
      </c>
      <c r="E714" s="37">
        <v>-2.033246615051287</v>
      </c>
      <c r="F714" s="37">
        <v>-2.1955323976023964</v>
      </c>
      <c r="G714" s="37">
        <v>-1.7454098482494524</v>
      </c>
      <c r="H714" s="37">
        <v>-0.09039182843850989</v>
      </c>
      <c r="I714" s="37">
        <v>-1.7106089588440747</v>
      </c>
      <c r="J714" s="37">
        <v>-0.7871777123417198</v>
      </c>
      <c r="K714" s="37">
        <v>-2.445634443041414</v>
      </c>
      <c r="L714" s="37">
        <v>0.0</v>
      </c>
      <c r="M714" s="37">
        <v>0.03049129428050408</v>
      </c>
      <c r="N714" s="37">
        <v>-2.066087753275552</v>
      </c>
      <c r="O714" s="34" t="s">
        <v>69</v>
      </c>
      <c r="P714" s="34" t="s">
        <v>69</v>
      </c>
      <c r="Q714" s="34" t="s">
        <v>69</v>
      </c>
      <c r="R714" s="34" t="s">
        <v>69</v>
      </c>
    </row>
    <row r="715">
      <c r="A715" s="27" t="s">
        <v>755</v>
      </c>
      <c r="B715" s="29">
        <v>79.77777777777777</v>
      </c>
      <c r="C715" s="31">
        <v>34.0</v>
      </c>
      <c r="D715" s="31">
        <v>7.0</v>
      </c>
      <c r="E715" s="32">
        <v>-1.6425595659492374</v>
      </c>
      <c r="F715" s="32">
        <v>-1.4943381342629092</v>
      </c>
      <c r="G715" s="32">
        <v>-1.3490064881267283</v>
      </c>
      <c r="H715" s="32">
        <v>-1.5037454143430289</v>
      </c>
      <c r="I715" s="32">
        <v>-1.561257134129456</v>
      </c>
      <c r="J715" s="32">
        <v>-0.7871777123417198</v>
      </c>
      <c r="K715" s="32">
        <v>-1.9213882604121588</v>
      </c>
      <c r="L715" s="32">
        <v>0.06903123954202328</v>
      </c>
      <c r="M715" s="32">
        <v>-1.3953701813670307</v>
      </c>
      <c r="N715" s="32">
        <v>-1.5095448109131298</v>
      </c>
      <c r="O715" s="34" t="s">
        <v>69</v>
      </c>
      <c r="P715" s="34" t="s">
        <v>69</v>
      </c>
      <c r="Q715" s="34" t="s">
        <v>69</v>
      </c>
      <c r="R715" s="34" t="s">
        <v>69</v>
      </c>
    </row>
    <row r="716">
      <c r="A716" s="27" t="s">
        <v>756</v>
      </c>
      <c r="B716" s="35">
        <v>64.0</v>
      </c>
      <c r="C716" s="36">
        <v>29.0</v>
      </c>
      <c r="D716" s="36">
        <v>6.0</v>
      </c>
      <c r="E716" s="37">
        <v>-1.776701042035778</v>
      </c>
      <c r="F716" s="37">
        <v>-1.5394484188318418</v>
      </c>
      <c r="G716" s="37">
        <v>-1.6195795059263591</v>
      </c>
      <c r="H716" s="37">
        <v>-0.5628912677145075</v>
      </c>
      <c r="I716" s="37">
        <v>-1.4912484662944787</v>
      </c>
      <c r="J716" s="37">
        <v>-0.7871777123417198</v>
      </c>
      <c r="K716" s="37">
        <v>-2.830231584042049</v>
      </c>
      <c r="L716" s="37">
        <v>0.0</v>
      </c>
      <c r="M716" s="37">
        <v>-0.6326217233606365</v>
      </c>
      <c r="N716" s="37">
        <v>-1.9272180515962098</v>
      </c>
      <c r="O716" s="34" t="s">
        <v>69</v>
      </c>
      <c r="P716" s="34" t="s">
        <v>69</v>
      </c>
      <c r="Q716" s="34" t="s">
        <v>69</v>
      </c>
      <c r="R716" s="34" t="s">
        <v>69</v>
      </c>
    </row>
    <row r="717">
      <c r="A717" s="27" t="s">
        <v>757</v>
      </c>
      <c r="B717" s="29">
        <v>55.0</v>
      </c>
      <c r="C717" s="31">
        <v>29.0</v>
      </c>
      <c r="D717" s="31">
        <v>6.0</v>
      </c>
      <c r="E717" s="32">
        <v>-1.6509434082046461</v>
      </c>
      <c r="F717" s="32">
        <v>-2.1078380044003917</v>
      </c>
      <c r="G717" s="32">
        <v>-1.8611790447433314</v>
      </c>
      <c r="H717" s="32">
        <v>-1.8063108447566063</v>
      </c>
      <c r="I717" s="32">
        <v>-1.72461069241107</v>
      </c>
      <c r="J717" s="32">
        <v>-0.7871777123417198</v>
      </c>
      <c r="K717" s="32">
        <v>-2.0481560580838196</v>
      </c>
      <c r="L717" s="32">
        <v>0.0</v>
      </c>
      <c r="M717" s="32">
        <v>0.494424505633886</v>
      </c>
      <c r="N717" s="32">
        <v>-1.7775739765107113</v>
      </c>
      <c r="O717" s="34" t="s">
        <v>69</v>
      </c>
      <c r="P717" s="34" t="s">
        <v>69</v>
      </c>
      <c r="Q717" s="34" t="s">
        <v>69</v>
      </c>
      <c r="R717" s="34" t="s">
        <v>69</v>
      </c>
    </row>
    <row r="718">
      <c r="A718" s="27" t="s">
        <v>758</v>
      </c>
      <c r="B718" s="35">
        <v>55.0</v>
      </c>
      <c r="C718" s="36">
        <v>26.0</v>
      </c>
      <c r="D718" s="36">
        <v>5.0</v>
      </c>
      <c r="E718" s="37">
        <v>-2.4306407379576638</v>
      </c>
      <c r="F718" s="37">
        <v>-1.7911638067264855</v>
      </c>
      <c r="G718" s="37">
        <v>-1.8054525719668468</v>
      </c>
      <c r="H718" s="37">
        <v>-1.184601056235557</v>
      </c>
      <c r="I718" s="37">
        <v>-1.6312658019644335</v>
      </c>
      <c r="J718" s="37" t="s">
        <v>69</v>
      </c>
      <c r="K718" s="37">
        <v>-2.79572825201448</v>
      </c>
      <c r="L718" s="37">
        <v>0.0</v>
      </c>
      <c r="M718" s="37">
        <v>-0.8354900445796507</v>
      </c>
      <c r="N718" s="37">
        <v>-0.8767166444960106</v>
      </c>
      <c r="O718" s="34" t="s">
        <v>69</v>
      </c>
      <c r="P718" s="34" t="s">
        <v>69</v>
      </c>
      <c r="Q718" s="34" t="s">
        <v>69</v>
      </c>
      <c r="R718" s="34" t="s">
        <v>69</v>
      </c>
    </row>
    <row r="719">
      <c r="A719" s="27" t="s">
        <v>759</v>
      </c>
      <c r="B719" s="29">
        <v>78.48875</v>
      </c>
      <c r="C719" s="31">
        <v>27.0</v>
      </c>
      <c r="D719" s="31">
        <v>6.0</v>
      </c>
      <c r="E719" s="32">
        <v>-1.0176964242274533</v>
      </c>
      <c r="F719" s="32">
        <v>-1.3734818692491202</v>
      </c>
      <c r="G719" s="32">
        <v>-4.0992872636683</v>
      </c>
      <c r="H719" s="32">
        <v>-2.2809010949364006</v>
      </c>
      <c r="I719" s="32">
        <v>-1.4429597280390996</v>
      </c>
      <c r="J719" s="32">
        <v>-0.23298813944449023</v>
      </c>
      <c r="K719" s="32">
        <v>-0.9589405337555142</v>
      </c>
      <c r="L719" s="32">
        <v>0.0</v>
      </c>
      <c r="M719" s="32">
        <v>-0.8186093652803154</v>
      </c>
      <c r="N719" s="32">
        <v>-1.1364914476632024</v>
      </c>
      <c r="O719" s="34" t="s">
        <v>69</v>
      </c>
      <c r="P719" s="34" t="s">
        <v>69</v>
      </c>
      <c r="Q719" s="34" t="s">
        <v>69</v>
      </c>
      <c r="R719" s="34" t="s">
        <v>69</v>
      </c>
    </row>
    <row r="720">
      <c r="A720" s="27" t="s">
        <v>760</v>
      </c>
      <c r="B720" s="35">
        <v>66.8</v>
      </c>
      <c r="C720" s="36">
        <v>31.0</v>
      </c>
      <c r="D720" s="36">
        <v>7.0</v>
      </c>
      <c r="E720" s="37">
        <v>-0.9215491319840811</v>
      </c>
      <c r="F720" s="37">
        <v>-2.0428791946211287</v>
      </c>
      <c r="G720" s="37">
        <v>-1.0992733546282556</v>
      </c>
      <c r="H720" s="37">
        <v>-2.042560564394605</v>
      </c>
      <c r="I720" s="37">
        <v>-1.1412051271195918</v>
      </c>
      <c r="J720" s="37">
        <v>-0.7871777123417198</v>
      </c>
      <c r="K720" s="37">
        <v>-1.8963413971625167</v>
      </c>
      <c r="L720" s="37">
        <v>0.0</v>
      </c>
      <c r="M720" s="37">
        <v>-1.6039306552577342</v>
      </c>
      <c r="N720" s="37">
        <v>-1.8314458435414906</v>
      </c>
      <c r="O720" s="34" t="s">
        <v>69</v>
      </c>
      <c r="P720" s="34" t="s">
        <v>69</v>
      </c>
      <c r="Q720" s="34" t="s">
        <v>69</v>
      </c>
      <c r="R720" s="34" t="s">
        <v>69</v>
      </c>
    </row>
    <row r="721">
      <c r="A721" s="27" t="s">
        <v>761</v>
      </c>
      <c r="B721" s="29">
        <v>79.67916666666666</v>
      </c>
      <c r="C721" s="31">
        <v>27.0</v>
      </c>
      <c r="D721" s="31">
        <v>6.0</v>
      </c>
      <c r="E721" s="32">
        <v>-1.9100380717778767</v>
      </c>
      <c r="F721" s="32">
        <v>-0.9396187187660019</v>
      </c>
      <c r="G721" s="32">
        <v>-4.31033299278602</v>
      </c>
      <c r="H721" s="32">
        <v>-1.002520494586101</v>
      </c>
      <c r="I721" s="32">
        <v>-1.1599455175524227</v>
      </c>
      <c r="J721" s="32">
        <v>-0.7365739132293332</v>
      </c>
      <c r="K721" s="32">
        <v>-1.9258141261983721</v>
      </c>
      <c r="L721" s="32">
        <v>0.0</v>
      </c>
      <c r="M721" s="32">
        <v>-1.6684868368237047</v>
      </c>
      <c r="N721" s="32">
        <v>0.27684760722312823</v>
      </c>
      <c r="O721" s="34" t="s">
        <v>69</v>
      </c>
      <c r="P721" s="34" t="s">
        <v>69</v>
      </c>
      <c r="Q721" s="34" t="s">
        <v>69</v>
      </c>
      <c r="R721" s="34" t="s">
        <v>69</v>
      </c>
    </row>
    <row r="722">
      <c r="A722" s="27" t="s">
        <v>762</v>
      </c>
      <c r="B722" s="35">
        <v>76.0495</v>
      </c>
      <c r="C722" s="36">
        <v>31.0</v>
      </c>
      <c r="D722" s="36">
        <v>7.0</v>
      </c>
      <c r="E722" s="37">
        <v>-1.5290388455520525</v>
      </c>
      <c r="F722" s="37">
        <v>-1.0300704058734456</v>
      </c>
      <c r="G722" s="37">
        <v>-2.6243986194092046</v>
      </c>
      <c r="H722" s="37">
        <v>-1.1047194037692105</v>
      </c>
      <c r="I722" s="37">
        <v>-1.1256084241395234</v>
      </c>
      <c r="J722" s="37">
        <v>-0.6887969356788127</v>
      </c>
      <c r="K722" s="37">
        <v>-1.6796325311973113</v>
      </c>
      <c r="L722" s="37">
        <v>0.0</v>
      </c>
      <c r="M722" s="37">
        <v>-1.6505839701456324</v>
      </c>
      <c r="N722" s="37">
        <v>-1.976793298704447</v>
      </c>
      <c r="O722" s="34" t="s">
        <v>69</v>
      </c>
      <c r="P722" s="34" t="s">
        <v>69</v>
      </c>
      <c r="Q722" s="34" t="s">
        <v>69</v>
      </c>
      <c r="R722" s="34" t="s">
        <v>69</v>
      </c>
    </row>
    <row r="723">
      <c r="A723" s="27" t="s">
        <v>763</v>
      </c>
      <c r="B723" s="29">
        <v>63.0</v>
      </c>
      <c r="C723" s="31">
        <v>34.0</v>
      </c>
      <c r="D723" s="31">
        <v>7.0</v>
      </c>
      <c r="E723" s="32">
        <v>-2.4054892111914374</v>
      </c>
      <c r="F723" s="32">
        <v>-2.026639492176313</v>
      </c>
      <c r="G723" s="32">
        <v>-1.148337392218875</v>
      </c>
      <c r="H723" s="32">
        <v>-1.5576269293481866</v>
      </c>
      <c r="I723" s="32">
        <v>-1.72461069241107</v>
      </c>
      <c r="J723" s="32">
        <v>-0.7871777123417198</v>
      </c>
      <c r="K723" s="32">
        <v>-3.01424935485575</v>
      </c>
      <c r="L723" s="32">
        <v>0.0</v>
      </c>
      <c r="M723" s="32">
        <v>-0.07934448367241637</v>
      </c>
      <c r="N723" s="32">
        <v>-0.6702078208780229</v>
      </c>
      <c r="O723" s="34" t="s">
        <v>69</v>
      </c>
      <c r="P723" s="34" t="s">
        <v>69</v>
      </c>
      <c r="Q723" s="34" t="s">
        <v>69</v>
      </c>
      <c r="R723" s="34" t="s">
        <v>69</v>
      </c>
    </row>
    <row r="724">
      <c r="A724" s="27" t="s">
        <v>764</v>
      </c>
      <c r="B724" s="35">
        <v>69.4</v>
      </c>
      <c r="C724" s="36">
        <v>24.0</v>
      </c>
      <c r="D724" s="36">
        <v>7.0</v>
      </c>
      <c r="E724" s="37">
        <v>-1.5000342476072879</v>
      </c>
      <c r="F724" s="37">
        <v>-1.571927823721473</v>
      </c>
      <c r="G724" s="37">
        <v>-1.4961052358117968</v>
      </c>
      <c r="H724" s="37">
        <v>-1.6695346912819755</v>
      </c>
      <c r="I724" s="37">
        <v>-1.374567353236183</v>
      </c>
      <c r="J724" s="37">
        <v>-0.7871777123417198</v>
      </c>
      <c r="K724" s="37">
        <v>-1.5145045227240868</v>
      </c>
      <c r="L724" s="37">
        <v>0.0</v>
      </c>
      <c r="M724" s="37">
        <v>-1.8375366009038714</v>
      </c>
      <c r="N724" s="37">
        <v>-1.6937732944628323</v>
      </c>
      <c r="O724" s="34" t="s">
        <v>69</v>
      </c>
      <c r="P724" s="34" t="s">
        <v>69</v>
      </c>
      <c r="Q724" s="34" t="s">
        <v>69</v>
      </c>
      <c r="R724" s="34" t="s">
        <v>69</v>
      </c>
    </row>
    <row r="725">
      <c r="A725" s="27" t="s">
        <v>765</v>
      </c>
      <c r="B725" s="29">
        <v>70.4</v>
      </c>
      <c r="C725" s="31">
        <v>21.0</v>
      </c>
      <c r="D725" s="31">
        <v>7.0</v>
      </c>
      <c r="E725" s="32">
        <v>-1.7968222634487592</v>
      </c>
      <c r="F725" s="32">
        <v>-2.0428791946211287</v>
      </c>
      <c r="G725" s="32">
        <v>-1.474014570872605</v>
      </c>
      <c r="H725" s="32">
        <v>-0.8364435746637692</v>
      </c>
      <c r="I725" s="32">
        <v>-1.5752588676964516</v>
      </c>
      <c r="J725" s="32">
        <v>-0.7871777123417198</v>
      </c>
      <c r="K725" s="32">
        <v>-2.5358031507401275</v>
      </c>
      <c r="L725" s="32">
        <v>0.21838984630161712</v>
      </c>
      <c r="M725" s="32">
        <v>-0.5670481245827733</v>
      </c>
      <c r="N725" s="32">
        <v>-2.070876363678288</v>
      </c>
      <c r="O725" s="34" t="s">
        <v>69</v>
      </c>
      <c r="P725" s="34" t="s">
        <v>69</v>
      </c>
      <c r="Q725" s="34" t="s">
        <v>69</v>
      </c>
      <c r="R725" s="34" t="s">
        <v>69</v>
      </c>
    </row>
    <row r="726">
      <c r="A726" s="27" t="s">
        <v>766</v>
      </c>
      <c r="B726" s="35">
        <v>71.14285714285714</v>
      </c>
      <c r="C726" s="36">
        <v>18.0</v>
      </c>
      <c r="D726" s="36">
        <v>6.0</v>
      </c>
      <c r="E726" s="37">
        <v>-2.2725454268556695</v>
      </c>
      <c r="F726" s="37">
        <v>-1.4837694390210452</v>
      </c>
      <c r="G726" s="37">
        <v>-1.37907362582304</v>
      </c>
      <c r="H726" s="37">
        <v>-1.1135485089760084</v>
      </c>
      <c r="I726" s="37">
        <v>-1.7059417143217428</v>
      </c>
      <c r="J726" s="37">
        <v>-0.7871777123417198</v>
      </c>
      <c r="K726" s="37">
        <v>-2.0152957418670874</v>
      </c>
      <c r="L726" s="37">
        <v>0.0</v>
      </c>
      <c r="M726" s="37">
        <v>-1.8217286797699224</v>
      </c>
      <c r="N726" s="37">
        <v>-0.8968117060074918</v>
      </c>
      <c r="O726" s="34" t="s">
        <v>69</v>
      </c>
      <c r="P726" s="34" t="s">
        <v>69</v>
      </c>
      <c r="Q726" s="34" t="s">
        <v>69</v>
      </c>
      <c r="R726" s="34" t="s">
        <v>69</v>
      </c>
    </row>
    <row r="727">
      <c r="A727" s="27" t="s">
        <v>767</v>
      </c>
      <c r="B727" s="29">
        <v>72.0</v>
      </c>
      <c r="C727" s="31">
        <v>25.0</v>
      </c>
      <c r="D727" s="31">
        <v>6.0</v>
      </c>
      <c r="E727" s="32">
        <v>-1.6509434082046461</v>
      </c>
      <c r="F727" s="32">
        <v>-1.6531263359455517</v>
      </c>
      <c r="G727" s="32">
        <v>-1.581771038414479</v>
      </c>
      <c r="H727" s="32">
        <v>-1.8933502151495532</v>
      </c>
      <c r="I727" s="32">
        <v>-1.2578862401778874</v>
      </c>
      <c r="J727" s="32">
        <v>-0.16952108464970286</v>
      </c>
      <c r="K727" s="32">
        <v>-1.8779396200811462</v>
      </c>
      <c r="L727" s="32">
        <v>0.0</v>
      </c>
      <c r="M727" s="32">
        <v>-2.1490111950987214</v>
      </c>
      <c r="N727" s="32">
        <v>-1.2687841212200166</v>
      </c>
      <c r="O727" s="34" t="s">
        <v>69</v>
      </c>
      <c r="P727" s="34" t="s">
        <v>69</v>
      </c>
      <c r="Q727" s="34" t="s">
        <v>69</v>
      </c>
      <c r="R727" s="34" t="s">
        <v>69</v>
      </c>
    </row>
    <row r="728">
      <c r="A728" s="27" t="s">
        <v>768</v>
      </c>
      <c r="B728" s="35">
        <v>75.4695</v>
      </c>
      <c r="C728" s="36">
        <v>21.0</v>
      </c>
      <c r="D728" s="36">
        <v>7.0</v>
      </c>
      <c r="E728" s="37">
        <v>-1.2626111000036693</v>
      </c>
      <c r="F728" s="37">
        <v>-1.1939491768542654</v>
      </c>
      <c r="G728" s="37">
        <v>-1.9557417150796688</v>
      </c>
      <c r="H728" s="37">
        <v>-1.8483889253757209</v>
      </c>
      <c r="I728" s="37">
        <v>-1.236497757831356</v>
      </c>
      <c r="J728" s="37">
        <v>-0.7847977461003892</v>
      </c>
      <c r="K728" s="37">
        <v>-1.7775828941226195</v>
      </c>
      <c r="L728" s="37">
        <v>0.0</v>
      </c>
      <c r="M728" s="37">
        <v>-1.4361539342361054</v>
      </c>
      <c r="N728" s="37">
        <v>-2.025862385858361</v>
      </c>
      <c r="O728" s="34" t="s">
        <v>69</v>
      </c>
      <c r="P728" s="34" t="s">
        <v>69</v>
      </c>
      <c r="Q728" s="34" t="s">
        <v>69</v>
      </c>
      <c r="R728" s="34" t="s">
        <v>69</v>
      </c>
    </row>
    <row r="729">
      <c r="A729" s="27" t="s">
        <v>769</v>
      </c>
      <c r="B729" s="29">
        <v>68.8</v>
      </c>
      <c r="C729" s="31">
        <v>31.0</v>
      </c>
      <c r="D729" s="31">
        <v>7.0</v>
      </c>
      <c r="E729" s="32">
        <v>-1.3994281405423823</v>
      </c>
      <c r="F729" s="32">
        <v>-1.8317630628385246</v>
      </c>
      <c r="G729" s="32">
        <v>-1.7590194832685253</v>
      </c>
      <c r="H729" s="32">
        <v>-1.1721668604651359</v>
      </c>
      <c r="I729" s="32">
        <v>-1.4912484662944787</v>
      </c>
      <c r="J729" s="32">
        <v>-0.7871777123417198</v>
      </c>
      <c r="K729" s="32">
        <v>-2.2183724960864932</v>
      </c>
      <c r="L729" s="32">
        <v>0.0</v>
      </c>
      <c r="M729" s="32">
        <v>-1.2227841123614047</v>
      </c>
      <c r="N729" s="32">
        <v>-1.6698302424491525</v>
      </c>
      <c r="O729" s="34" t="s">
        <v>69</v>
      </c>
      <c r="P729" s="34" t="s">
        <v>69</v>
      </c>
      <c r="Q729" s="34" t="s">
        <v>69</v>
      </c>
      <c r="R729" s="34" t="s">
        <v>69</v>
      </c>
    </row>
    <row r="730">
      <c r="A730" s="27" t="s">
        <v>770</v>
      </c>
      <c r="B730" s="35">
        <v>75.0</v>
      </c>
      <c r="C730" s="36">
        <v>28.0</v>
      </c>
      <c r="D730" s="36">
        <v>7.0</v>
      </c>
      <c r="E730" s="37">
        <v>-1.3994281405423823</v>
      </c>
      <c r="F730" s="37">
        <v>-1.133455857711449</v>
      </c>
      <c r="G730" s="37">
        <v>-1.4733439371068846</v>
      </c>
      <c r="H730" s="37">
        <v>-1.8063108447566063</v>
      </c>
      <c r="I730" s="37">
        <v>-0.9078429010030005</v>
      </c>
      <c r="J730" s="37">
        <v>-0.7871777123417198</v>
      </c>
      <c r="K730" s="37">
        <v>-1.9561471726769692</v>
      </c>
      <c r="L730" s="37">
        <v>0.0</v>
      </c>
      <c r="M730" s="37">
        <v>-2.4358956897518724</v>
      </c>
      <c r="N730" s="37">
        <v>-1.6578587164423126</v>
      </c>
      <c r="O730" s="34" t="s">
        <v>69</v>
      </c>
      <c r="P730" s="34" t="s">
        <v>69</v>
      </c>
      <c r="Q730" s="34" t="s">
        <v>69</v>
      </c>
      <c r="R730" s="34" t="s">
        <v>69</v>
      </c>
    </row>
    <row r="731">
      <c r="A731" s="27" t="s">
        <v>771</v>
      </c>
      <c r="B731" s="29">
        <v>77.42857142857143</v>
      </c>
      <c r="C731" s="31">
        <v>18.0</v>
      </c>
      <c r="D731" s="31">
        <v>6.0</v>
      </c>
      <c r="E731" s="32">
        <v>-2.0857055137351304</v>
      </c>
      <c r="F731" s="32">
        <v>-1.5371284613397251</v>
      </c>
      <c r="G731" s="32">
        <v>-2.554946406429019</v>
      </c>
      <c r="H731" s="32">
        <v>-1.584271634570517</v>
      </c>
      <c r="I731" s="32">
        <v>-1.72461069241107</v>
      </c>
      <c r="J731" s="32">
        <v>-0.16952108464970286</v>
      </c>
      <c r="K731" s="32">
        <v>-2.1572523079233714</v>
      </c>
      <c r="L731" s="32">
        <v>0.0</v>
      </c>
      <c r="M731" s="32">
        <v>-1.8433913865090379</v>
      </c>
      <c r="N731" s="32">
        <v>0.07202679154604932</v>
      </c>
      <c r="O731" s="34" t="s">
        <v>69</v>
      </c>
      <c r="P731" s="34" t="s">
        <v>69</v>
      </c>
      <c r="Q731" s="34" t="s">
        <v>69</v>
      </c>
      <c r="R731" s="34" t="s">
        <v>69</v>
      </c>
    </row>
    <row r="732">
      <c r="A732" s="27" t="s">
        <v>772</v>
      </c>
      <c r="B732" s="35">
        <v>67.6</v>
      </c>
      <c r="C732" s="36">
        <v>25.0</v>
      </c>
      <c r="D732" s="36">
        <v>6.0</v>
      </c>
      <c r="E732" s="37">
        <v>-1.8018525688020044</v>
      </c>
      <c r="F732" s="37">
        <v>-2.0103997897314976</v>
      </c>
      <c r="G732" s="37">
        <v>-2.2505999518055226</v>
      </c>
      <c r="H732" s="37">
        <v>-2.3907180459663926</v>
      </c>
      <c r="I732" s="37">
        <v>-1.72461069241107</v>
      </c>
      <c r="J732" s="37">
        <v>-0.16952108464970286</v>
      </c>
      <c r="K732" s="37">
        <v>-2.747423587175884</v>
      </c>
      <c r="L732" s="37">
        <v>0.10122514417925021</v>
      </c>
      <c r="M732" s="37">
        <v>0.18294991143903638</v>
      </c>
      <c r="N732" s="37">
        <v>-0.8258376589669413</v>
      </c>
      <c r="O732" s="34" t="s">
        <v>69</v>
      </c>
      <c r="P732" s="34" t="s">
        <v>69</v>
      </c>
      <c r="Q732" s="34" t="s">
        <v>69</v>
      </c>
      <c r="R732" s="34" t="s">
        <v>69</v>
      </c>
    </row>
    <row r="733">
      <c r="A733" s="27" t="s">
        <v>774</v>
      </c>
      <c r="B733" s="29">
        <v>69.6</v>
      </c>
      <c r="C733" s="31">
        <v>23.0</v>
      </c>
      <c r="D733" s="31">
        <v>6.0</v>
      </c>
      <c r="E733" s="32">
        <v>-1.3239735602437033</v>
      </c>
      <c r="F733" s="32">
        <v>-1.425770501718132</v>
      </c>
      <c r="G733" s="32">
        <v>-1.283734380878426</v>
      </c>
      <c r="H733" s="32">
        <v>-2.22907350095092</v>
      </c>
      <c r="I733" s="32">
        <v>-1.1412051271195918</v>
      </c>
      <c r="J733" s="32">
        <v>-0.7871777123417198</v>
      </c>
      <c r="K733" s="32">
        <v>-1.7859307346742959</v>
      </c>
      <c r="L733" s="32">
        <v>0.07923477215928644</v>
      </c>
      <c r="M733" s="32">
        <v>-2.2801583926544478</v>
      </c>
      <c r="N733" s="32">
        <v>-1.4782858263397145</v>
      </c>
      <c r="O733" s="34" t="s">
        <v>69</v>
      </c>
      <c r="P733" s="34" t="s">
        <v>69</v>
      </c>
      <c r="Q733" s="34" t="s">
        <v>69</v>
      </c>
      <c r="R733" s="34" t="s">
        <v>69</v>
      </c>
    </row>
    <row r="734">
      <c r="A734" s="27" t="s">
        <v>775</v>
      </c>
      <c r="B734" s="35">
        <v>63.2</v>
      </c>
      <c r="C734" s="36">
        <v>25.0</v>
      </c>
      <c r="D734" s="36">
        <v>6.0</v>
      </c>
      <c r="E734" s="37">
        <v>-2.0030647829318156</v>
      </c>
      <c r="F734" s="37">
        <v>-2.026639492176313</v>
      </c>
      <c r="G734" s="37">
        <v>-1.202027066496281</v>
      </c>
      <c r="H734" s="37">
        <v>-1.5078901462665024</v>
      </c>
      <c r="I734" s="37">
        <v>-1.72461069241107</v>
      </c>
      <c r="J734" s="37">
        <v>-0.16952108464970286</v>
      </c>
      <c r="K734" s="37">
        <v>-2.4069907111705366</v>
      </c>
      <c r="L734" s="37">
        <v>0.0</v>
      </c>
      <c r="M734" s="37">
        <v>-0.81294911999976</v>
      </c>
      <c r="N734" s="37">
        <v>-1.8374316065449108</v>
      </c>
      <c r="O734" s="34" t="s">
        <v>69</v>
      </c>
      <c r="P734" s="34" t="s">
        <v>69</v>
      </c>
      <c r="Q734" s="34" t="s">
        <v>69</v>
      </c>
      <c r="R734" s="34" t="s">
        <v>69</v>
      </c>
    </row>
    <row r="735">
      <c r="A735" s="27" t="s">
        <v>776</v>
      </c>
      <c r="B735" s="29">
        <v>62.285714285714285</v>
      </c>
      <c r="C735" s="31">
        <v>23.0</v>
      </c>
      <c r="D735" s="31">
        <v>6.0</v>
      </c>
      <c r="E735" s="32">
        <v>-2.2725454268556695</v>
      </c>
      <c r="F735" s="32">
        <v>-1.5765677387057062</v>
      </c>
      <c r="G735" s="32">
        <v>-0.8883533309052623</v>
      </c>
      <c r="H735" s="32">
        <v>-1.646442613422622</v>
      </c>
      <c r="I735" s="32">
        <v>-1.5285864224731334</v>
      </c>
      <c r="J735" s="32">
        <v>-0.7871777123417198</v>
      </c>
      <c r="K735" s="32">
        <v>-2.4017330605758596</v>
      </c>
      <c r="L735" s="32">
        <v>0.0</v>
      </c>
      <c r="M735" s="32">
        <v>-1.7011200963034956</v>
      </c>
      <c r="N735" s="32">
        <v>-0.8916810520045605</v>
      </c>
      <c r="O735" s="34" t="s">
        <v>69</v>
      </c>
      <c r="P735" s="34" t="s">
        <v>69</v>
      </c>
      <c r="Q735" s="34" t="s">
        <v>69</v>
      </c>
      <c r="R735" s="34" t="s">
        <v>69</v>
      </c>
    </row>
    <row r="736">
      <c r="A736" s="27" t="s">
        <v>777</v>
      </c>
      <c r="B736" s="35">
        <v>73.6</v>
      </c>
      <c r="C736" s="36">
        <v>29.0</v>
      </c>
      <c r="D736" s="36">
        <v>6.0</v>
      </c>
      <c r="E736" s="37">
        <v>-2.2696709666538153</v>
      </c>
      <c r="F736" s="37">
        <v>-1.7797960150151144</v>
      </c>
      <c r="G736" s="37">
        <v>-1.8740964457180336</v>
      </c>
      <c r="H736" s="37">
        <v>-0.40124672269903455</v>
      </c>
      <c r="I736" s="37">
        <v>-1.72461069241107</v>
      </c>
      <c r="J736" s="37">
        <v>-0.7871777123417198</v>
      </c>
      <c r="K736" s="37">
        <v>-2.347184935656084</v>
      </c>
      <c r="L736" s="37">
        <v>0.0</v>
      </c>
      <c r="M736" s="37">
        <v>-1.909667559559521</v>
      </c>
      <c r="N736" s="37">
        <v>-0.665419210475287</v>
      </c>
      <c r="O736" s="34" t="s">
        <v>69</v>
      </c>
      <c r="P736" s="34" t="s">
        <v>69</v>
      </c>
      <c r="Q736" s="34" t="s">
        <v>69</v>
      </c>
      <c r="R736" s="34" t="s">
        <v>69</v>
      </c>
    </row>
    <row r="737">
      <c r="A737" s="27" t="s">
        <v>778</v>
      </c>
      <c r="B737" s="29">
        <v>70.6</v>
      </c>
      <c r="C737" s="31">
        <v>29.0</v>
      </c>
      <c r="D737" s="31">
        <v>7.0</v>
      </c>
      <c r="E737" s="32">
        <v>-1.7263979885033252</v>
      </c>
      <c r="F737" s="32">
        <v>-1.8480027652833402</v>
      </c>
      <c r="G737" s="32">
        <v>-0.7499950082928318</v>
      </c>
      <c r="H737" s="32">
        <v>-2.539928395211444</v>
      </c>
      <c r="I737" s="32">
        <v>-1.4912484662944787</v>
      </c>
      <c r="J737" s="32">
        <v>-0.16952108464970286</v>
      </c>
      <c r="K737" s="32">
        <v>-2.4713969309553323</v>
      </c>
      <c r="L737" s="32">
        <v>0.0</v>
      </c>
      <c r="M737" s="32">
        <v>-0.9645880671735687</v>
      </c>
      <c r="N737" s="32">
        <v>-1.8494031325517506</v>
      </c>
      <c r="O737" s="34" t="s">
        <v>69</v>
      </c>
      <c r="P737" s="34" t="s">
        <v>69</v>
      </c>
      <c r="Q737" s="34" t="s">
        <v>69</v>
      </c>
      <c r="R737" s="34" t="s">
        <v>69</v>
      </c>
    </row>
    <row r="738">
      <c r="A738" s="27" t="s">
        <v>779</v>
      </c>
      <c r="B738" s="35">
        <v>74.2</v>
      </c>
      <c r="C738" s="36">
        <v>28.0</v>
      </c>
      <c r="D738" s="36">
        <v>7.0</v>
      </c>
      <c r="E738" s="37">
        <v>-1.8773071491006836</v>
      </c>
      <c r="F738" s="37">
        <v>-1.360811691938869</v>
      </c>
      <c r="G738" s="37">
        <v>-0.8359860268965907</v>
      </c>
      <c r="H738" s="37">
        <v>-1.5203243420369235</v>
      </c>
      <c r="I738" s="37">
        <v>-1.4912484662944787</v>
      </c>
      <c r="J738" s="37">
        <v>-0.7871777123417198</v>
      </c>
      <c r="K738" s="37">
        <v>-2.462196042414647</v>
      </c>
      <c r="L738" s="37">
        <v>0.0</v>
      </c>
      <c r="M738" s="37">
        <v>-1.6817993038064467</v>
      </c>
      <c r="N738" s="37">
        <v>-1.807502791527811</v>
      </c>
      <c r="O738" s="34" t="s">
        <v>69</v>
      </c>
      <c r="P738" s="34" t="s">
        <v>69</v>
      </c>
      <c r="Q738" s="34" t="s">
        <v>69</v>
      </c>
      <c r="R738" s="34" t="s">
        <v>69</v>
      </c>
    </row>
    <row r="739">
      <c r="A739" s="27" t="s">
        <v>780</v>
      </c>
      <c r="B739" s="29">
        <v>73.57142857142857</v>
      </c>
      <c r="C739" s="31">
        <v>24.0</v>
      </c>
      <c r="D739" s="31">
        <v>7.0</v>
      </c>
      <c r="E739" s="32">
        <v>-2.2689523516033514</v>
      </c>
      <c r="F739" s="32">
        <v>-1.3236923720650047</v>
      </c>
      <c r="G739" s="32">
        <v>-1.3931136705464766</v>
      </c>
      <c r="H739" s="32">
        <v>-2.0283500549426954</v>
      </c>
      <c r="I739" s="32">
        <v>-1.72461069241107</v>
      </c>
      <c r="J739" s="32">
        <v>-0.7871777123417198</v>
      </c>
      <c r="K739" s="32">
        <v>-2.48519826376636</v>
      </c>
      <c r="L739" s="32">
        <v>0.0</v>
      </c>
      <c r="M739" s="32">
        <v>-2.167161030474737</v>
      </c>
      <c r="N739" s="32">
        <v>0.33796569069799226</v>
      </c>
      <c r="O739" s="34" t="s">
        <v>69</v>
      </c>
      <c r="P739" s="34" t="s">
        <v>69</v>
      </c>
      <c r="Q739" s="34" t="s">
        <v>69</v>
      </c>
      <c r="R739" s="34" t="s">
        <v>69</v>
      </c>
    </row>
    <row r="740">
      <c r="A740" s="27" t="s">
        <v>781</v>
      </c>
      <c r="B740" s="35">
        <v>77.42857142857143</v>
      </c>
      <c r="C740" s="36">
        <v>27.0</v>
      </c>
      <c r="D740" s="36">
        <v>6.0</v>
      </c>
      <c r="E740" s="37">
        <v>-1.2592982057019784</v>
      </c>
      <c r="F740" s="37">
        <v>-0.8550609586574656</v>
      </c>
      <c r="G740" s="37">
        <v>-2.8720818551895566</v>
      </c>
      <c r="H740" s="37">
        <v>-1.8240739815714933</v>
      </c>
      <c r="I740" s="37">
        <v>-0.6184737406184271</v>
      </c>
      <c r="J740" s="37">
        <v>-0.7871777123417198</v>
      </c>
      <c r="K740" s="37">
        <v>-1.5973125195902522</v>
      </c>
      <c r="L740" s="37">
        <v>0.0</v>
      </c>
      <c r="M740" s="37">
        <v>-2.218683143800201</v>
      </c>
      <c r="N740" s="37">
        <v>-1.8220396445361167</v>
      </c>
      <c r="O740" s="34" t="s">
        <v>69</v>
      </c>
      <c r="P740" s="34" t="s">
        <v>69</v>
      </c>
      <c r="Q740" s="34" t="s">
        <v>69</v>
      </c>
      <c r="R740" s="34" t="s">
        <v>69</v>
      </c>
    </row>
    <row r="741">
      <c r="A741" s="27" t="s">
        <v>782</v>
      </c>
      <c r="B741" s="29">
        <v>50.8</v>
      </c>
      <c r="C741" s="31">
        <v>33.0</v>
      </c>
      <c r="D741" s="31">
        <v>6.0</v>
      </c>
      <c r="E741" s="32">
        <v>-2.013125393638306</v>
      </c>
      <c r="F741" s="32">
        <v>-2.2182679810251384</v>
      </c>
      <c r="G741" s="32">
        <v>-1.3181972719499149</v>
      </c>
      <c r="H741" s="32">
        <v>-0.898614553515874</v>
      </c>
      <c r="I741" s="32">
        <v>-1.5799261122187835</v>
      </c>
      <c r="J741" s="32">
        <v>-0.7871777123417198</v>
      </c>
      <c r="K741" s="32">
        <v>-2.917640025178557</v>
      </c>
      <c r="L741" s="32">
        <v>0.0</v>
      </c>
      <c r="M741" s="32">
        <v>0.008360204692975598</v>
      </c>
      <c r="N741" s="32">
        <v>-2.222914743965155</v>
      </c>
      <c r="O741" s="34" t="s">
        <v>69</v>
      </c>
      <c r="P741" s="34" t="s">
        <v>69</v>
      </c>
      <c r="Q741" s="34" t="s">
        <v>69</v>
      </c>
      <c r="R741" s="34" t="s">
        <v>69</v>
      </c>
    </row>
    <row r="742">
      <c r="A742" s="27" t="s">
        <v>783</v>
      </c>
      <c r="B742" s="35">
        <v>74.4</v>
      </c>
      <c r="C742" s="36">
        <v>29.0</v>
      </c>
      <c r="D742" s="36">
        <v>7.0</v>
      </c>
      <c r="E742" s="37">
        <v>-2.249549745240834</v>
      </c>
      <c r="F742" s="37">
        <v>-1.9454409799522345</v>
      </c>
      <c r="G742" s="37">
        <v>-2.351746280292923</v>
      </c>
      <c r="H742" s="37">
        <v>-1.3213772097101877</v>
      </c>
      <c r="I742" s="37">
        <v>-1.640600291009097</v>
      </c>
      <c r="J742" s="37">
        <v>-0.16952108464970286</v>
      </c>
      <c r="K742" s="37">
        <v>-2.5542049278214978</v>
      </c>
      <c r="L742" s="37">
        <v>0.0</v>
      </c>
      <c r="M742" s="37">
        <v>-1.538357056479871</v>
      </c>
      <c r="N742" s="37">
        <v>-0.21409268001742376</v>
      </c>
      <c r="O742" s="34" t="s">
        <v>69</v>
      </c>
      <c r="P742" s="34" t="s">
        <v>69</v>
      </c>
      <c r="Q742" s="34" t="s">
        <v>69</v>
      </c>
      <c r="R742" s="34" t="s">
        <v>69</v>
      </c>
    </row>
    <row r="743">
      <c r="A743" s="27" t="s">
        <v>784</v>
      </c>
      <c r="B743" s="29">
        <v>62.0</v>
      </c>
      <c r="C743" s="31">
        <v>29.0</v>
      </c>
      <c r="D743" s="31">
        <v>7.0</v>
      </c>
      <c r="E743" s="32">
        <v>-1.5251857743735142</v>
      </c>
      <c r="F743" s="32">
        <v>-2.026639492176313</v>
      </c>
      <c r="G743" s="32">
        <v>-1.7330026629978208</v>
      </c>
      <c r="H743" s="32">
        <v>-1.2467720350876619</v>
      </c>
      <c r="I743" s="32">
        <v>-1.72461069241107</v>
      </c>
      <c r="J743" s="32" t="s">
        <v>69</v>
      </c>
      <c r="K743" s="32">
        <v>-2.531202706469785</v>
      </c>
      <c r="L743" s="32">
        <v>0.0</v>
      </c>
      <c r="M743" s="32">
        <v>-1.8006514515913234</v>
      </c>
      <c r="N743" s="32">
        <v>-1.418428196305515</v>
      </c>
      <c r="O743" s="34" t="s">
        <v>69</v>
      </c>
      <c r="P743" s="34" t="s">
        <v>69</v>
      </c>
      <c r="Q743" s="34" t="s">
        <v>69</v>
      </c>
      <c r="R743" s="34" t="s">
        <v>69</v>
      </c>
    </row>
    <row r="744">
      <c r="A744" s="27" t="s">
        <v>785</v>
      </c>
      <c r="B744" s="35">
        <v>81.77777777777777</v>
      </c>
      <c r="C744" s="36">
        <v>31.0</v>
      </c>
      <c r="D744" s="36">
        <v>7.0</v>
      </c>
      <c r="E744" s="37">
        <v>-2.2322231379129893</v>
      </c>
      <c r="F744" s="37">
        <v>-1.3229190529009656</v>
      </c>
      <c r="G744" s="37">
        <v>-4.597096220164647</v>
      </c>
      <c r="H744" s="37">
        <v>-1.5534821974247128</v>
      </c>
      <c r="I744" s="37">
        <v>-1.6646032628382323</v>
      </c>
      <c r="J744" s="37">
        <v>-0.16952108464970286</v>
      </c>
      <c r="K744" s="37">
        <v>-1.8166003631432461</v>
      </c>
      <c r="L744" s="37">
        <v>0.0</v>
      </c>
      <c r="M744" s="37">
        <v>-1.8716895169340086</v>
      </c>
      <c r="N744" s="37">
        <v>1.2199631186463622</v>
      </c>
      <c r="O744" s="34" t="s">
        <v>69</v>
      </c>
      <c r="P744" s="34" t="s">
        <v>69</v>
      </c>
      <c r="Q744" s="34" t="s">
        <v>69</v>
      </c>
      <c r="R744" s="34" t="s">
        <v>69</v>
      </c>
    </row>
    <row r="745">
      <c r="A745" s="27" t="s">
        <v>786</v>
      </c>
      <c r="B745" s="29">
        <v>74.85714285714286</v>
      </c>
      <c r="C745" s="31">
        <v>33.0</v>
      </c>
      <c r="D745" s="31">
        <v>6.0</v>
      </c>
      <c r="E745" s="32">
        <v>-1.6545364834569642</v>
      </c>
      <c r="F745" s="32">
        <v>-1.6183269735638037</v>
      </c>
      <c r="G745" s="32">
        <v>-1.8852132901600773</v>
      </c>
      <c r="H745" s="32">
        <v>-1.7974292763491626</v>
      </c>
      <c r="I745" s="32">
        <v>-1.5005829553391423</v>
      </c>
      <c r="J745" s="32">
        <v>-0.16952108464970286</v>
      </c>
      <c r="K745" s="32">
        <v>-2.1874837988427647</v>
      </c>
      <c r="L745" s="32">
        <v>0.0</v>
      </c>
      <c r="M745" s="32">
        <v>-1.5635326345820864</v>
      </c>
      <c r="N745" s="32">
        <v>-1.6407565364325414</v>
      </c>
      <c r="O745" s="34" t="s">
        <v>69</v>
      </c>
      <c r="P745" s="34" t="s">
        <v>69</v>
      </c>
      <c r="Q745" s="34" t="s">
        <v>69</v>
      </c>
      <c r="R745" s="34" t="s">
        <v>69</v>
      </c>
    </row>
    <row r="746">
      <c r="A746" s="27" t="s">
        <v>787</v>
      </c>
      <c r="B746" s="35">
        <v>57.0</v>
      </c>
      <c r="C746" s="36">
        <v>29.0</v>
      </c>
      <c r="D746" s="36">
        <v>7.0</v>
      </c>
      <c r="E746" s="37">
        <v>-1.5503373011397406</v>
      </c>
      <c r="F746" s="37">
        <v>-1.8480027652833402</v>
      </c>
      <c r="G746" s="37">
        <v>-0.5238862061126488</v>
      </c>
      <c r="H746" s="37">
        <v>-2.117165739017131</v>
      </c>
      <c r="I746" s="37">
        <v>-1.537920911517797</v>
      </c>
      <c r="J746" s="37">
        <v>-0.7871777123417198</v>
      </c>
      <c r="K746" s="37">
        <v>-2.5634058163621827</v>
      </c>
      <c r="L746" s="37">
        <v>0.0</v>
      </c>
      <c r="M746" s="37">
        <v>-0.9236045679374042</v>
      </c>
      <c r="N746" s="37">
        <v>-2.2324919647706265</v>
      </c>
      <c r="O746" s="34" t="s">
        <v>69</v>
      </c>
      <c r="P746" s="34" t="s">
        <v>69</v>
      </c>
      <c r="Q746" s="34" t="s">
        <v>69</v>
      </c>
      <c r="R746" s="34" t="s">
        <v>69</v>
      </c>
    </row>
    <row r="747">
      <c r="A747" s="27" t="s">
        <v>788</v>
      </c>
      <c r="B747" s="29">
        <v>64.0</v>
      </c>
      <c r="C747" s="31">
        <v>31.0</v>
      </c>
      <c r="D747" s="31">
        <v>7.0</v>
      </c>
      <c r="E747" s="32">
        <v>-1.6509434082046461</v>
      </c>
      <c r="F747" s="32">
        <v>-1.9454409799522345</v>
      </c>
      <c r="G747" s="32">
        <v>-2.005719975617314</v>
      </c>
      <c r="H747" s="32">
        <v>-1.8063108447566063</v>
      </c>
      <c r="I747" s="32">
        <v>-1.4912484662944787</v>
      </c>
      <c r="J747" s="32">
        <v>-0.16952108464970286</v>
      </c>
      <c r="K747" s="32">
        <v>-2.416191599711222</v>
      </c>
      <c r="L747" s="32">
        <v>0.0</v>
      </c>
      <c r="M747" s="32">
        <v>-0.9809814668680344</v>
      </c>
      <c r="N747" s="32">
        <v>-1.6578587164423126</v>
      </c>
      <c r="O747" s="34" t="s">
        <v>69</v>
      </c>
      <c r="P747" s="34" t="s">
        <v>69</v>
      </c>
      <c r="Q747" s="34" t="s">
        <v>69</v>
      </c>
      <c r="R747" s="34" t="s">
        <v>69</v>
      </c>
    </row>
    <row r="748">
      <c r="A748" s="27" t="s">
        <v>789</v>
      </c>
      <c r="B748" s="35">
        <v>74.4</v>
      </c>
      <c r="C748" s="36">
        <v>23.0</v>
      </c>
      <c r="D748" s="36">
        <v>6.0</v>
      </c>
      <c r="E748" s="37">
        <v>-1.8018525688020044</v>
      </c>
      <c r="F748" s="37">
        <v>-1.7862918959930405</v>
      </c>
      <c r="G748" s="37">
        <v>-2.0098994250526507</v>
      </c>
      <c r="H748" s="37">
        <v>-1.6197979082002913</v>
      </c>
      <c r="I748" s="37">
        <v>-1.5519226450847925</v>
      </c>
      <c r="J748" s="37">
        <v>-0.7871777123417198</v>
      </c>
      <c r="K748" s="37">
        <v>-2.1558064540098347</v>
      </c>
      <c r="L748" s="37">
        <v>0.0</v>
      </c>
      <c r="M748" s="37">
        <v>-0.33836019884497603</v>
      </c>
      <c r="N748" s="37">
        <v>-2.094819415691968</v>
      </c>
      <c r="O748" s="34" t="s">
        <v>69</v>
      </c>
      <c r="P748" s="34" t="s">
        <v>69</v>
      </c>
      <c r="Q748" s="34" t="s">
        <v>69</v>
      </c>
      <c r="R748" s="34" t="s">
        <v>69</v>
      </c>
    </row>
    <row r="749">
      <c r="A749" s="27" t="s">
        <v>790</v>
      </c>
      <c r="B749" s="29">
        <v>63.0</v>
      </c>
      <c r="C749" s="31">
        <v>29.0</v>
      </c>
      <c r="D749" s="31">
        <v>7.0</v>
      </c>
      <c r="E749" s="32">
        <v>-1.3994281405423823</v>
      </c>
      <c r="F749" s="32">
        <v>-2.026639492176313</v>
      </c>
      <c r="G749" s="32">
        <v>-1.7995786937859355</v>
      </c>
      <c r="H749" s="32">
        <v>-1.8063108447566063</v>
      </c>
      <c r="I749" s="32">
        <v>-1.72461069241107</v>
      </c>
      <c r="J749" s="32">
        <v>-0.7871777123417198</v>
      </c>
      <c r="K749" s="32">
        <v>-2.5772071491732103</v>
      </c>
      <c r="L749" s="32">
        <v>0.0</v>
      </c>
      <c r="M749" s="32">
        <v>0.08458951327224147</v>
      </c>
      <c r="N749" s="32">
        <v>-2.1367197567159075</v>
      </c>
      <c r="O749" s="34" t="s">
        <v>69</v>
      </c>
      <c r="P749" s="34" t="s">
        <v>69</v>
      </c>
      <c r="Q749" s="34" t="s">
        <v>69</v>
      </c>
      <c r="R749" s="34" t="s">
        <v>69</v>
      </c>
    </row>
    <row r="750">
      <c r="A750" s="27" t="s">
        <v>791</v>
      </c>
      <c r="B750" s="35">
        <v>75.14285714285714</v>
      </c>
      <c r="C750" s="36">
        <v>31.0</v>
      </c>
      <c r="D750" s="36">
        <v>7.0</v>
      </c>
      <c r="E750" s="37">
        <v>-2.1144501157536753</v>
      </c>
      <c r="F750" s="37">
        <v>-1.6832857833430668</v>
      </c>
      <c r="G750" s="37">
        <v>-3.510407261411773</v>
      </c>
      <c r="H750" s="37">
        <v>-0.8559830251601451</v>
      </c>
      <c r="I750" s="37">
        <v>-1.72461069241107</v>
      </c>
      <c r="J750" s="37">
        <v>-0.7871777123417198</v>
      </c>
      <c r="K750" s="37">
        <v>-2.061300184570513</v>
      </c>
      <c r="L750" s="37">
        <v>0.0</v>
      </c>
      <c r="M750" s="37">
        <v>-1.5986613482130843</v>
      </c>
      <c r="N750" s="37">
        <v>0.11307202356950061</v>
      </c>
      <c r="O750" s="34" t="s">
        <v>69</v>
      </c>
      <c r="P750" s="34" t="s">
        <v>69</v>
      </c>
      <c r="Q750" s="34" t="s">
        <v>69</v>
      </c>
      <c r="R750" s="34" t="s">
        <v>69</v>
      </c>
    </row>
    <row r="751">
      <c r="A751" s="27" t="s">
        <v>792</v>
      </c>
      <c r="B751" s="29">
        <v>65.0</v>
      </c>
      <c r="C751" s="31">
        <v>23.0</v>
      </c>
      <c r="D751" s="31">
        <v>6.0</v>
      </c>
      <c r="E751" s="32">
        <v>-1.776701042035778</v>
      </c>
      <c r="F751" s="32">
        <v>-1.3770513943836846</v>
      </c>
      <c r="G751" s="32">
        <v>-1.5823563597800419</v>
      </c>
      <c r="H751" s="32">
        <v>-2.117165739017131</v>
      </c>
      <c r="I751" s="32">
        <v>-1.2578862401778874</v>
      </c>
      <c r="J751" s="32">
        <v>-0.7871777123417198</v>
      </c>
      <c r="K751" s="32">
        <v>-2.3701871570077966</v>
      </c>
      <c r="L751" s="32">
        <v>0.0</v>
      </c>
      <c r="M751" s="32">
        <v>-2.3539286912795436</v>
      </c>
      <c r="N751" s="32">
        <v>-0.7001366358951225</v>
      </c>
      <c r="O751" s="34" t="s">
        <v>69</v>
      </c>
      <c r="P751" s="34" t="s">
        <v>69</v>
      </c>
      <c r="Q751" s="34" t="s">
        <v>69</v>
      </c>
      <c r="R751" s="34" t="s">
        <v>69</v>
      </c>
    </row>
    <row r="752">
      <c r="A752" s="27" t="s">
        <v>793</v>
      </c>
      <c r="B752" s="35">
        <v>65.0</v>
      </c>
      <c r="C752" s="36">
        <v>29.0</v>
      </c>
      <c r="D752" s="36">
        <v>7.0</v>
      </c>
      <c r="E752" s="37">
        <v>-1.776701042035778</v>
      </c>
      <c r="F752" s="37">
        <v>-1.9454409799522345</v>
      </c>
      <c r="G752" s="37">
        <v>-2.720265889286671</v>
      </c>
      <c r="H752" s="37">
        <v>-1.184601056235557</v>
      </c>
      <c r="I752" s="37">
        <v>-1.4912484662944787</v>
      </c>
      <c r="J752" s="37">
        <v>-0.16952108464970286</v>
      </c>
      <c r="K752" s="37">
        <v>-2.5082004851180724</v>
      </c>
      <c r="L752" s="37">
        <v>0.0</v>
      </c>
      <c r="M752" s="37">
        <v>-1.4727834577020078</v>
      </c>
      <c r="N752" s="37">
        <v>-1.1490688611516178</v>
      </c>
      <c r="O752" s="34" t="s">
        <v>69</v>
      </c>
      <c r="P752" s="34" t="s">
        <v>69</v>
      </c>
      <c r="Q752" s="34" t="s">
        <v>69</v>
      </c>
      <c r="R752" s="34" t="s">
        <v>69</v>
      </c>
    </row>
    <row r="753">
      <c r="A753" s="27" t="s">
        <v>794</v>
      </c>
      <c r="B753" s="29">
        <v>65.0</v>
      </c>
      <c r="C753" s="31">
        <v>29.0</v>
      </c>
      <c r="D753" s="31">
        <v>7.0</v>
      </c>
      <c r="E753" s="32">
        <v>-2.4054892111914374</v>
      </c>
      <c r="F753" s="32">
        <v>-2.026639492176313</v>
      </c>
      <c r="G753" s="32">
        <v>-1.6520364700892307</v>
      </c>
      <c r="H753" s="32">
        <v>-1.4954559504960816</v>
      </c>
      <c r="I753" s="32">
        <v>-1.72461069241107</v>
      </c>
      <c r="J753" s="32">
        <v>-0.7871777123417198</v>
      </c>
      <c r="K753" s="32">
        <v>-2.8072293626903364</v>
      </c>
      <c r="L753" s="32">
        <v>0.0</v>
      </c>
      <c r="M753" s="32">
        <v>-1.4727834577020078</v>
      </c>
      <c r="N753" s="32">
        <v>-0.10156033555312878</v>
      </c>
      <c r="O753" s="34" t="s">
        <v>69</v>
      </c>
      <c r="P753" s="34" t="s">
        <v>69</v>
      </c>
      <c r="Q753" s="34" t="s">
        <v>69</v>
      </c>
      <c r="R753" s="34" t="s">
        <v>69</v>
      </c>
    </row>
    <row r="754">
      <c r="A754" s="27" t="s">
        <v>795</v>
      </c>
      <c r="B754" s="35">
        <v>51.4</v>
      </c>
      <c r="C754" s="36">
        <v>24.0</v>
      </c>
      <c r="D754" s="36">
        <v>7.0</v>
      </c>
      <c r="E754" s="37">
        <v>-2.37027707371872</v>
      </c>
      <c r="F754" s="37">
        <v>-2.156557111734839</v>
      </c>
      <c r="G754" s="37">
        <v>-0.5332790774398088</v>
      </c>
      <c r="H754" s="37">
        <v>-1.2343378393172408</v>
      </c>
      <c r="I754" s="37">
        <v>-1.72461069241107</v>
      </c>
      <c r="J754" s="37">
        <v>-0.7871777123417198</v>
      </c>
      <c r="K754" s="37">
        <v>-2.8881971818483647</v>
      </c>
      <c r="L754" s="37">
        <v>0.0</v>
      </c>
      <c r="M754" s="37">
        <v>-1.4604884079311586</v>
      </c>
      <c r="N754" s="37">
        <v>-1.3298389038549</v>
      </c>
      <c r="O754" s="34" t="s">
        <v>69</v>
      </c>
      <c r="P754" s="34" t="s">
        <v>69</v>
      </c>
      <c r="Q754" s="34" t="s">
        <v>69</v>
      </c>
      <c r="R754" s="34" t="s">
        <v>69</v>
      </c>
    </row>
    <row r="755">
      <c r="A755" s="27" t="s">
        <v>796</v>
      </c>
      <c r="B755" s="29">
        <v>62.0</v>
      </c>
      <c r="C755" s="31">
        <v>21.0</v>
      </c>
      <c r="D755" s="31">
        <v>7.0</v>
      </c>
      <c r="E755" s="32">
        <v>-1.90245867586691</v>
      </c>
      <c r="F755" s="32">
        <v>-1.6206469310559204</v>
      </c>
      <c r="G755" s="32">
        <v>-2.827799615274762</v>
      </c>
      <c r="H755" s="32">
        <v>-1.3089430139397666</v>
      </c>
      <c r="I755" s="32">
        <v>-1.2578862401778874</v>
      </c>
      <c r="J755" s="32">
        <v>-0.16952108464970286</v>
      </c>
      <c r="K755" s="32">
        <v>-2.715220477283486</v>
      </c>
      <c r="L755" s="32">
        <v>0.0</v>
      </c>
      <c r="M755" s="32">
        <v>-1.1449154638126922</v>
      </c>
      <c r="N755" s="32">
        <v>-1.5680722713910136</v>
      </c>
      <c r="O755" s="34" t="s">
        <v>69</v>
      </c>
      <c r="P755" s="34" t="s">
        <v>69</v>
      </c>
      <c r="Q755" s="34" t="s">
        <v>69</v>
      </c>
      <c r="R755" s="34" t="s">
        <v>69</v>
      </c>
    </row>
    <row r="756">
      <c r="A756" s="27" t="s">
        <v>797</v>
      </c>
      <c r="B756" s="35">
        <v>45.0</v>
      </c>
      <c r="C756" s="36">
        <v>25.0</v>
      </c>
      <c r="D756" s="36">
        <v>7.0</v>
      </c>
      <c r="E756" s="37">
        <v>-1.776701042035778</v>
      </c>
      <c r="F756" s="37">
        <v>-1.9454409799522345</v>
      </c>
      <c r="G756" s="37">
        <v>-1.8249006958834064</v>
      </c>
      <c r="H756" s="37">
        <v>-1.992823781312921</v>
      </c>
      <c r="I756" s="37">
        <v>-1.72461069241107</v>
      </c>
      <c r="J756" s="37">
        <v>-0.16952108464970286</v>
      </c>
      <c r="K756" s="37">
        <v>-2.6692160345800606</v>
      </c>
      <c r="L756" s="37">
        <v>0.0</v>
      </c>
      <c r="M756" s="37">
        <v>-0.673605222596801</v>
      </c>
      <c r="N756" s="37">
        <v>-1.8374316065449108</v>
      </c>
      <c r="O756" s="34" t="s">
        <v>69</v>
      </c>
      <c r="P756" s="34" t="s">
        <v>69</v>
      </c>
      <c r="Q756" s="34" t="s">
        <v>69</v>
      </c>
      <c r="R756" s="34" t="s">
        <v>69</v>
      </c>
    </row>
    <row r="757">
      <c r="A757" s="27" t="s">
        <v>798</v>
      </c>
      <c r="B757" s="29">
        <v>71.8</v>
      </c>
      <c r="C757" s="31">
        <v>25.0</v>
      </c>
      <c r="D757" s="31">
        <v>7.0</v>
      </c>
      <c r="E757" s="32">
        <v>-2.330034630892758</v>
      </c>
      <c r="F757" s="32">
        <v>-1.8967218726177872</v>
      </c>
      <c r="G757" s="32">
        <v>-2.454320754426905</v>
      </c>
      <c r="H757" s="32">
        <v>-1.1721668604651359</v>
      </c>
      <c r="I757" s="32">
        <v>-1.72461069241107</v>
      </c>
      <c r="J757" s="32">
        <v>-0.7871777123417198</v>
      </c>
      <c r="K757" s="32">
        <v>-2.250575605978891</v>
      </c>
      <c r="L757" s="32">
        <v>0.0</v>
      </c>
      <c r="M757" s="32">
        <v>-1.899011849758118</v>
      </c>
      <c r="N757" s="32">
        <v>-0.12550338756680846</v>
      </c>
      <c r="O757" s="34" t="s">
        <v>69</v>
      </c>
      <c r="P757" s="34" t="s">
        <v>69</v>
      </c>
      <c r="Q757" s="34" t="s">
        <v>69</v>
      </c>
      <c r="R757" s="34" t="s">
        <v>69</v>
      </c>
    </row>
    <row r="758">
      <c r="A758" s="27" t="s">
        <v>799</v>
      </c>
      <c r="B758" s="35">
        <v>68.42857142857143</v>
      </c>
      <c r="C758" s="36">
        <v>25.0</v>
      </c>
      <c r="D758" s="36">
        <v>6.0</v>
      </c>
      <c r="E758" s="37">
        <v>-1.3742766137761557</v>
      </c>
      <c r="F758" s="37">
        <v>-1.6577662509297846</v>
      </c>
      <c r="G758" s="37">
        <v>-2.3358542372830624</v>
      </c>
      <c r="H758" s="37">
        <v>-1.770784571126832</v>
      </c>
      <c r="I758" s="37">
        <v>-1.1692085942535828</v>
      </c>
      <c r="J758" s="37">
        <v>-0.7871777123417198</v>
      </c>
      <c r="K758" s="37">
        <v>-1.9278873007305795</v>
      </c>
      <c r="L758" s="37">
        <v>0.0</v>
      </c>
      <c r="M758" s="37">
        <v>-2.224537929405367</v>
      </c>
      <c r="N758" s="37">
        <v>-1.5595211813861278</v>
      </c>
      <c r="O758" s="34" t="s">
        <v>69</v>
      </c>
      <c r="P758" s="34" t="s">
        <v>69</v>
      </c>
      <c r="Q758" s="34" t="s">
        <v>69</v>
      </c>
      <c r="R758" s="34" t="s">
        <v>69</v>
      </c>
    </row>
    <row r="759">
      <c r="A759" s="27" t="s">
        <v>800</v>
      </c>
      <c r="B759" s="29">
        <v>73.0</v>
      </c>
      <c r="C759" s="31">
        <v>23.0</v>
      </c>
      <c r="D759" s="31">
        <v>6.0</v>
      </c>
      <c r="E759" s="32">
        <v>-2.4054892111914374</v>
      </c>
      <c r="F759" s="32">
        <v>-1.7830439555040773</v>
      </c>
      <c r="G759" s="32">
        <v>-0.8334311052804673</v>
      </c>
      <c r="H759" s="32">
        <v>-2.241507696721341</v>
      </c>
      <c r="I759" s="32">
        <v>-1.72461069241107</v>
      </c>
      <c r="J759" s="32">
        <v>-0.7871777123417198</v>
      </c>
      <c r="K759" s="32">
        <v>-2.784227141338624</v>
      </c>
      <c r="L759" s="32">
        <v>0.0</v>
      </c>
      <c r="M759" s="32">
        <v>-1.30884946075735</v>
      </c>
      <c r="N759" s="32">
        <v>-0.9994247860661194</v>
      </c>
      <c r="O759" s="34" t="s">
        <v>69</v>
      </c>
      <c r="P759" s="34" t="s">
        <v>69</v>
      </c>
      <c r="Q759" s="34" t="s">
        <v>69</v>
      </c>
      <c r="R759" s="34" t="s">
        <v>69</v>
      </c>
    </row>
    <row r="760">
      <c r="A760" s="27" t="s">
        <v>801</v>
      </c>
      <c r="B760" s="35">
        <v>63.8</v>
      </c>
      <c r="C760" s="36">
        <v>23.0</v>
      </c>
      <c r="D760" s="36">
        <v>7.0</v>
      </c>
      <c r="E760" s="37">
        <v>-2.4054892111914374</v>
      </c>
      <c r="F760" s="37">
        <v>-1.571927823721473</v>
      </c>
      <c r="G760" s="37">
        <v>-0.26725466841289813</v>
      </c>
      <c r="H760" s="37">
        <v>-2.2539418924917616</v>
      </c>
      <c r="I760" s="37">
        <v>-1.72461069241107</v>
      </c>
      <c r="J760" s="37">
        <v>-0.7871777123417198</v>
      </c>
      <c r="K760" s="37">
        <v>-2.1217631664093</v>
      </c>
      <c r="L760" s="37">
        <v>0.0</v>
      </c>
      <c r="M760" s="37">
        <v>-2.3457319914323107</v>
      </c>
      <c r="N760" s="37">
        <v>-1.412442433302095</v>
      </c>
      <c r="O760" s="34" t="s">
        <v>69</v>
      </c>
      <c r="P760" s="34" t="s">
        <v>69</v>
      </c>
      <c r="Q760" s="34" t="s">
        <v>69</v>
      </c>
      <c r="R760" s="34" t="s">
        <v>69</v>
      </c>
    </row>
    <row r="761">
      <c r="A761" s="27" t="s">
        <v>802</v>
      </c>
      <c r="B761" s="29">
        <v>55.2</v>
      </c>
      <c r="C761" s="31">
        <v>18.0</v>
      </c>
      <c r="D761" s="31">
        <v>6.0</v>
      </c>
      <c r="E761" s="32">
        <v>-1.927610202633136</v>
      </c>
      <c r="F761" s="32">
        <v>-2.2702350288485484</v>
      </c>
      <c r="G761" s="32">
        <v>-1.420019581948167</v>
      </c>
      <c r="H761" s="32">
        <v>-1.7192714743636595</v>
      </c>
      <c r="I761" s="32">
        <v>-1.72461069241107</v>
      </c>
      <c r="J761" s="32">
        <v>-0.7871777123417198</v>
      </c>
      <c r="K761" s="32">
        <v>-2.793428029879309</v>
      </c>
      <c r="L761" s="32">
        <v>0.0</v>
      </c>
      <c r="M761" s="32">
        <v>-0.6490151230551022</v>
      </c>
      <c r="N761" s="32">
        <v>-1.6818017684559923</v>
      </c>
      <c r="O761" s="34" t="s">
        <v>69</v>
      </c>
      <c r="P761" s="34" t="s">
        <v>69</v>
      </c>
      <c r="Q761" s="34" t="s">
        <v>69</v>
      </c>
      <c r="R761" s="34" t="s">
        <v>69</v>
      </c>
    </row>
    <row r="762">
      <c r="A762" s="27" t="s">
        <v>803</v>
      </c>
      <c r="B762" s="35">
        <v>55.0</v>
      </c>
      <c r="C762" s="36">
        <v>27.0</v>
      </c>
      <c r="D762" s="36">
        <v>6.0</v>
      </c>
      <c r="E762" s="37">
        <v>-2.4054892111914374</v>
      </c>
      <c r="F762" s="37">
        <v>-2.1078380044003917</v>
      </c>
      <c r="G762" s="37">
        <v>-0.8887481791175983</v>
      </c>
      <c r="H762" s="37">
        <v>-1.5576269293481866</v>
      </c>
      <c r="I762" s="37">
        <v>-1.72461069241107</v>
      </c>
      <c r="J762" s="37">
        <v>-0.7871777123417198</v>
      </c>
      <c r="K762" s="37">
        <v>-2.784227141338624</v>
      </c>
      <c r="L762" s="37">
        <v>0.0</v>
      </c>
      <c r="M762" s="37">
        <v>-1.6981927035009123</v>
      </c>
      <c r="N762" s="37">
        <v>-1.0592824161003187</v>
      </c>
      <c r="O762" s="34" t="s">
        <v>69</v>
      </c>
      <c r="P762" s="34" t="s">
        <v>69</v>
      </c>
      <c r="Q762" s="34" t="s">
        <v>69</v>
      </c>
      <c r="R762" s="34" t="s">
        <v>69</v>
      </c>
    </row>
    <row r="763">
      <c r="A763" s="27" t="s">
        <v>804</v>
      </c>
      <c r="B763" s="29">
        <v>71.2</v>
      </c>
      <c r="C763" s="31">
        <v>27.0</v>
      </c>
      <c r="D763" s="31">
        <v>6.0</v>
      </c>
      <c r="E763" s="32">
        <v>-1.248518979945024</v>
      </c>
      <c r="F763" s="32">
        <v>-1.8804821701729715</v>
      </c>
      <c r="G763" s="32">
        <v>-2.0899162901598602</v>
      </c>
      <c r="H763" s="32">
        <v>-1.868481823608711</v>
      </c>
      <c r="I763" s="32">
        <v>-1.4912484662944787</v>
      </c>
      <c r="J763" s="32">
        <v>-0.7871777123417198</v>
      </c>
      <c r="K763" s="32">
        <v>-2.1401649434906704</v>
      </c>
      <c r="L763" s="32">
        <v>0.0</v>
      </c>
      <c r="M763" s="32">
        <v>-1.9440936989178992</v>
      </c>
      <c r="N763" s="32">
        <v>-1.5860295604012733</v>
      </c>
      <c r="O763" s="34" t="s">
        <v>69</v>
      </c>
      <c r="P763" s="34" t="s">
        <v>69</v>
      </c>
      <c r="Q763" s="34" t="s">
        <v>69</v>
      </c>
      <c r="R763" s="34" t="s">
        <v>69</v>
      </c>
    </row>
    <row r="764">
      <c r="A764" s="27" t="s">
        <v>805</v>
      </c>
      <c r="B764" s="35">
        <v>64.0</v>
      </c>
      <c r="C764" s="36">
        <v>27.0</v>
      </c>
      <c r="D764" s="36">
        <v>6.0</v>
      </c>
      <c r="E764" s="37">
        <v>-2.1539739435291736</v>
      </c>
      <c r="F764" s="37">
        <v>-2.3514335410726273</v>
      </c>
      <c r="G764" s="37">
        <v>-1.192116059993191</v>
      </c>
      <c r="H764" s="37">
        <v>-1.122430077383452</v>
      </c>
      <c r="I764" s="37">
        <v>-1.72461069241107</v>
      </c>
      <c r="J764" s="37">
        <v>-0.7871777123417198</v>
      </c>
      <c r="K764" s="37">
        <v>-3.2442715683728762</v>
      </c>
      <c r="L764" s="37">
        <v>0.0</v>
      </c>
      <c r="M764" s="37">
        <v>-0.3867207279436498</v>
      </c>
      <c r="N764" s="37">
        <v>-2.196577386750107</v>
      </c>
      <c r="O764" s="34" t="s">
        <v>69</v>
      </c>
      <c r="P764" s="34" t="s">
        <v>69</v>
      </c>
      <c r="Q764" s="34" t="s">
        <v>69</v>
      </c>
      <c r="R764" s="34" t="s">
        <v>69</v>
      </c>
    </row>
    <row r="765">
      <c r="A765" s="27" t="s">
        <v>806</v>
      </c>
      <c r="B765" s="29">
        <v>61.0</v>
      </c>
      <c r="C765" s="31">
        <v>18.0</v>
      </c>
      <c r="D765" s="31">
        <v>6.0</v>
      </c>
      <c r="E765" s="32">
        <v>-2.2797315773603057</v>
      </c>
      <c r="F765" s="32">
        <v>-1.864242467728156</v>
      </c>
      <c r="G765" s="32">
        <v>-1.6965955983013734</v>
      </c>
      <c r="H765" s="32">
        <v>-1.7441398659045013</v>
      </c>
      <c r="I765" s="32">
        <v>-1.6079295793527744</v>
      </c>
      <c r="J765" s="32">
        <v>-0.7871777123417198</v>
      </c>
      <c r="K765" s="32">
        <v>-2.761224919986911</v>
      </c>
      <c r="L765" s="32">
        <v>0.0</v>
      </c>
      <c r="M765" s="32">
        <v>-1.7801597019732414</v>
      </c>
      <c r="N765" s="32">
        <v>-0.7001366358951225</v>
      </c>
      <c r="O765" s="34" t="s">
        <v>69</v>
      </c>
      <c r="P765" s="34" t="s">
        <v>69</v>
      </c>
      <c r="Q765" s="34" t="s">
        <v>69</v>
      </c>
      <c r="R765" s="34" t="s">
        <v>69</v>
      </c>
    </row>
    <row r="766">
      <c r="A766" s="27" t="s">
        <v>807</v>
      </c>
      <c r="B766" s="35">
        <v>72.0</v>
      </c>
      <c r="C766" s="36">
        <v>23.0</v>
      </c>
      <c r="D766" s="36">
        <v>6.0</v>
      </c>
      <c r="E766" s="37">
        <v>-1.2736705067112504</v>
      </c>
      <c r="F766" s="37">
        <v>-1.3770513943836846</v>
      </c>
      <c r="G766" s="37">
        <v>-2.931231847467499</v>
      </c>
      <c r="H766" s="37">
        <v>-1.930652802460816</v>
      </c>
      <c r="I766" s="37">
        <v>-1.2578862401778874</v>
      </c>
      <c r="J766" s="37">
        <v>-0.7871777123417198</v>
      </c>
      <c r="K766" s="37">
        <v>-2.0481560580838196</v>
      </c>
      <c r="L766" s="37">
        <v>0.0</v>
      </c>
      <c r="M766" s="37">
        <v>-2.1695029447168035</v>
      </c>
      <c r="N766" s="37">
        <v>-1.508214641356814</v>
      </c>
      <c r="O766" s="34" t="s">
        <v>69</v>
      </c>
      <c r="P766" s="34" t="s">
        <v>69</v>
      </c>
      <c r="Q766" s="34" t="s">
        <v>69</v>
      </c>
      <c r="R766" s="34" t="s">
        <v>69</v>
      </c>
    </row>
    <row r="767">
      <c r="A767" s="27" t="s">
        <v>808</v>
      </c>
      <c r="B767" s="29">
        <v>65.0</v>
      </c>
      <c r="C767" s="31">
        <v>29.0</v>
      </c>
      <c r="D767" s="31">
        <v>7.0</v>
      </c>
      <c r="E767" s="32">
        <v>-2.2797315773603057</v>
      </c>
      <c r="F767" s="32">
        <v>-1.864242467728156</v>
      </c>
      <c r="G767" s="32">
        <v>-1.1217399635296863</v>
      </c>
      <c r="H767" s="32">
        <v>-1.8063108447566063</v>
      </c>
      <c r="I767" s="32">
        <v>-1.6079295793527744</v>
      </c>
      <c r="J767" s="32">
        <v>-0.7871777123417198</v>
      </c>
      <c r="K767" s="32">
        <v>-2.5772071491732103</v>
      </c>
      <c r="L767" s="32">
        <v>0.0</v>
      </c>
      <c r="M767" s="32">
        <v>-2.1285194454806393</v>
      </c>
      <c r="N767" s="32">
        <v>-1.1789976761687175</v>
      </c>
      <c r="O767" s="34" t="s">
        <v>69</v>
      </c>
      <c r="P767" s="34" t="s">
        <v>69</v>
      </c>
      <c r="Q767" s="34" t="s">
        <v>69</v>
      </c>
      <c r="R767" s="34" t="s">
        <v>69</v>
      </c>
    </row>
    <row r="768">
      <c r="A768" s="27" t="s">
        <v>809</v>
      </c>
      <c r="B768" s="35">
        <v>75.0</v>
      </c>
      <c r="C768" s="36">
        <v>31.0</v>
      </c>
      <c r="D768" s="36">
        <v>7.0</v>
      </c>
      <c r="E768" s="37">
        <v>-2.4054892111914374</v>
      </c>
      <c r="F768" s="37">
        <v>-1.6206469310559204</v>
      </c>
      <c r="G768" s="37">
        <v>-3.416909173011105</v>
      </c>
      <c r="H768" s="37">
        <v>-1.3089430139397666</v>
      </c>
      <c r="I768" s="37">
        <v>-1.72461069241107</v>
      </c>
      <c r="J768" s="37">
        <v>-0.7871777123417198</v>
      </c>
      <c r="K768" s="37">
        <v>-2.9912471335040376</v>
      </c>
      <c r="L768" s="37">
        <v>0.0</v>
      </c>
      <c r="M768" s="37">
        <v>-0.7760639706872121</v>
      </c>
      <c r="N768" s="37">
        <v>-0.34099085568992626</v>
      </c>
      <c r="O768" s="34" t="s">
        <v>69</v>
      </c>
      <c r="P768" s="34" t="s">
        <v>69</v>
      </c>
      <c r="Q768" s="34" t="s">
        <v>69</v>
      </c>
      <c r="R768" s="34" t="s">
        <v>69</v>
      </c>
    </row>
    <row r="769">
      <c r="A769" s="27" t="s">
        <v>810</v>
      </c>
      <c r="B769" s="29">
        <v>64.0</v>
      </c>
      <c r="C769" s="31">
        <v>31.0</v>
      </c>
      <c r="D769" s="31">
        <v>7.0</v>
      </c>
      <c r="E769" s="32">
        <v>-2.1539739435291736</v>
      </c>
      <c r="F769" s="32">
        <v>-1.6206469310559204</v>
      </c>
      <c r="G769" s="32">
        <v>-2.142888889812997</v>
      </c>
      <c r="H769" s="32">
        <v>-1.6197979082002913</v>
      </c>
      <c r="I769" s="32">
        <v>-1.2578862401778874</v>
      </c>
      <c r="J769" s="32">
        <v>-0.7871777123417198</v>
      </c>
      <c r="K769" s="32">
        <v>-2.531202706469785</v>
      </c>
      <c r="L769" s="32">
        <v>0.0</v>
      </c>
      <c r="M769" s="32">
        <v>-2.3334369416614615</v>
      </c>
      <c r="N769" s="32">
        <v>-0.9994247860661194</v>
      </c>
      <c r="O769" s="34" t="s">
        <v>69</v>
      </c>
      <c r="P769" s="34" t="s">
        <v>69</v>
      </c>
      <c r="Q769" s="34" t="s">
        <v>69</v>
      </c>
      <c r="R769" s="34" t="s">
        <v>69</v>
      </c>
    </row>
    <row r="770">
      <c r="A770" s="27" t="s">
        <v>811</v>
      </c>
      <c r="B770" s="35">
        <v>65.0</v>
      </c>
      <c r="C770" s="36">
        <v>33.0</v>
      </c>
      <c r="D770" s="36">
        <v>6.0</v>
      </c>
      <c r="E770" s="37">
        <v>-2.4054892111914374</v>
      </c>
      <c r="F770" s="37">
        <v>-1.7830439555040773</v>
      </c>
      <c r="G770" s="37">
        <v>-2.303412267546551</v>
      </c>
      <c r="H770" s="37">
        <v>-1.5576269293481866</v>
      </c>
      <c r="I770" s="37">
        <v>-1.72461069241107</v>
      </c>
      <c r="J770" s="37">
        <v>-0.7871777123417198</v>
      </c>
      <c r="K770" s="37">
        <v>-2.8072293626903364</v>
      </c>
      <c r="L770" s="37">
        <v>0.0</v>
      </c>
      <c r="M770" s="37">
        <v>-1.9440936989178992</v>
      </c>
      <c r="N770" s="37">
        <v>-0.19134678060442784</v>
      </c>
      <c r="O770" s="34" t="s">
        <v>69</v>
      </c>
      <c r="P770" s="34" t="s">
        <v>69</v>
      </c>
      <c r="Q770" s="34" t="s">
        <v>69</v>
      </c>
      <c r="R770" s="34" t="s">
        <v>69</v>
      </c>
    </row>
    <row r="771">
      <c r="A771" s="27" t="s">
        <v>812</v>
      </c>
      <c r="B771" s="29">
        <v>57.0</v>
      </c>
      <c r="C771" s="31">
        <v>30.0</v>
      </c>
      <c r="D771" s="31">
        <v>5.0</v>
      </c>
      <c r="E771" s="32">
        <v>-2.3551861576589848</v>
      </c>
      <c r="F771" s="32">
        <v>-1.864242467728156</v>
      </c>
      <c r="G771" s="32">
        <v>-0.5457009084791788</v>
      </c>
      <c r="H771" s="32">
        <v>-2.35341545865513</v>
      </c>
      <c r="I771" s="32">
        <v>-1.72461069241107</v>
      </c>
      <c r="J771" s="32">
        <v>-0.7871777123417198</v>
      </c>
      <c r="K771" s="32">
        <v>-2.8026289184199937</v>
      </c>
      <c r="L771" s="32">
        <v>0.0</v>
      </c>
      <c r="M771" s="32">
        <v>-2.1285194454806393</v>
      </c>
      <c r="N771" s="32">
        <v>-1.3406132772610557</v>
      </c>
      <c r="O771" s="34" t="s">
        <v>69</v>
      </c>
      <c r="P771" s="34" t="s">
        <v>69</v>
      </c>
      <c r="Q771" s="34" t="s">
        <v>69</v>
      </c>
      <c r="R771" s="34" t="s">
        <v>69</v>
      </c>
    </row>
    <row r="772">
      <c r="A772" s="27" t="s">
        <v>813</v>
      </c>
      <c r="B772" s="35">
        <v>65.0</v>
      </c>
      <c r="C772" s="36">
        <v>29.0</v>
      </c>
      <c r="D772" s="36">
        <v>6.0</v>
      </c>
      <c r="E772" s="37">
        <v>-2.2797315773603057</v>
      </c>
      <c r="F772" s="37">
        <v>-1.864242467728156</v>
      </c>
      <c r="G772" s="37">
        <v>-1.6248482877403045</v>
      </c>
      <c r="H772" s="37">
        <v>-1.8063108447566063</v>
      </c>
      <c r="I772" s="37">
        <v>-1.72461069241107</v>
      </c>
      <c r="J772" s="37">
        <v>-0.7871777123417198</v>
      </c>
      <c r="K772" s="37">
        <v>-2.692218255931773</v>
      </c>
      <c r="L772" s="37">
        <v>0.0</v>
      </c>
      <c r="M772" s="37">
        <v>-2.4154039401337903</v>
      </c>
      <c r="N772" s="37">
        <v>-0.7300654509122222</v>
      </c>
      <c r="O772" s="34" t="s">
        <v>69</v>
      </c>
      <c r="P772" s="34" t="s">
        <v>69</v>
      </c>
      <c r="Q772" s="34" t="s">
        <v>69</v>
      </c>
      <c r="R772" s="34" t="s">
        <v>69</v>
      </c>
    </row>
    <row r="773">
      <c r="A773" s="27" t="s">
        <v>814</v>
      </c>
      <c r="B773" s="29">
        <v>67.8</v>
      </c>
      <c r="C773" s="31">
        <v>23.0</v>
      </c>
      <c r="D773" s="31">
        <v>6.0</v>
      </c>
      <c r="E773" s="32">
        <v>-2.4054892111914374</v>
      </c>
      <c r="F773" s="32">
        <v>-2.0851024209776496</v>
      </c>
      <c r="G773" s="32">
        <v>-1.5930579339984587</v>
      </c>
      <c r="H773" s="32">
        <v>-1.9803895855425</v>
      </c>
      <c r="I773" s="32">
        <v>-1.701274469799411</v>
      </c>
      <c r="J773" s="32">
        <v>-0.7871777123417198</v>
      </c>
      <c r="K773" s="32">
        <v>-2.698658877910253</v>
      </c>
      <c r="L773" s="32">
        <v>0.0</v>
      </c>
      <c r="M773" s="32">
        <v>-1.6801599638370002</v>
      </c>
      <c r="N773" s="32">
        <v>-1.1933635073769253</v>
      </c>
      <c r="O773" s="34" t="s">
        <v>69</v>
      </c>
      <c r="P773" s="34" t="s">
        <v>69</v>
      </c>
      <c r="Q773" s="34" t="s">
        <v>69</v>
      </c>
      <c r="R773" s="34" t="s">
        <v>69</v>
      </c>
    </row>
    <row r="774">
      <c r="A774" s="27" t="s">
        <v>815</v>
      </c>
      <c r="B774" s="35">
        <v>45.0</v>
      </c>
      <c r="C774" s="36">
        <v>25.0</v>
      </c>
      <c r="D774" s="36">
        <v>7.0</v>
      </c>
      <c r="E774" s="37">
        <v>-2.5312468450225696</v>
      </c>
      <c r="F774" s="37">
        <v>-2.2702350288485484</v>
      </c>
      <c r="G774" s="37">
        <v>-1.8820752968366146</v>
      </c>
      <c r="H774" s="37">
        <v>-1.8063108447566063</v>
      </c>
      <c r="I774" s="37">
        <v>-1.72461069241107</v>
      </c>
      <c r="J774" s="37">
        <v>-0.7871777123417198</v>
      </c>
      <c r="K774" s="37">
        <v>-2.8072293626903364</v>
      </c>
      <c r="L774" s="37">
        <v>0.0</v>
      </c>
      <c r="M774" s="37">
        <v>-1.3498329599935146</v>
      </c>
      <c r="N774" s="37">
        <v>-1.1490688611516178</v>
      </c>
      <c r="O774" s="34" t="s">
        <v>69</v>
      </c>
      <c r="P774" s="34" t="s">
        <v>69</v>
      </c>
      <c r="Q774" s="34" t="s">
        <v>69</v>
      </c>
      <c r="R774" s="34" t="s">
        <v>69</v>
      </c>
    </row>
    <row r="775">
      <c r="A775" s="27" t="s">
        <v>816</v>
      </c>
      <c r="B775" s="29">
        <v>50.0</v>
      </c>
      <c r="C775" s="31">
        <v>26.0</v>
      </c>
      <c r="D775" s="31">
        <v>5.0</v>
      </c>
      <c r="E775" s="32">
        <v>-2.4054892111914374</v>
      </c>
      <c r="F775" s="32">
        <v>-2.1078380044003917</v>
      </c>
      <c r="G775" s="32">
        <v>-2.237587069578789</v>
      </c>
      <c r="H775" s="32">
        <v>-1.992823781312921</v>
      </c>
      <c r="I775" s="32">
        <v>-1.72461069241107</v>
      </c>
      <c r="J775" s="32">
        <v>-0.7871777123417198</v>
      </c>
      <c r="K775" s="32">
        <v>-2.9682449121523247</v>
      </c>
      <c r="L775" s="32">
        <v>0.0</v>
      </c>
      <c r="M775" s="32">
        <v>-1.390816459229679</v>
      </c>
      <c r="N775" s="32">
        <v>-0.8797095259977207</v>
      </c>
      <c r="O775" s="34" t="s">
        <v>69</v>
      </c>
      <c r="P775" s="34" t="s">
        <v>69</v>
      </c>
      <c r="Q775" s="34" t="s">
        <v>69</v>
      </c>
      <c r="R775" s="34" t="s">
        <v>69</v>
      </c>
    </row>
    <row r="776">
      <c r="A776" s="27" t="s">
        <v>817</v>
      </c>
      <c r="B776" s="35">
        <v>51.0</v>
      </c>
      <c r="C776" s="36">
        <v>33.0</v>
      </c>
      <c r="D776" s="36">
        <v>6.0</v>
      </c>
      <c r="E776" s="37">
        <v>-2.4054892111914374</v>
      </c>
      <c r="F776" s="37">
        <v>-1.9454409799522345</v>
      </c>
      <c r="G776" s="37">
        <v>-1.2304147658033027</v>
      </c>
      <c r="H776" s="37">
        <v>-1.8063108447566063</v>
      </c>
      <c r="I776" s="37">
        <v>-1.72461069241107</v>
      </c>
      <c r="J776" s="37">
        <v>-0.7871777123417198</v>
      </c>
      <c r="K776" s="37">
        <v>-2.945242690800612</v>
      </c>
      <c r="L776" s="37">
        <v>0.0</v>
      </c>
      <c r="M776" s="37">
        <v>-2.3129451920433794</v>
      </c>
      <c r="N776" s="37">
        <v>-1.4782858263397145</v>
      </c>
      <c r="O776" s="34" t="s">
        <v>69</v>
      </c>
      <c r="P776" s="34" t="s">
        <v>69</v>
      </c>
      <c r="Q776" s="34" t="s">
        <v>69</v>
      </c>
      <c r="R776" s="34" t="s">
        <v>69</v>
      </c>
    </row>
    <row r="777">
      <c r="A777" s="27" t="s">
        <v>818</v>
      </c>
      <c r="B777" s="29">
        <v>51.0</v>
      </c>
      <c r="C777" s="31">
        <v>24.0</v>
      </c>
      <c r="D777" s="31">
        <v>7.0</v>
      </c>
      <c r="E777" s="32">
        <v>-2.4054892111914374</v>
      </c>
      <c r="F777" s="32">
        <v>-1.9454409799522345</v>
      </c>
      <c r="G777" s="32">
        <v>-1.4488663296422089</v>
      </c>
      <c r="H777" s="32">
        <v>-2.117165739017131</v>
      </c>
      <c r="I777" s="32">
        <v>-1.6079295793527744</v>
      </c>
      <c r="J777" s="32">
        <v>-0.7871777123417198</v>
      </c>
      <c r="K777" s="32">
        <v>-2.8992382480971868</v>
      </c>
      <c r="L777" s="32">
        <v>0.0</v>
      </c>
      <c r="M777" s="32">
        <v>-2.2514699431891327</v>
      </c>
      <c r="N777" s="32">
        <v>-1.328641751254216</v>
      </c>
      <c r="O777" s="34" t="s">
        <v>69</v>
      </c>
      <c r="P777" s="34" t="s">
        <v>69</v>
      </c>
      <c r="Q777" s="34" t="s">
        <v>69</v>
      </c>
      <c r="R777" s="34" t="s">
        <v>69</v>
      </c>
    </row>
    <row r="778">
      <c r="A778" s="27" t="s">
        <v>819</v>
      </c>
      <c r="B778" s="35">
        <v>48.0</v>
      </c>
      <c r="C778" s="36">
        <v>26.0</v>
      </c>
      <c r="D778" s="36">
        <v>5.0</v>
      </c>
      <c r="E778" s="37">
        <v>-2.028216309698042</v>
      </c>
      <c r="F778" s="37">
        <v>-2.18903651662447</v>
      </c>
      <c r="G778" s="37">
        <v>-2.1455441757567164</v>
      </c>
      <c r="H778" s="37">
        <v>-1.992823781312921</v>
      </c>
      <c r="I778" s="37">
        <v>-1.6079295793527744</v>
      </c>
      <c r="J778" s="37">
        <v>-0.7871777123417198</v>
      </c>
      <c r="K778" s="37">
        <v>-2.531202706469785</v>
      </c>
      <c r="L778" s="37">
        <v>0.0</v>
      </c>
      <c r="M778" s="37">
        <v>-1.4932752073200901</v>
      </c>
      <c r="N778" s="37">
        <v>-2.106790941698808</v>
      </c>
      <c r="O778" s="34" t="s">
        <v>69</v>
      </c>
      <c r="P778" s="34" t="s">
        <v>69</v>
      </c>
      <c r="Q778" s="34" t="s">
        <v>69</v>
      </c>
      <c r="R778" s="34" t="s">
        <v>69</v>
      </c>
    </row>
    <row r="779">
      <c r="A779" s="27" t="s">
        <v>820</v>
      </c>
      <c r="B779" s="29">
        <v>51.0</v>
      </c>
      <c r="C779" s="31">
        <v>29.0</v>
      </c>
      <c r="D779" s="31">
        <v>6.0</v>
      </c>
      <c r="E779" s="32">
        <v>-2.2797315773603057</v>
      </c>
      <c r="F779" s="32">
        <v>-2.026639492176313</v>
      </c>
      <c r="G779" s="32">
        <v>-1.9278507363385011</v>
      </c>
      <c r="H779" s="32">
        <v>-1.6819688870523963</v>
      </c>
      <c r="I779" s="32">
        <v>-1.72461069241107</v>
      </c>
      <c r="J779" s="32">
        <v>-0.16952108464970286</v>
      </c>
      <c r="K779" s="32">
        <v>-3.0602537975591755</v>
      </c>
      <c r="L779" s="32">
        <v>0.0</v>
      </c>
      <c r="M779" s="32">
        <v>-2.3129451920433794</v>
      </c>
      <c r="N779" s="32">
        <v>-2.1367197567159075</v>
      </c>
      <c r="O779" s="34" t="s">
        <v>69</v>
      </c>
      <c r="P779" s="34" t="s">
        <v>69</v>
      </c>
      <c r="Q779" s="34" t="s">
        <v>69</v>
      </c>
      <c r="R779" s="34" t="s">
        <v>69</v>
      </c>
    </row>
    <row r="780">
      <c r="A780" s="27" t="s">
        <v>821</v>
      </c>
      <c r="B780" s="35">
        <v>51.0</v>
      </c>
      <c r="C780" s="36">
        <v>27.0</v>
      </c>
      <c r="D780" s="36">
        <v>6.0</v>
      </c>
      <c r="E780" s="37">
        <v>-2.4054892111914374</v>
      </c>
      <c r="F780" s="37">
        <v>-2.026639492176313</v>
      </c>
      <c r="G780" s="37">
        <v>-2.8700495373148485</v>
      </c>
      <c r="H780" s="37">
        <v>-1.930652802460816</v>
      </c>
      <c r="I780" s="37">
        <v>-1.72461069241107</v>
      </c>
      <c r="J780" s="37">
        <v>-0.7871777123417198</v>
      </c>
      <c r="K780" s="37">
        <v>-3.0602537975591755</v>
      </c>
      <c r="L780" s="37">
        <v>0.0</v>
      </c>
      <c r="M780" s="37">
        <v>-1.575242205792419</v>
      </c>
      <c r="N780" s="37">
        <v>-1.0892112311174185</v>
      </c>
      <c r="O780" s="34" t="s">
        <v>69</v>
      </c>
      <c r="P780" s="34" t="s">
        <v>69</v>
      </c>
      <c r="Q780" s="34" t="s">
        <v>69</v>
      </c>
      <c r="R780" s="34" t="s">
        <v>69</v>
      </c>
    </row>
    <row r="781">
      <c r="A781" s="27" t="s">
        <v>822</v>
      </c>
      <c r="B781" s="29">
        <v>40.0</v>
      </c>
      <c r="C781" s="31">
        <v>25.0</v>
      </c>
      <c r="D781" s="31">
        <v>6.0</v>
      </c>
      <c r="E781" s="32">
        <v>-2.4054892111914374</v>
      </c>
      <c r="F781" s="32">
        <v>-2.18903651662447</v>
      </c>
      <c r="G781" s="32">
        <v>-0.9668851255997953</v>
      </c>
      <c r="H781" s="32">
        <v>-2.3658496544255505</v>
      </c>
      <c r="I781" s="32">
        <v>-1.6079295793527744</v>
      </c>
      <c r="J781" s="32">
        <v>-0.7871777123417198</v>
      </c>
      <c r="K781" s="32">
        <v>-3.267273789724589</v>
      </c>
      <c r="L781" s="32">
        <v>0.0</v>
      </c>
      <c r="M781" s="32">
        <v>-2.3744204408976257</v>
      </c>
      <c r="N781" s="32">
        <v>-1.7476451614936117</v>
      </c>
      <c r="O781" s="34" t="s">
        <v>69</v>
      </c>
      <c r="P781" s="34" t="s">
        <v>69</v>
      </c>
      <c r="Q781" s="34" t="s">
        <v>69</v>
      </c>
      <c r="R781" s="34" t="s">
        <v>69</v>
      </c>
    </row>
    <row r="782">
      <c r="A782" s="27" t="s">
        <v>823</v>
      </c>
      <c r="B782" s="35">
        <v>55.0</v>
      </c>
      <c r="C782" s="36">
        <v>29.0</v>
      </c>
      <c r="D782" s="36">
        <v>7.0</v>
      </c>
      <c r="E782" s="37">
        <v>-2.4054892111914374</v>
      </c>
      <c r="F782" s="37">
        <v>-2.1078380044003917</v>
      </c>
      <c r="G782" s="37">
        <v>-1.2775371115405951</v>
      </c>
      <c r="H782" s="37">
        <v>-2.241507696721341</v>
      </c>
      <c r="I782" s="37">
        <v>-1.72461069241107</v>
      </c>
      <c r="J782" s="37">
        <v>-0.7871777123417198</v>
      </c>
      <c r="K782" s="37">
        <v>-3.2902760110763016</v>
      </c>
      <c r="L782" s="37">
        <v>0.0</v>
      </c>
      <c r="M782" s="37">
        <v>-2.3744204408976257</v>
      </c>
      <c r="N782" s="37">
        <v>-1.5680722713910136</v>
      </c>
      <c r="O782" s="34" t="s">
        <v>69</v>
      </c>
      <c r="P782" s="34" t="s">
        <v>69</v>
      </c>
      <c r="Q782" s="34" t="s">
        <v>69</v>
      </c>
      <c r="R782" s="34" t="s">
        <v>69</v>
      </c>
    </row>
  </sheetData>
  <autoFilter ref="$A$2:$R$782"/>
  <conditionalFormatting sqref="B3:R782">
    <cfRule type="expression" dxfId="7" priority="1">
      <formula>#REF!</formula>
    </cfRule>
  </conditionalFormatting>
  <conditionalFormatting sqref="B3:R782">
    <cfRule type="expression" dxfId="8" priority="2">
      <formula>$B3=0</formula>
    </cfRule>
  </conditionalFormatting>
  <conditionalFormatting sqref="E3:R782">
    <cfRule type="colorScale" priority="3">
      <colorScale>
        <cfvo type="formula" val="-5"/>
        <cfvo type="formula" val="0"/>
        <cfvo type="formula" val="5"/>
        <color rgb="FFFF0000"/>
        <color rgb="FFFFFFFF"/>
        <color rgb="FF4285F4"/>
      </colorScale>
    </cfRule>
  </conditionalFormatting>
  <conditionalFormatting sqref="C3:C782">
    <cfRule type="colorScale" priority="4">
      <colorScale>
        <cfvo type="min"/>
        <cfvo type="percentile" val="50"/>
        <cfvo type="max"/>
        <color rgb="FFEA9999"/>
        <color rgb="FFFFFFFF"/>
        <color rgb="FF4285F4"/>
      </colorScale>
    </cfRule>
  </conditionalFormatting>
  <conditionalFormatting sqref="D3:D782">
    <cfRule type="colorScale" priority="5">
      <colorScale>
        <cfvo type="min"/>
        <cfvo type="percentile" val="50"/>
        <cfvo type="max"/>
        <color rgb="FFEA9999"/>
        <color rgb="FFFFFFFF"/>
        <color rgb="FF4285F4"/>
      </colorScale>
    </cfRule>
  </conditionalFormatting>
  <conditionalFormatting sqref="B3:R782">
    <cfRule type="expression" dxfId="9" priority="6">
      <formula>iseven(row())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8"/>
      <c r="C1" s="11"/>
      <c r="D1" s="8"/>
      <c r="E1" s="14">
        <v>1.0</v>
      </c>
      <c r="F1" s="14">
        <v>1.0</v>
      </c>
      <c r="G1" s="14">
        <v>1.0</v>
      </c>
      <c r="H1" s="14">
        <v>1.0</v>
      </c>
      <c r="I1" s="14">
        <v>1.0</v>
      </c>
      <c r="J1" s="14">
        <v>0.5</v>
      </c>
      <c r="K1" s="14">
        <v>1.0</v>
      </c>
      <c r="L1" s="14">
        <v>1.0</v>
      </c>
      <c r="M1" s="14">
        <v>1.0</v>
      </c>
      <c r="N1" s="14">
        <v>1.0</v>
      </c>
      <c r="O1" s="14">
        <v>1.0</v>
      </c>
      <c r="P1" s="14">
        <v>1.0</v>
      </c>
      <c r="Q1" s="14">
        <v>1.0</v>
      </c>
      <c r="R1" s="14">
        <v>0.5</v>
      </c>
    </row>
    <row r="2">
      <c r="A2" s="1" t="s">
        <v>18</v>
      </c>
      <c r="B2" s="19" t="s">
        <v>20</v>
      </c>
      <c r="C2" s="20" t="s">
        <v>23</v>
      </c>
      <c r="D2" s="19" t="s">
        <v>24</v>
      </c>
      <c r="E2" s="22" t="s">
        <v>6</v>
      </c>
      <c r="F2" s="22" t="s">
        <v>7</v>
      </c>
      <c r="G2" s="22" t="s">
        <v>8</v>
      </c>
      <c r="H2" s="22" t="s">
        <v>9</v>
      </c>
      <c r="I2" s="22" t="s">
        <v>10</v>
      </c>
      <c r="J2" s="22" t="s">
        <v>11</v>
      </c>
      <c r="K2" s="22" t="s">
        <v>12</v>
      </c>
      <c r="L2" s="22" t="s">
        <v>13</v>
      </c>
      <c r="M2" s="22" t="s">
        <v>14</v>
      </c>
      <c r="N2" s="22" t="s">
        <v>15</v>
      </c>
      <c r="O2" s="24" t="s">
        <v>16</v>
      </c>
      <c r="P2" s="25" t="s">
        <v>17</v>
      </c>
      <c r="Q2" s="26" t="s">
        <v>19</v>
      </c>
      <c r="R2" s="24" t="s">
        <v>21</v>
      </c>
    </row>
    <row r="3">
      <c r="A3" s="27" t="s">
        <v>25</v>
      </c>
    </row>
    <row r="4">
      <c r="A4" s="27" t="s">
        <v>26</v>
      </c>
    </row>
    <row r="5">
      <c r="A5" s="27" t="s">
        <v>27</v>
      </c>
    </row>
    <row r="6">
      <c r="A6" s="27" t="s">
        <v>28</v>
      </c>
    </row>
    <row r="7">
      <c r="A7" s="27" t="s">
        <v>29</v>
      </c>
    </row>
    <row r="8">
      <c r="A8" s="27" t="s">
        <v>30</v>
      </c>
    </row>
    <row r="9">
      <c r="A9" s="27" t="s">
        <v>32</v>
      </c>
    </row>
    <row r="10">
      <c r="A10" s="27" t="s">
        <v>33</v>
      </c>
    </row>
    <row r="11">
      <c r="A11" s="27" t="s">
        <v>34</v>
      </c>
    </row>
    <row r="12">
      <c r="A12" s="27" t="s">
        <v>35</v>
      </c>
    </row>
    <row r="13">
      <c r="A13" s="27" t="s">
        <v>36</v>
      </c>
    </row>
    <row r="14">
      <c r="A14" s="27" t="s">
        <v>37</v>
      </c>
    </row>
    <row r="15">
      <c r="A15" s="27" t="s">
        <v>38</v>
      </c>
    </row>
    <row r="16">
      <c r="A16" s="27" t="s">
        <v>39</v>
      </c>
    </row>
    <row r="17">
      <c r="A17" s="27" t="s">
        <v>40</v>
      </c>
    </row>
    <row r="18">
      <c r="A18" s="27" t="s">
        <v>42</v>
      </c>
    </row>
    <row r="19">
      <c r="A19" s="27" t="s">
        <v>43</v>
      </c>
    </row>
    <row r="20">
      <c r="A20" s="27" t="s">
        <v>44</v>
      </c>
    </row>
    <row r="21">
      <c r="A21" s="27" t="s">
        <v>45</v>
      </c>
    </row>
    <row r="22">
      <c r="A22" s="27" t="s">
        <v>46</v>
      </c>
    </row>
    <row r="23">
      <c r="A23" s="27" t="s">
        <v>47</v>
      </c>
    </row>
    <row r="24">
      <c r="A24" s="27" t="s">
        <v>49</v>
      </c>
    </row>
    <row r="25">
      <c r="A25" s="27" t="s">
        <v>50</v>
      </c>
    </row>
    <row r="26">
      <c r="A26" s="27" t="s">
        <v>52</v>
      </c>
    </row>
    <row r="27">
      <c r="A27" s="27" t="s">
        <v>53</v>
      </c>
    </row>
    <row r="28">
      <c r="A28" s="27" t="s">
        <v>54</v>
      </c>
    </row>
    <row r="29">
      <c r="A29" s="27" t="s">
        <v>56</v>
      </c>
    </row>
    <row r="30">
      <c r="A30" s="27" t="s">
        <v>57</v>
      </c>
    </row>
    <row r="31">
      <c r="A31" s="27" t="s">
        <v>58</v>
      </c>
    </row>
    <row r="32">
      <c r="A32" s="27" t="s">
        <v>60</v>
      </c>
    </row>
    <row r="33">
      <c r="A33" s="27" t="s">
        <v>62</v>
      </c>
    </row>
    <row r="34">
      <c r="A34" s="27" t="s">
        <v>63</v>
      </c>
    </row>
    <row r="35">
      <c r="A35" s="27" t="s">
        <v>65</v>
      </c>
    </row>
    <row r="36">
      <c r="A36" s="27" t="s">
        <v>66</v>
      </c>
    </row>
    <row r="37">
      <c r="A37" s="27" t="s">
        <v>68</v>
      </c>
    </row>
    <row r="38">
      <c r="A38" s="27" t="s">
        <v>70</v>
      </c>
    </row>
    <row r="39">
      <c r="A39" s="27" t="s">
        <v>72</v>
      </c>
    </row>
    <row r="40">
      <c r="A40" s="27" t="s">
        <v>73</v>
      </c>
    </row>
    <row r="41">
      <c r="A41" s="27" t="s">
        <v>75</v>
      </c>
    </row>
    <row r="42">
      <c r="A42" s="27" t="s">
        <v>76</v>
      </c>
    </row>
    <row r="43">
      <c r="A43" s="27" t="s">
        <v>77</v>
      </c>
    </row>
    <row r="44">
      <c r="A44" s="27" t="s">
        <v>78</v>
      </c>
    </row>
    <row r="45">
      <c r="A45" s="27" t="s">
        <v>79</v>
      </c>
    </row>
    <row r="46">
      <c r="A46" s="27" t="s">
        <v>80</v>
      </c>
    </row>
    <row r="47">
      <c r="A47" s="27" t="s">
        <v>81</v>
      </c>
    </row>
    <row r="48">
      <c r="A48" s="27" t="s">
        <v>82</v>
      </c>
    </row>
    <row r="49">
      <c r="A49" s="27" t="s">
        <v>83</v>
      </c>
    </row>
    <row r="50">
      <c r="A50" s="27" t="s">
        <v>84</v>
      </c>
    </row>
    <row r="51">
      <c r="A51" s="27" t="s">
        <v>85</v>
      </c>
    </row>
    <row r="52">
      <c r="A52" s="27" t="s">
        <v>86</v>
      </c>
    </row>
    <row r="53">
      <c r="A53" s="27" t="s">
        <v>87</v>
      </c>
    </row>
    <row r="54">
      <c r="A54" s="27" t="s">
        <v>88</v>
      </c>
    </row>
    <row r="55">
      <c r="A55" s="27" t="s">
        <v>89</v>
      </c>
    </row>
    <row r="56">
      <c r="A56" s="27" t="s">
        <v>90</v>
      </c>
    </row>
    <row r="57">
      <c r="A57" s="27" t="s">
        <v>91</v>
      </c>
    </row>
    <row r="58">
      <c r="A58" s="27" t="s">
        <v>92</v>
      </c>
    </row>
    <row r="59">
      <c r="A59" s="27" t="s">
        <v>93</v>
      </c>
    </row>
    <row r="60">
      <c r="A60" s="27" t="s">
        <v>94</v>
      </c>
    </row>
    <row r="61">
      <c r="A61" s="27" t="s">
        <v>95</v>
      </c>
    </row>
    <row r="62">
      <c r="A62" s="27" t="s">
        <v>96</v>
      </c>
    </row>
    <row r="63">
      <c r="A63" s="27" t="s">
        <v>97</v>
      </c>
    </row>
    <row r="64">
      <c r="A64" s="27" t="s">
        <v>98</v>
      </c>
    </row>
    <row r="65">
      <c r="A65" s="27" t="s">
        <v>99</v>
      </c>
    </row>
    <row r="66">
      <c r="A66" s="27" t="s">
        <v>100</v>
      </c>
    </row>
    <row r="67">
      <c r="A67" s="27" t="s">
        <v>101</v>
      </c>
    </row>
    <row r="68">
      <c r="A68" s="27" t="s">
        <v>102</v>
      </c>
    </row>
    <row r="69">
      <c r="A69" s="27" t="s">
        <v>103</v>
      </c>
    </row>
    <row r="70">
      <c r="A70" s="27" t="s">
        <v>104</v>
      </c>
    </row>
    <row r="71">
      <c r="A71" s="27" t="s">
        <v>105</v>
      </c>
    </row>
    <row r="72">
      <c r="A72" s="27" t="s">
        <v>106</v>
      </c>
    </row>
    <row r="73">
      <c r="A73" s="27" t="s">
        <v>107</v>
      </c>
    </row>
    <row r="74">
      <c r="A74" s="27" t="s">
        <v>108</v>
      </c>
    </row>
    <row r="75">
      <c r="A75" s="27" t="s">
        <v>109</v>
      </c>
    </row>
    <row r="76">
      <c r="A76" s="27" t="s">
        <v>110</v>
      </c>
    </row>
    <row r="77">
      <c r="A77" s="27" t="s">
        <v>111</v>
      </c>
    </row>
    <row r="78">
      <c r="A78" s="27" t="s">
        <v>112</v>
      </c>
    </row>
    <row r="79">
      <c r="A79" s="27" t="s">
        <v>113</v>
      </c>
    </row>
    <row r="80">
      <c r="A80" s="27" t="s">
        <v>114</v>
      </c>
    </row>
    <row r="81">
      <c r="A81" s="27" t="s">
        <v>115</v>
      </c>
    </row>
    <row r="82">
      <c r="A82" s="27" t="s">
        <v>116</v>
      </c>
    </row>
    <row r="83">
      <c r="A83" s="27" t="s">
        <v>117</v>
      </c>
    </row>
    <row r="84">
      <c r="A84" s="27" t="s">
        <v>118</v>
      </c>
    </row>
    <row r="85">
      <c r="A85" s="27" t="s">
        <v>119</v>
      </c>
    </row>
    <row r="86">
      <c r="A86" s="27" t="s">
        <v>120</v>
      </c>
    </row>
    <row r="87">
      <c r="A87" s="27" t="s">
        <v>121</v>
      </c>
    </row>
    <row r="88">
      <c r="A88" s="27" t="s">
        <v>122</v>
      </c>
    </row>
    <row r="89">
      <c r="A89" s="27" t="s">
        <v>123</v>
      </c>
    </row>
    <row r="90">
      <c r="A90" s="27" t="s">
        <v>124</v>
      </c>
    </row>
    <row r="91">
      <c r="A91" s="27" t="s">
        <v>125</v>
      </c>
    </row>
    <row r="92">
      <c r="A92" s="27" t="s">
        <v>126</v>
      </c>
    </row>
    <row r="93">
      <c r="A93" s="27" t="s">
        <v>127</v>
      </c>
    </row>
    <row r="94">
      <c r="A94" s="27" t="s">
        <v>128</v>
      </c>
    </row>
    <row r="95">
      <c r="A95" s="27" t="s">
        <v>129</v>
      </c>
    </row>
    <row r="96">
      <c r="A96" s="27" t="s">
        <v>130</v>
      </c>
    </row>
    <row r="97">
      <c r="A97" s="27" t="s">
        <v>131</v>
      </c>
    </row>
    <row r="98">
      <c r="A98" s="27" t="s">
        <v>132</v>
      </c>
    </row>
    <row r="99">
      <c r="A99" s="27" t="s">
        <v>133</v>
      </c>
    </row>
    <row r="100">
      <c r="A100" s="27" t="s">
        <v>134</v>
      </c>
    </row>
    <row r="101">
      <c r="A101" s="27" t="s">
        <v>135</v>
      </c>
    </row>
    <row r="102">
      <c r="A102" s="27" t="s">
        <v>136</v>
      </c>
    </row>
    <row r="103">
      <c r="A103" s="27" t="s">
        <v>137</v>
      </c>
    </row>
    <row r="104">
      <c r="A104" s="27" t="s">
        <v>138</v>
      </c>
    </row>
    <row r="105">
      <c r="A105" s="27" t="s">
        <v>139</v>
      </c>
    </row>
    <row r="106">
      <c r="A106" s="27" t="s">
        <v>140</v>
      </c>
    </row>
    <row r="107">
      <c r="A107" s="27" t="s">
        <v>141</v>
      </c>
    </row>
    <row r="108">
      <c r="A108" s="27" t="s">
        <v>142</v>
      </c>
    </row>
    <row r="109">
      <c r="A109" s="27" t="s">
        <v>143</v>
      </c>
    </row>
    <row r="110">
      <c r="A110" s="27" t="s">
        <v>144</v>
      </c>
    </row>
    <row r="111">
      <c r="A111" s="27" t="s">
        <v>145</v>
      </c>
    </row>
    <row r="112">
      <c r="A112" s="27" t="s">
        <v>146</v>
      </c>
    </row>
    <row r="113">
      <c r="A113" s="27" t="s">
        <v>147</v>
      </c>
    </row>
    <row r="114">
      <c r="A114" s="27" t="s">
        <v>148</v>
      </c>
    </row>
    <row r="115">
      <c r="A115" s="27" t="s">
        <v>149</v>
      </c>
    </row>
    <row r="116">
      <c r="A116" s="27" t="s">
        <v>150</v>
      </c>
    </row>
    <row r="117">
      <c r="A117" s="27" t="s">
        <v>151</v>
      </c>
    </row>
    <row r="118">
      <c r="A118" s="27" t="s">
        <v>152</v>
      </c>
    </row>
    <row r="119">
      <c r="A119" s="27" t="s">
        <v>153</v>
      </c>
    </row>
    <row r="120">
      <c r="A120" s="27" t="s">
        <v>154</v>
      </c>
    </row>
    <row r="121">
      <c r="A121" s="27" t="s">
        <v>155</v>
      </c>
    </row>
    <row r="122">
      <c r="A122" s="27" t="s">
        <v>156</v>
      </c>
    </row>
    <row r="123">
      <c r="A123" s="27" t="s">
        <v>157</v>
      </c>
    </row>
    <row r="124">
      <c r="A124" s="27" t="s">
        <v>158</v>
      </c>
    </row>
    <row r="125">
      <c r="A125" s="27" t="s">
        <v>159</v>
      </c>
    </row>
    <row r="126">
      <c r="A126" s="27" t="s">
        <v>160</v>
      </c>
    </row>
    <row r="127">
      <c r="A127" s="27" t="s">
        <v>161</v>
      </c>
    </row>
    <row r="128">
      <c r="A128" s="27" t="s">
        <v>162</v>
      </c>
    </row>
    <row r="129">
      <c r="A129" s="27" t="s">
        <v>163</v>
      </c>
    </row>
    <row r="130">
      <c r="A130" s="27" t="s">
        <v>164</v>
      </c>
    </row>
    <row r="131">
      <c r="A131" s="27" t="s">
        <v>165</v>
      </c>
    </row>
    <row r="132">
      <c r="A132" s="27" t="s">
        <v>166</v>
      </c>
    </row>
    <row r="133">
      <c r="A133" s="27" t="s">
        <v>167</v>
      </c>
    </row>
    <row r="134">
      <c r="A134" s="27" t="s">
        <v>168</v>
      </c>
    </row>
    <row r="135">
      <c r="A135" s="27" t="s">
        <v>169</v>
      </c>
    </row>
    <row r="136">
      <c r="A136" s="27" t="s">
        <v>170</v>
      </c>
    </row>
    <row r="137">
      <c r="A137" s="27" t="s">
        <v>171</v>
      </c>
    </row>
    <row r="138">
      <c r="A138" s="27" t="s">
        <v>172</v>
      </c>
    </row>
    <row r="139">
      <c r="A139" s="27" t="s">
        <v>173</v>
      </c>
    </row>
    <row r="140">
      <c r="A140" s="27" t="s">
        <v>174</v>
      </c>
    </row>
    <row r="141">
      <c r="A141" s="27" t="s">
        <v>175</v>
      </c>
    </row>
    <row r="142">
      <c r="A142" s="27" t="s">
        <v>176</v>
      </c>
    </row>
    <row r="143">
      <c r="A143" s="27" t="s">
        <v>177</v>
      </c>
    </row>
    <row r="144">
      <c r="A144" s="27" t="s">
        <v>178</v>
      </c>
    </row>
    <row r="145">
      <c r="A145" s="27" t="s">
        <v>179</v>
      </c>
    </row>
    <row r="146">
      <c r="A146" s="27" t="s">
        <v>180</v>
      </c>
    </row>
    <row r="147">
      <c r="A147" s="27" t="s">
        <v>181</v>
      </c>
    </row>
    <row r="148">
      <c r="A148" s="27" t="s">
        <v>182</v>
      </c>
    </row>
    <row r="149">
      <c r="A149" s="27" t="s">
        <v>183</v>
      </c>
    </row>
    <row r="150">
      <c r="A150" s="27" t="s">
        <v>184</v>
      </c>
    </row>
    <row r="151">
      <c r="A151" s="27" t="s">
        <v>185</v>
      </c>
    </row>
    <row r="152">
      <c r="A152" s="27" t="s">
        <v>186</v>
      </c>
    </row>
    <row r="153">
      <c r="A153" s="27" t="s">
        <v>187</v>
      </c>
    </row>
    <row r="154">
      <c r="A154" s="27" t="s">
        <v>188</v>
      </c>
    </row>
    <row r="155">
      <c r="A155" s="27" t="s">
        <v>189</v>
      </c>
    </row>
    <row r="156">
      <c r="A156" s="27" t="s">
        <v>190</v>
      </c>
    </row>
    <row r="157">
      <c r="A157" s="27" t="s">
        <v>191</v>
      </c>
    </row>
    <row r="158">
      <c r="A158" s="27" t="s">
        <v>192</v>
      </c>
    </row>
    <row r="159">
      <c r="A159" s="27" t="s">
        <v>193</v>
      </c>
    </row>
    <row r="160">
      <c r="A160" s="27" t="s">
        <v>194</v>
      </c>
    </row>
    <row r="161">
      <c r="A161" s="27" t="s">
        <v>195</v>
      </c>
    </row>
    <row r="162">
      <c r="A162" s="27" t="s">
        <v>196</v>
      </c>
    </row>
    <row r="163">
      <c r="A163" s="27" t="s">
        <v>197</v>
      </c>
    </row>
    <row r="164">
      <c r="A164" s="27" t="s">
        <v>198</v>
      </c>
    </row>
    <row r="165">
      <c r="A165" s="27" t="s">
        <v>199</v>
      </c>
    </row>
    <row r="166">
      <c r="A166" s="27" t="s">
        <v>200</v>
      </c>
    </row>
    <row r="167">
      <c r="A167" s="27" t="s">
        <v>201</v>
      </c>
    </row>
    <row r="168">
      <c r="A168" s="27" t="s">
        <v>202</v>
      </c>
    </row>
    <row r="169">
      <c r="A169" s="27" t="s">
        <v>203</v>
      </c>
    </row>
    <row r="170">
      <c r="A170" s="27" t="s">
        <v>204</v>
      </c>
    </row>
    <row r="171">
      <c r="A171" s="27" t="s">
        <v>205</v>
      </c>
    </row>
    <row r="172">
      <c r="A172" s="27" t="s">
        <v>206</v>
      </c>
    </row>
    <row r="173">
      <c r="A173" s="27" t="s">
        <v>207</v>
      </c>
    </row>
    <row r="174">
      <c r="A174" s="27" t="s">
        <v>208</v>
      </c>
    </row>
    <row r="175">
      <c r="A175" s="27" t="s">
        <v>209</v>
      </c>
    </row>
    <row r="176">
      <c r="A176" s="27" t="s">
        <v>210</v>
      </c>
    </row>
    <row r="177">
      <c r="A177" s="27" t="s">
        <v>211</v>
      </c>
    </row>
    <row r="178">
      <c r="A178" s="27" t="s">
        <v>212</v>
      </c>
    </row>
    <row r="179">
      <c r="A179" s="27" t="s">
        <v>213</v>
      </c>
    </row>
    <row r="180">
      <c r="A180" s="27" t="s">
        <v>214</v>
      </c>
    </row>
    <row r="181">
      <c r="A181" s="27" t="s">
        <v>215</v>
      </c>
    </row>
    <row r="182">
      <c r="A182" s="27" t="s">
        <v>216</v>
      </c>
    </row>
    <row r="183">
      <c r="A183" s="27" t="s">
        <v>217</v>
      </c>
    </row>
    <row r="184">
      <c r="A184" s="27" t="s">
        <v>218</v>
      </c>
    </row>
    <row r="185">
      <c r="A185" s="27" t="s">
        <v>219</v>
      </c>
    </row>
    <row r="186">
      <c r="A186" s="27" t="s">
        <v>220</v>
      </c>
    </row>
    <row r="187">
      <c r="A187" s="27" t="s">
        <v>221</v>
      </c>
    </row>
    <row r="188">
      <c r="A188" s="27" t="s">
        <v>222</v>
      </c>
    </row>
    <row r="189">
      <c r="A189" s="27" t="s">
        <v>223</v>
      </c>
    </row>
    <row r="190">
      <c r="A190" s="27" t="s">
        <v>224</v>
      </c>
    </row>
    <row r="191">
      <c r="A191" s="27" t="s">
        <v>225</v>
      </c>
    </row>
    <row r="192">
      <c r="A192" s="27" t="s">
        <v>226</v>
      </c>
    </row>
    <row r="193">
      <c r="A193" s="27" t="s">
        <v>227</v>
      </c>
    </row>
    <row r="194">
      <c r="A194" s="27" t="s">
        <v>228</v>
      </c>
    </row>
    <row r="195">
      <c r="A195" s="27" t="s">
        <v>229</v>
      </c>
    </row>
    <row r="196">
      <c r="A196" s="27" t="s">
        <v>230</v>
      </c>
    </row>
    <row r="197">
      <c r="A197" s="27" t="s">
        <v>231</v>
      </c>
    </row>
    <row r="198">
      <c r="A198" s="27" t="s">
        <v>232</v>
      </c>
    </row>
    <row r="199">
      <c r="A199" s="27" t="s">
        <v>233</v>
      </c>
    </row>
    <row r="200">
      <c r="A200" s="27" t="s">
        <v>234</v>
      </c>
    </row>
    <row r="201">
      <c r="A201" s="27" t="s">
        <v>235</v>
      </c>
    </row>
    <row r="202">
      <c r="A202" s="27" t="s">
        <v>236</v>
      </c>
    </row>
    <row r="203">
      <c r="A203" s="27" t="s">
        <v>237</v>
      </c>
    </row>
    <row r="204">
      <c r="A204" s="27" t="s">
        <v>238</v>
      </c>
    </row>
    <row r="205">
      <c r="A205" s="27" t="s">
        <v>239</v>
      </c>
    </row>
    <row r="206">
      <c r="A206" s="27" t="s">
        <v>240</v>
      </c>
    </row>
    <row r="207">
      <c r="A207" s="27" t="s">
        <v>241</v>
      </c>
    </row>
    <row r="208">
      <c r="A208" s="27" t="s">
        <v>242</v>
      </c>
    </row>
    <row r="209">
      <c r="A209" s="27" t="s">
        <v>243</v>
      </c>
    </row>
    <row r="210">
      <c r="A210" s="27" t="s">
        <v>244</v>
      </c>
    </row>
    <row r="211">
      <c r="A211" s="27" t="s">
        <v>245</v>
      </c>
    </row>
    <row r="212">
      <c r="A212" s="27" t="s">
        <v>246</v>
      </c>
    </row>
    <row r="213">
      <c r="A213" s="27" t="s">
        <v>247</v>
      </c>
    </row>
    <row r="214">
      <c r="A214" s="27" t="s">
        <v>248</v>
      </c>
    </row>
    <row r="215">
      <c r="A215" s="27" t="s">
        <v>249</v>
      </c>
    </row>
    <row r="216">
      <c r="A216" s="27" t="s">
        <v>250</v>
      </c>
    </row>
    <row r="217">
      <c r="A217" s="27" t="s">
        <v>251</v>
      </c>
    </row>
    <row r="218">
      <c r="A218" s="27" t="s">
        <v>252</v>
      </c>
    </row>
    <row r="219">
      <c r="A219" s="27" t="s">
        <v>253</v>
      </c>
    </row>
    <row r="220">
      <c r="A220" s="27" t="s">
        <v>255</v>
      </c>
    </row>
    <row r="221">
      <c r="A221" s="27" t="s">
        <v>256</v>
      </c>
    </row>
    <row r="222">
      <c r="A222" s="27" t="s">
        <v>257</v>
      </c>
    </row>
    <row r="223">
      <c r="A223" s="27" t="s">
        <v>258</v>
      </c>
    </row>
    <row r="224">
      <c r="A224" s="27" t="s">
        <v>259</v>
      </c>
    </row>
    <row r="225">
      <c r="A225" s="27" t="s">
        <v>260</v>
      </c>
    </row>
    <row r="226">
      <c r="A226" s="27" t="s">
        <v>261</v>
      </c>
    </row>
    <row r="227">
      <c r="A227" s="27" t="s">
        <v>262</v>
      </c>
    </row>
    <row r="228">
      <c r="A228" s="27" t="s">
        <v>263</v>
      </c>
    </row>
    <row r="229">
      <c r="A229" s="27" t="s">
        <v>264</v>
      </c>
    </row>
    <row r="230">
      <c r="A230" s="27" t="s">
        <v>265</v>
      </c>
    </row>
    <row r="231">
      <c r="A231" s="27" t="s">
        <v>266</v>
      </c>
    </row>
    <row r="232">
      <c r="A232" s="27" t="s">
        <v>267</v>
      </c>
    </row>
    <row r="233">
      <c r="A233" s="27" t="s">
        <v>268</v>
      </c>
    </row>
    <row r="234">
      <c r="A234" s="27" t="s">
        <v>269</v>
      </c>
    </row>
    <row r="235">
      <c r="A235" s="27" t="s">
        <v>270</v>
      </c>
    </row>
    <row r="236">
      <c r="A236" s="27" t="s">
        <v>271</v>
      </c>
    </row>
    <row r="237">
      <c r="A237" s="27" t="s">
        <v>272</v>
      </c>
    </row>
    <row r="238">
      <c r="A238" s="27" t="s">
        <v>273</v>
      </c>
    </row>
    <row r="239">
      <c r="A239" s="27" t="s">
        <v>274</v>
      </c>
    </row>
    <row r="240">
      <c r="A240" s="27" t="s">
        <v>275</v>
      </c>
    </row>
    <row r="241">
      <c r="A241" s="27" t="s">
        <v>277</v>
      </c>
    </row>
    <row r="242">
      <c r="A242" s="27" t="s">
        <v>278</v>
      </c>
    </row>
    <row r="243">
      <c r="A243" s="27" t="s">
        <v>280</v>
      </c>
    </row>
    <row r="244">
      <c r="A244" s="27" t="s">
        <v>281</v>
      </c>
    </row>
    <row r="245">
      <c r="A245" s="27" t="s">
        <v>282</v>
      </c>
    </row>
    <row r="246">
      <c r="A246" s="27" t="s">
        <v>283</v>
      </c>
    </row>
    <row r="247">
      <c r="A247" s="27" t="s">
        <v>285</v>
      </c>
    </row>
    <row r="248">
      <c r="A248" s="27" t="s">
        <v>286</v>
      </c>
    </row>
    <row r="249">
      <c r="A249" s="27" t="s">
        <v>287</v>
      </c>
    </row>
    <row r="250">
      <c r="A250" s="27" t="s">
        <v>288</v>
      </c>
    </row>
    <row r="251">
      <c r="A251" s="27" t="s">
        <v>289</v>
      </c>
    </row>
    <row r="252">
      <c r="A252" s="27" t="s">
        <v>291</v>
      </c>
    </row>
    <row r="253">
      <c r="A253" s="27" t="s">
        <v>292</v>
      </c>
    </row>
    <row r="254">
      <c r="A254" s="27" t="s">
        <v>293</v>
      </c>
    </row>
    <row r="255">
      <c r="A255" s="27" t="s">
        <v>294</v>
      </c>
    </row>
    <row r="256">
      <c r="A256" s="27" t="s">
        <v>295</v>
      </c>
    </row>
    <row r="257">
      <c r="A257" s="27" t="s">
        <v>296</v>
      </c>
    </row>
    <row r="258">
      <c r="A258" s="27" t="s">
        <v>297</v>
      </c>
    </row>
    <row r="259">
      <c r="A259" s="27" t="s">
        <v>298</v>
      </c>
    </row>
    <row r="260">
      <c r="A260" s="27" t="s">
        <v>299</v>
      </c>
    </row>
    <row r="261">
      <c r="A261" s="27" t="s">
        <v>300</v>
      </c>
    </row>
    <row r="262">
      <c r="A262" s="27" t="s">
        <v>301</v>
      </c>
    </row>
    <row r="263">
      <c r="A263" s="27" t="s">
        <v>302</v>
      </c>
    </row>
    <row r="264">
      <c r="A264" s="27" t="s">
        <v>303</v>
      </c>
    </row>
    <row r="265">
      <c r="A265" s="27" t="s">
        <v>304</v>
      </c>
    </row>
    <row r="266">
      <c r="A266" s="27" t="s">
        <v>305</v>
      </c>
    </row>
    <row r="267">
      <c r="A267" s="27" t="s">
        <v>306</v>
      </c>
    </row>
    <row r="268">
      <c r="A268" s="27" t="s">
        <v>307</v>
      </c>
    </row>
    <row r="269">
      <c r="A269" s="27" t="s">
        <v>308</v>
      </c>
    </row>
    <row r="270">
      <c r="A270" s="27" t="s">
        <v>309</v>
      </c>
    </row>
    <row r="271">
      <c r="A271" s="27" t="s">
        <v>310</v>
      </c>
    </row>
    <row r="272">
      <c r="A272" s="27" t="s">
        <v>311</v>
      </c>
    </row>
    <row r="273">
      <c r="A273" s="27" t="s">
        <v>312</v>
      </c>
    </row>
    <row r="274">
      <c r="A274" s="27" t="s">
        <v>313</v>
      </c>
    </row>
    <row r="275">
      <c r="A275" s="27" t="s">
        <v>314</v>
      </c>
    </row>
    <row r="276">
      <c r="A276" s="27" t="s">
        <v>315</v>
      </c>
    </row>
    <row r="277">
      <c r="A277" s="27" t="s">
        <v>316</v>
      </c>
    </row>
    <row r="278">
      <c r="A278" s="27" t="s">
        <v>317</v>
      </c>
    </row>
    <row r="279">
      <c r="A279" s="27" t="s">
        <v>318</v>
      </c>
    </row>
    <row r="280">
      <c r="A280" s="27" t="s">
        <v>319</v>
      </c>
    </row>
    <row r="281">
      <c r="A281" s="27" t="s">
        <v>320</v>
      </c>
    </row>
    <row r="282">
      <c r="A282" s="27" t="s">
        <v>321</v>
      </c>
    </row>
    <row r="283">
      <c r="A283" s="27" t="s">
        <v>322</v>
      </c>
    </row>
    <row r="284">
      <c r="A284" s="27" t="s">
        <v>323</v>
      </c>
    </row>
    <row r="285">
      <c r="A285" s="27" t="s">
        <v>324</v>
      </c>
    </row>
    <row r="286">
      <c r="A286" s="27" t="s">
        <v>325</v>
      </c>
    </row>
    <row r="287">
      <c r="A287" s="27" t="s">
        <v>326</v>
      </c>
    </row>
    <row r="288">
      <c r="A288" s="27" t="s">
        <v>327</v>
      </c>
    </row>
    <row r="289">
      <c r="A289" s="27" t="s">
        <v>328</v>
      </c>
    </row>
    <row r="290">
      <c r="A290" s="27" t="s">
        <v>329</v>
      </c>
    </row>
    <row r="291">
      <c r="A291" s="27" t="s">
        <v>330</v>
      </c>
    </row>
    <row r="292">
      <c r="A292" s="27" t="s">
        <v>331</v>
      </c>
    </row>
    <row r="293">
      <c r="A293" s="27" t="s">
        <v>332</v>
      </c>
    </row>
    <row r="294">
      <c r="A294" s="27" t="s">
        <v>333</v>
      </c>
    </row>
    <row r="295">
      <c r="A295" s="27" t="s">
        <v>334</v>
      </c>
    </row>
    <row r="296">
      <c r="A296" s="27" t="s">
        <v>335</v>
      </c>
    </row>
    <row r="297">
      <c r="A297" s="27" t="s">
        <v>336</v>
      </c>
    </row>
    <row r="298">
      <c r="A298" s="27" t="s">
        <v>337</v>
      </c>
    </row>
    <row r="299">
      <c r="A299" s="27" t="s">
        <v>338</v>
      </c>
    </row>
    <row r="300">
      <c r="A300" s="27" t="s">
        <v>339</v>
      </c>
    </row>
    <row r="301">
      <c r="A301" s="27" t="s">
        <v>340</v>
      </c>
    </row>
    <row r="302">
      <c r="A302" s="27" t="s">
        <v>341</v>
      </c>
    </row>
    <row r="303">
      <c r="A303" s="27" t="s">
        <v>342</v>
      </c>
    </row>
    <row r="304">
      <c r="A304" s="27" t="s">
        <v>343</v>
      </c>
    </row>
    <row r="305">
      <c r="A305" s="27" t="s">
        <v>344</v>
      </c>
    </row>
    <row r="306">
      <c r="A306" s="27" t="s">
        <v>345</v>
      </c>
    </row>
    <row r="307">
      <c r="A307" s="27" t="s">
        <v>346</v>
      </c>
    </row>
    <row r="308">
      <c r="A308" s="27" t="s">
        <v>347</v>
      </c>
    </row>
    <row r="309">
      <c r="A309" s="27" t="s">
        <v>348</v>
      </c>
    </row>
    <row r="310">
      <c r="A310" s="27" t="s">
        <v>349</v>
      </c>
    </row>
    <row r="311">
      <c r="A311" s="27" t="s">
        <v>350</v>
      </c>
    </row>
    <row r="312">
      <c r="A312" s="27" t="s">
        <v>351</v>
      </c>
    </row>
    <row r="313">
      <c r="A313" s="27" t="s">
        <v>352</v>
      </c>
    </row>
    <row r="314">
      <c r="A314" s="27" t="s">
        <v>353</v>
      </c>
    </row>
    <row r="315">
      <c r="A315" s="27" t="s">
        <v>354</v>
      </c>
    </row>
    <row r="316">
      <c r="A316" s="27" t="s">
        <v>355</v>
      </c>
    </row>
    <row r="317">
      <c r="A317" s="27" t="s">
        <v>356</v>
      </c>
    </row>
    <row r="318">
      <c r="A318" s="27" t="s">
        <v>357</v>
      </c>
    </row>
    <row r="319">
      <c r="A319" s="27" t="s">
        <v>358</v>
      </c>
    </row>
    <row r="320">
      <c r="A320" s="27" t="s">
        <v>359</v>
      </c>
    </row>
    <row r="321">
      <c r="A321" s="27" t="s">
        <v>360</v>
      </c>
    </row>
    <row r="322">
      <c r="A322" s="27" t="s">
        <v>361</v>
      </c>
    </row>
    <row r="323">
      <c r="A323" s="27" t="s">
        <v>362</v>
      </c>
    </row>
    <row r="324">
      <c r="A324" s="27" t="s">
        <v>363</v>
      </c>
    </row>
    <row r="325">
      <c r="A325" s="27" t="s">
        <v>364</v>
      </c>
    </row>
    <row r="326">
      <c r="A326" s="27" t="s">
        <v>365</v>
      </c>
    </row>
    <row r="327">
      <c r="A327" s="27" t="s">
        <v>366</v>
      </c>
    </row>
    <row r="328">
      <c r="A328" s="27" t="s">
        <v>367</v>
      </c>
    </row>
    <row r="329">
      <c r="A329" s="27" t="s">
        <v>368</v>
      </c>
    </row>
    <row r="330">
      <c r="A330" s="27" t="s">
        <v>369</v>
      </c>
    </row>
    <row r="331">
      <c r="A331" s="27" t="s">
        <v>370</v>
      </c>
    </row>
    <row r="332">
      <c r="A332" s="27" t="s">
        <v>371</v>
      </c>
    </row>
    <row r="333">
      <c r="A333" s="27" t="s">
        <v>372</v>
      </c>
    </row>
    <row r="334">
      <c r="A334" s="27" t="s">
        <v>373</v>
      </c>
    </row>
    <row r="335">
      <c r="A335" s="27" t="s">
        <v>374</v>
      </c>
    </row>
    <row r="336">
      <c r="A336" s="27" t="s">
        <v>375</v>
      </c>
    </row>
    <row r="337">
      <c r="A337" s="27" t="s">
        <v>376</v>
      </c>
    </row>
    <row r="338">
      <c r="A338" s="27" t="s">
        <v>377</v>
      </c>
    </row>
    <row r="339">
      <c r="A339" s="27" t="s">
        <v>378</v>
      </c>
    </row>
    <row r="340">
      <c r="A340" s="27" t="s">
        <v>379</v>
      </c>
    </row>
    <row r="341">
      <c r="A341" s="27" t="s">
        <v>380</v>
      </c>
    </row>
    <row r="342">
      <c r="A342" s="27" t="s">
        <v>381</v>
      </c>
    </row>
    <row r="343">
      <c r="A343" s="27" t="s">
        <v>382</v>
      </c>
    </row>
    <row r="344">
      <c r="A344" s="27" t="s">
        <v>383</v>
      </c>
    </row>
    <row r="345">
      <c r="A345" s="27" t="s">
        <v>384</v>
      </c>
    </row>
    <row r="346">
      <c r="A346" s="27" t="s">
        <v>385</v>
      </c>
    </row>
    <row r="347">
      <c r="A347" s="27" t="s">
        <v>386</v>
      </c>
    </row>
    <row r="348">
      <c r="A348" s="27" t="s">
        <v>387</v>
      </c>
    </row>
    <row r="349">
      <c r="A349" s="27" t="s">
        <v>388</v>
      </c>
    </row>
    <row r="350">
      <c r="A350" s="27" t="s">
        <v>389</v>
      </c>
    </row>
    <row r="351">
      <c r="A351" s="27" t="s">
        <v>390</v>
      </c>
    </row>
    <row r="352">
      <c r="A352" s="27" t="s">
        <v>391</v>
      </c>
    </row>
    <row r="353">
      <c r="A353" s="27" t="s">
        <v>392</v>
      </c>
    </row>
    <row r="354">
      <c r="A354" s="27" t="s">
        <v>393</v>
      </c>
    </row>
    <row r="355">
      <c r="A355" s="27" t="s">
        <v>394</v>
      </c>
    </row>
    <row r="356">
      <c r="A356" s="27" t="s">
        <v>395</v>
      </c>
    </row>
    <row r="357">
      <c r="A357" s="27" t="s">
        <v>396</v>
      </c>
    </row>
    <row r="358">
      <c r="A358" s="27" t="s">
        <v>397</v>
      </c>
    </row>
    <row r="359">
      <c r="A359" s="27" t="s">
        <v>398</v>
      </c>
    </row>
    <row r="360">
      <c r="A360" s="27" t="s">
        <v>399</v>
      </c>
    </row>
    <row r="361">
      <c r="A361" s="27" t="s">
        <v>400</v>
      </c>
    </row>
    <row r="362">
      <c r="A362" s="27" t="s">
        <v>401</v>
      </c>
    </row>
    <row r="363">
      <c r="A363" s="27" t="s">
        <v>402</v>
      </c>
    </row>
    <row r="364">
      <c r="A364" s="27" t="s">
        <v>403</v>
      </c>
    </row>
    <row r="365">
      <c r="A365" s="27" t="s">
        <v>404</v>
      </c>
    </row>
    <row r="366">
      <c r="A366" s="27" t="s">
        <v>405</v>
      </c>
    </row>
    <row r="367">
      <c r="A367" s="27" t="s">
        <v>406</v>
      </c>
    </row>
    <row r="368">
      <c r="A368" s="27" t="s">
        <v>407</v>
      </c>
    </row>
    <row r="369">
      <c r="A369" s="27" t="s">
        <v>408</v>
      </c>
    </row>
    <row r="370">
      <c r="A370" s="27" t="s">
        <v>409</v>
      </c>
    </row>
    <row r="371">
      <c r="A371" s="27" t="s">
        <v>410</v>
      </c>
    </row>
    <row r="372">
      <c r="A372" s="27" t="s">
        <v>411</v>
      </c>
    </row>
    <row r="373">
      <c r="A373" s="27" t="s">
        <v>412</v>
      </c>
    </row>
    <row r="374">
      <c r="A374" s="27" t="s">
        <v>413</v>
      </c>
    </row>
    <row r="375">
      <c r="A375" s="27" t="s">
        <v>414</v>
      </c>
    </row>
    <row r="376">
      <c r="A376" s="27" t="s">
        <v>415</v>
      </c>
    </row>
    <row r="377">
      <c r="A377" s="27" t="s">
        <v>416</v>
      </c>
    </row>
    <row r="378">
      <c r="A378" s="27" t="s">
        <v>417</v>
      </c>
    </row>
    <row r="379">
      <c r="A379" s="27" t="s">
        <v>418</v>
      </c>
    </row>
    <row r="380">
      <c r="A380" s="27" t="s">
        <v>419</v>
      </c>
    </row>
    <row r="381">
      <c r="A381" s="27" t="s">
        <v>420</v>
      </c>
    </row>
    <row r="382">
      <c r="A382" s="27" t="s">
        <v>421</v>
      </c>
    </row>
    <row r="383">
      <c r="A383" s="27" t="s">
        <v>422</v>
      </c>
    </row>
    <row r="384">
      <c r="A384" s="27" t="s">
        <v>423</v>
      </c>
    </row>
    <row r="385">
      <c r="A385" s="27" t="s">
        <v>424</v>
      </c>
    </row>
    <row r="386">
      <c r="A386" s="27" t="s">
        <v>425</v>
      </c>
    </row>
    <row r="387">
      <c r="A387" s="27" t="s">
        <v>426</v>
      </c>
    </row>
    <row r="388">
      <c r="A388" s="27" t="s">
        <v>427</v>
      </c>
    </row>
    <row r="389">
      <c r="A389" s="27" t="s">
        <v>428</v>
      </c>
    </row>
    <row r="390">
      <c r="A390" s="27" t="s">
        <v>429</v>
      </c>
    </row>
    <row r="391">
      <c r="A391" s="27" t="s">
        <v>430</v>
      </c>
    </row>
    <row r="392">
      <c r="A392" s="27" t="s">
        <v>431</v>
      </c>
    </row>
    <row r="393">
      <c r="A393" s="27" t="s">
        <v>432</v>
      </c>
    </row>
    <row r="394">
      <c r="A394" s="27" t="s">
        <v>433</v>
      </c>
    </row>
    <row r="395">
      <c r="A395" s="27" t="s">
        <v>434</v>
      </c>
    </row>
    <row r="396">
      <c r="A396" s="27" t="s">
        <v>435</v>
      </c>
    </row>
    <row r="397">
      <c r="A397" s="27" t="s">
        <v>436</v>
      </c>
    </row>
    <row r="398">
      <c r="A398" s="27" t="s">
        <v>437</v>
      </c>
    </row>
    <row r="399">
      <c r="A399" s="27" t="s">
        <v>438</v>
      </c>
    </row>
    <row r="400">
      <c r="A400" s="27" t="s">
        <v>439</v>
      </c>
    </row>
    <row r="401">
      <c r="A401" s="27" t="s">
        <v>440</v>
      </c>
    </row>
    <row r="402">
      <c r="A402" s="27" t="s">
        <v>441</v>
      </c>
    </row>
    <row r="403">
      <c r="A403" s="27" t="s">
        <v>442</v>
      </c>
    </row>
    <row r="404">
      <c r="A404" s="27" t="s">
        <v>443</v>
      </c>
    </row>
    <row r="405">
      <c r="A405" s="27" t="s">
        <v>444</v>
      </c>
    </row>
    <row r="406">
      <c r="A406" s="27" t="s">
        <v>445</v>
      </c>
    </row>
    <row r="407">
      <c r="A407" s="27" t="s">
        <v>446</v>
      </c>
    </row>
    <row r="408">
      <c r="A408" s="27" t="s">
        <v>447</v>
      </c>
    </row>
    <row r="409">
      <c r="A409" s="27" t="s">
        <v>448</v>
      </c>
    </row>
    <row r="410">
      <c r="A410" s="27" t="s">
        <v>449</v>
      </c>
    </row>
    <row r="411">
      <c r="A411" s="27" t="s">
        <v>450</v>
      </c>
    </row>
    <row r="412">
      <c r="A412" s="27" t="s">
        <v>451</v>
      </c>
    </row>
    <row r="413">
      <c r="A413" s="27" t="s">
        <v>452</v>
      </c>
    </row>
    <row r="414">
      <c r="A414" s="27" t="s">
        <v>453</v>
      </c>
    </row>
    <row r="415">
      <c r="A415" s="27" t="s">
        <v>454</v>
      </c>
    </row>
    <row r="416">
      <c r="A416" s="27" t="s">
        <v>455</v>
      </c>
    </row>
    <row r="417">
      <c r="A417" s="27" t="s">
        <v>456</v>
      </c>
    </row>
    <row r="418">
      <c r="A418" s="27" t="s">
        <v>457</v>
      </c>
    </row>
    <row r="419">
      <c r="A419" s="27" t="s">
        <v>458</v>
      </c>
    </row>
    <row r="420">
      <c r="A420" s="27" t="s">
        <v>459</v>
      </c>
    </row>
    <row r="421">
      <c r="A421" s="27" t="s">
        <v>460</v>
      </c>
    </row>
    <row r="422">
      <c r="A422" s="27" t="s">
        <v>461</v>
      </c>
    </row>
    <row r="423">
      <c r="A423" s="27" t="s">
        <v>462</v>
      </c>
    </row>
    <row r="424">
      <c r="A424" s="27" t="s">
        <v>463</v>
      </c>
    </row>
    <row r="425">
      <c r="A425" s="27" t="s">
        <v>464</v>
      </c>
    </row>
    <row r="426">
      <c r="A426" s="27" t="s">
        <v>465</v>
      </c>
    </row>
    <row r="427">
      <c r="A427" s="27" t="s">
        <v>466</v>
      </c>
    </row>
    <row r="428">
      <c r="A428" s="27" t="s">
        <v>467</v>
      </c>
    </row>
    <row r="429">
      <c r="A429" s="27" t="s">
        <v>468</v>
      </c>
    </row>
    <row r="430">
      <c r="A430" s="27" t="s">
        <v>469</v>
      </c>
    </row>
    <row r="431">
      <c r="A431" s="27" t="s">
        <v>470</v>
      </c>
    </row>
    <row r="432">
      <c r="A432" s="27" t="s">
        <v>471</v>
      </c>
    </row>
    <row r="433">
      <c r="A433" s="27" t="s">
        <v>472</v>
      </c>
    </row>
    <row r="434">
      <c r="A434" s="27" t="s">
        <v>473</v>
      </c>
    </row>
    <row r="435">
      <c r="A435" s="27" t="s">
        <v>474</v>
      </c>
    </row>
    <row r="436">
      <c r="A436" s="27" t="s">
        <v>475</v>
      </c>
    </row>
    <row r="437">
      <c r="A437" s="27" t="s">
        <v>476</v>
      </c>
    </row>
    <row r="438">
      <c r="A438" s="27" t="s">
        <v>477</v>
      </c>
    </row>
    <row r="439">
      <c r="A439" s="27" t="s">
        <v>478</v>
      </c>
    </row>
    <row r="440">
      <c r="A440" s="27" t="s">
        <v>479</v>
      </c>
    </row>
    <row r="441">
      <c r="A441" s="27" t="s">
        <v>480</v>
      </c>
    </row>
    <row r="442">
      <c r="A442" s="27" t="s">
        <v>481</v>
      </c>
    </row>
    <row r="443">
      <c r="A443" s="27" t="s">
        <v>482</v>
      </c>
    </row>
    <row r="444">
      <c r="A444" s="27" t="s">
        <v>483</v>
      </c>
    </row>
    <row r="445">
      <c r="A445" s="27" t="s">
        <v>484</v>
      </c>
    </row>
    <row r="446">
      <c r="A446" s="27" t="s">
        <v>485</v>
      </c>
    </row>
    <row r="447">
      <c r="A447" s="27" t="s">
        <v>486</v>
      </c>
    </row>
    <row r="448">
      <c r="A448" s="27" t="s">
        <v>487</v>
      </c>
    </row>
    <row r="449">
      <c r="A449" s="27" t="s">
        <v>488</v>
      </c>
    </row>
    <row r="450">
      <c r="A450" s="27" t="s">
        <v>489</v>
      </c>
    </row>
    <row r="451">
      <c r="A451" s="27" t="s">
        <v>490</v>
      </c>
    </row>
    <row r="452">
      <c r="A452" s="27" t="s">
        <v>491</v>
      </c>
    </row>
    <row r="453">
      <c r="A453" s="27" t="s">
        <v>492</v>
      </c>
    </row>
    <row r="454">
      <c r="A454" s="27" t="s">
        <v>493</v>
      </c>
    </row>
    <row r="455">
      <c r="A455" s="27" t="s">
        <v>494</v>
      </c>
    </row>
    <row r="456">
      <c r="A456" s="27" t="s">
        <v>495</v>
      </c>
    </row>
    <row r="457">
      <c r="A457" s="27" t="s">
        <v>496</v>
      </c>
    </row>
    <row r="458">
      <c r="A458" s="27" t="s">
        <v>497</v>
      </c>
    </row>
    <row r="459">
      <c r="A459" s="27" t="s">
        <v>498</v>
      </c>
    </row>
    <row r="460">
      <c r="A460" s="27" t="s">
        <v>499</v>
      </c>
    </row>
    <row r="461">
      <c r="A461" s="27" t="s">
        <v>500</v>
      </c>
    </row>
    <row r="462">
      <c r="A462" s="27" t="s">
        <v>501</v>
      </c>
    </row>
    <row r="463">
      <c r="A463" s="27" t="s">
        <v>503</v>
      </c>
    </row>
    <row r="464">
      <c r="A464" s="27" t="s">
        <v>504</v>
      </c>
    </row>
    <row r="465">
      <c r="A465" s="27" t="s">
        <v>505</v>
      </c>
    </row>
    <row r="466">
      <c r="A466" s="27" t="s">
        <v>506</v>
      </c>
    </row>
    <row r="467">
      <c r="A467" s="27" t="s">
        <v>507</v>
      </c>
    </row>
    <row r="468">
      <c r="A468" s="27" t="s">
        <v>508</v>
      </c>
    </row>
    <row r="469">
      <c r="A469" s="27" t="s">
        <v>509</v>
      </c>
    </row>
    <row r="470">
      <c r="A470" s="27" t="s">
        <v>510</v>
      </c>
    </row>
    <row r="471">
      <c r="A471" s="27" t="s">
        <v>511</v>
      </c>
    </row>
    <row r="472">
      <c r="A472" s="27" t="s">
        <v>512</v>
      </c>
    </row>
    <row r="473">
      <c r="A473" s="27" t="s">
        <v>513</v>
      </c>
    </row>
    <row r="474">
      <c r="A474" s="27" t="s">
        <v>514</v>
      </c>
    </row>
    <row r="475">
      <c r="A475" s="27" t="s">
        <v>515</v>
      </c>
    </row>
    <row r="476">
      <c r="A476" s="27" t="s">
        <v>516</v>
      </c>
    </row>
    <row r="477">
      <c r="A477" s="27" t="s">
        <v>517</v>
      </c>
    </row>
    <row r="478">
      <c r="A478" s="27" t="s">
        <v>518</v>
      </c>
    </row>
    <row r="479">
      <c r="A479" s="27" t="s">
        <v>519</v>
      </c>
    </row>
    <row r="480">
      <c r="A480" s="27" t="s">
        <v>520</v>
      </c>
    </row>
    <row r="481">
      <c r="A481" s="27" t="s">
        <v>521</v>
      </c>
    </row>
    <row r="482">
      <c r="A482" s="27" t="s">
        <v>522</v>
      </c>
    </row>
    <row r="483">
      <c r="A483" s="27" t="s">
        <v>523</v>
      </c>
    </row>
    <row r="484">
      <c r="A484" s="27" t="s">
        <v>524</v>
      </c>
    </row>
    <row r="485">
      <c r="A485" s="27" t="s">
        <v>525</v>
      </c>
    </row>
    <row r="486">
      <c r="A486" s="27" t="s">
        <v>526</v>
      </c>
    </row>
    <row r="487">
      <c r="A487" s="27" t="s">
        <v>527</v>
      </c>
    </row>
    <row r="488">
      <c r="A488" s="27" t="s">
        <v>528</v>
      </c>
    </row>
    <row r="489">
      <c r="A489" s="27" t="s">
        <v>529</v>
      </c>
    </row>
    <row r="490">
      <c r="A490" s="27" t="s">
        <v>530</v>
      </c>
    </row>
    <row r="491">
      <c r="A491" s="27" t="s">
        <v>531</v>
      </c>
    </row>
    <row r="492">
      <c r="A492" s="27" t="s">
        <v>532</v>
      </c>
    </row>
    <row r="493">
      <c r="A493" s="27" t="s">
        <v>533</v>
      </c>
    </row>
    <row r="494">
      <c r="A494" s="27" t="s">
        <v>534</v>
      </c>
    </row>
    <row r="495">
      <c r="A495" s="27" t="s">
        <v>535</v>
      </c>
    </row>
    <row r="496">
      <c r="A496" s="27" t="s">
        <v>536</v>
      </c>
    </row>
    <row r="497">
      <c r="A497" s="27" t="s">
        <v>537</v>
      </c>
    </row>
    <row r="498">
      <c r="A498" s="27" t="s">
        <v>538</v>
      </c>
    </row>
    <row r="499">
      <c r="A499" s="27" t="s">
        <v>539</v>
      </c>
    </row>
    <row r="500">
      <c r="A500" s="27" t="s">
        <v>540</v>
      </c>
    </row>
    <row r="501">
      <c r="A501" s="27" t="s">
        <v>541</v>
      </c>
    </row>
    <row r="502">
      <c r="A502" s="27" t="s">
        <v>542</v>
      </c>
    </row>
    <row r="503">
      <c r="A503" s="27" t="s">
        <v>543</v>
      </c>
    </row>
    <row r="504">
      <c r="A504" s="27" t="s">
        <v>544</v>
      </c>
    </row>
    <row r="505">
      <c r="A505" s="27" t="s">
        <v>545</v>
      </c>
    </row>
    <row r="506">
      <c r="A506" s="27" t="s">
        <v>546</v>
      </c>
    </row>
    <row r="507">
      <c r="A507" s="27" t="s">
        <v>547</v>
      </c>
    </row>
    <row r="508">
      <c r="A508" s="27" t="s">
        <v>548</v>
      </c>
    </row>
    <row r="509">
      <c r="A509" s="27" t="s">
        <v>549</v>
      </c>
    </row>
    <row r="510">
      <c r="A510" s="27" t="s">
        <v>550</v>
      </c>
    </row>
    <row r="511">
      <c r="A511" s="27" t="s">
        <v>551</v>
      </c>
    </row>
    <row r="512">
      <c r="A512" s="27" t="s">
        <v>552</v>
      </c>
    </row>
    <row r="513">
      <c r="A513" s="27" t="s">
        <v>553</v>
      </c>
    </row>
    <row r="514">
      <c r="A514" s="27" t="s">
        <v>554</v>
      </c>
    </row>
    <row r="515">
      <c r="A515" s="27" t="s">
        <v>555</v>
      </c>
    </row>
    <row r="516">
      <c r="A516" s="27" t="s">
        <v>556</v>
      </c>
    </row>
    <row r="517">
      <c r="A517" s="27" t="s">
        <v>557</v>
      </c>
    </row>
    <row r="518">
      <c r="A518" s="27" t="s">
        <v>558</v>
      </c>
    </row>
    <row r="519">
      <c r="A519" s="27" t="s">
        <v>559</v>
      </c>
    </row>
    <row r="520">
      <c r="A520" s="27" t="s">
        <v>560</v>
      </c>
    </row>
    <row r="521">
      <c r="A521" s="27" t="s">
        <v>561</v>
      </c>
    </row>
    <row r="522">
      <c r="A522" s="27" t="s">
        <v>562</v>
      </c>
    </row>
    <row r="523">
      <c r="A523" s="27" t="s">
        <v>563</v>
      </c>
    </row>
    <row r="524">
      <c r="A524" s="27" t="s">
        <v>564</v>
      </c>
    </row>
    <row r="525">
      <c r="A525" s="27" t="s">
        <v>565</v>
      </c>
    </row>
    <row r="526">
      <c r="A526" s="27" t="s">
        <v>566</v>
      </c>
    </row>
    <row r="527">
      <c r="A527" s="27" t="s">
        <v>567</v>
      </c>
    </row>
    <row r="528">
      <c r="A528" s="27" t="s">
        <v>568</v>
      </c>
    </row>
    <row r="529">
      <c r="A529" s="27" t="s">
        <v>569</v>
      </c>
    </row>
    <row r="530">
      <c r="A530" s="27" t="s">
        <v>570</v>
      </c>
    </row>
    <row r="531">
      <c r="A531" s="27" t="s">
        <v>571</v>
      </c>
    </row>
    <row r="532">
      <c r="A532" s="27" t="s">
        <v>572</v>
      </c>
    </row>
    <row r="533">
      <c r="A533" s="27" t="s">
        <v>573</v>
      </c>
    </row>
    <row r="534">
      <c r="A534" s="27" t="s">
        <v>574</v>
      </c>
    </row>
    <row r="535">
      <c r="A535" s="27" t="s">
        <v>575</v>
      </c>
    </row>
    <row r="536">
      <c r="A536" s="27" t="s">
        <v>576</v>
      </c>
    </row>
    <row r="537">
      <c r="A537" s="27" t="s">
        <v>577</v>
      </c>
    </row>
    <row r="538">
      <c r="A538" s="27" t="s">
        <v>578</v>
      </c>
    </row>
    <row r="539">
      <c r="A539" s="27" t="s">
        <v>579</v>
      </c>
    </row>
    <row r="540">
      <c r="A540" s="27" t="s">
        <v>580</v>
      </c>
    </row>
    <row r="541">
      <c r="A541" s="27" t="s">
        <v>581</v>
      </c>
    </row>
    <row r="542">
      <c r="A542" s="27" t="s">
        <v>582</v>
      </c>
    </row>
    <row r="543">
      <c r="A543" s="27" t="s">
        <v>583</v>
      </c>
    </row>
    <row r="544">
      <c r="A544" s="27" t="s">
        <v>584</v>
      </c>
    </row>
    <row r="545">
      <c r="A545" s="27" t="s">
        <v>585</v>
      </c>
    </row>
    <row r="546">
      <c r="A546" s="27" t="s">
        <v>586</v>
      </c>
    </row>
    <row r="547">
      <c r="A547" s="27" t="s">
        <v>587</v>
      </c>
    </row>
    <row r="548">
      <c r="A548" s="27" t="s">
        <v>588</v>
      </c>
    </row>
    <row r="549">
      <c r="A549" s="27" t="s">
        <v>589</v>
      </c>
    </row>
    <row r="550">
      <c r="A550" s="27" t="s">
        <v>590</v>
      </c>
    </row>
    <row r="551">
      <c r="A551" s="27" t="s">
        <v>591</v>
      </c>
    </row>
    <row r="552">
      <c r="A552" s="27" t="s">
        <v>592</v>
      </c>
    </row>
    <row r="553">
      <c r="A553" s="27" t="s">
        <v>593</v>
      </c>
    </row>
    <row r="554">
      <c r="A554" s="27" t="s">
        <v>594</v>
      </c>
    </row>
    <row r="555">
      <c r="A555" s="27" t="s">
        <v>595</v>
      </c>
    </row>
    <row r="556">
      <c r="A556" s="27" t="s">
        <v>596</v>
      </c>
    </row>
    <row r="557">
      <c r="A557" s="27" t="s">
        <v>597</v>
      </c>
    </row>
    <row r="558">
      <c r="A558" s="27" t="s">
        <v>598</v>
      </c>
    </row>
    <row r="559">
      <c r="A559" s="27" t="s">
        <v>599</v>
      </c>
    </row>
    <row r="560">
      <c r="A560" s="27" t="s">
        <v>600</v>
      </c>
    </row>
    <row r="561">
      <c r="A561" s="27" t="s">
        <v>601</v>
      </c>
    </row>
    <row r="562">
      <c r="A562" s="27" t="s">
        <v>602</v>
      </c>
    </row>
    <row r="563">
      <c r="A563" s="27" t="s">
        <v>603</v>
      </c>
    </row>
    <row r="564">
      <c r="A564" s="27" t="s">
        <v>604</v>
      </c>
    </row>
    <row r="565">
      <c r="A565" s="27" t="s">
        <v>605</v>
      </c>
    </row>
    <row r="566">
      <c r="A566" s="27" t="s">
        <v>606</v>
      </c>
    </row>
    <row r="567">
      <c r="A567" s="27" t="s">
        <v>607</v>
      </c>
    </row>
    <row r="568">
      <c r="A568" s="27" t="s">
        <v>608</v>
      </c>
    </row>
    <row r="569">
      <c r="A569" s="27" t="s">
        <v>609</v>
      </c>
    </row>
    <row r="570">
      <c r="A570" s="27" t="s">
        <v>610</v>
      </c>
    </row>
    <row r="571">
      <c r="A571" s="27" t="s">
        <v>611</v>
      </c>
    </row>
    <row r="572">
      <c r="A572" s="27" t="s">
        <v>612</v>
      </c>
    </row>
    <row r="573">
      <c r="A573" s="27" t="s">
        <v>613</v>
      </c>
    </row>
    <row r="574">
      <c r="A574" s="27" t="s">
        <v>614</v>
      </c>
    </row>
    <row r="575">
      <c r="A575" s="27" t="s">
        <v>615</v>
      </c>
    </row>
    <row r="576">
      <c r="A576" s="27" t="s">
        <v>616</v>
      </c>
    </row>
    <row r="577">
      <c r="A577" s="27" t="s">
        <v>617</v>
      </c>
    </row>
    <row r="578">
      <c r="A578" s="27" t="s">
        <v>618</v>
      </c>
    </row>
    <row r="579">
      <c r="A579" s="27" t="s">
        <v>619</v>
      </c>
    </row>
    <row r="580">
      <c r="A580" s="27" t="s">
        <v>620</v>
      </c>
    </row>
    <row r="581">
      <c r="A581" s="27" t="s">
        <v>621</v>
      </c>
    </row>
    <row r="582">
      <c r="A582" s="27" t="s">
        <v>622</v>
      </c>
    </row>
    <row r="583">
      <c r="A583" s="27" t="s">
        <v>623</v>
      </c>
    </row>
    <row r="584">
      <c r="A584" s="27" t="s">
        <v>624</v>
      </c>
    </row>
    <row r="585">
      <c r="A585" s="27" t="s">
        <v>625</v>
      </c>
    </row>
    <row r="586">
      <c r="A586" s="27" t="s">
        <v>626</v>
      </c>
    </row>
    <row r="587">
      <c r="A587" s="27" t="s">
        <v>627</v>
      </c>
    </row>
    <row r="588">
      <c r="A588" s="27" t="s">
        <v>628</v>
      </c>
    </row>
    <row r="589">
      <c r="A589" s="27" t="s">
        <v>629</v>
      </c>
    </row>
    <row r="590">
      <c r="A590" s="27" t="s">
        <v>630</v>
      </c>
    </row>
    <row r="591">
      <c r="A591" s="27" t="s">
        <v>631</v>
      </c>
    </row>
    <row r="592">
      <c r="A592" s="27" t="s">
        <v>632</v>
      </c>
    </row>
    <row r="593">
      <c r="A593" s="27" t="s">
        <v>633</v>
      </c>
    </row>
    <row r="594">
      <c r="A594" s="27" t="s">
        <v>634</v>
      </c>
    </row>
    <row r="595">
      <c r="A595" s="27" t="s">
        <v>635</v>
      </c>
    </row>
    <row r="596">
      <c r="A596" s="27" t="s">
        <v>636</v>
      </c>
    </row>
    <row r="597">
      <c r="A597" s="27" t="s">
        <v>637</v>
      </c>
    </row>
    <row r="598">
      <c r="A598" s="27" t="s">
        <v>638</v>
      </c>
    </row>
    <row r="599">
      <c r="A599" s="27" t="s">
        <v>639</v>
      </c>
    </row>
    <row r="600">
      <c r="A600" s="27" t="s">
        <v>640</v>
      </c>
    </row>
    <row r="601">
      <c r="A601" s="27" t="s">
        <v>641</v>
      </c>
    </row>
    <row r="602">
      <c r="A602" s="27" t="s">
        <v>642</v>
      </c>
    </row>
    <row r="603">
      <c r="A603" s="27" t="s">
        <v>643</v>
      </c>
    </row>
    <row r="604">
      <c r="A604" s="27" t="s">
        <v>644</v>
      </c>
    </row>
    <row r="605">
      <c r="A605" s="27" t="s">
        <v>645</v>
      </c>
    </row>
    <row r="606">
      <c r="A606" s="27" t="s">
        <v>646</v>
      </c>
    </row>
    <row r="607">
      <c r="A607" s="27" t="s">
        <v>647</v>
      </c>
    </row>
    <row r="608">
      <c r="A608" s="27" t="s">
        <v>648</v>
      </c>
    </row>
    <row r="609">
      <c r="A609" s="27" t="s">
        <v>649</v>
      </c>
    </row>
    <row r="610">
      <c r="A610" s="27" t="s">
        <v>650</v>
      </c>
    </row>
    <row r="611">
      <c r="A611" s="27" t="s">
        <v>651</v>
      </c>
    </row>
    <row r="612">
      <c r="A612" s="27" t="s">
        <v>652</v>
      </c>
    </row>
    <row r="613">
      <c r="A613" s="27" t="s">
        <v>653</v>
      </c>
    </row>
    <row r="614">
      <c r="A614" s="27" t="s">
        <v>654</v>
      </c>
    </row>
    <row r="615">
      <c r="A615" s="27" t="s">
        <v>655</v>
      </c>
    </row>
    <row r="616">
      <c r="A616" s="27" t="s">
        <v>656</v>
      </c>
    </row>
    <row r="617">
      <c r="A617" s="27" t="s">
        <v>657</v>
      </c>
    </row>
    <row r="618">
      <c r="A618" s="27" t="s">
        <v>658</v>
      </c>
    </row>
    <row r="619">
      <c r="A619" s="27" t="s">
        <v>659</v>
      </c>
    </row>
    <row r="620">
      <c r="A620" s="27" t="s">
        <v>660</v>
      </c>
    </row>
    <row r="621">
      <c r="A621" s="27" t="s">
        <v>661</v>
      </c>
    </row>
    <row r="622">
      <c r="A622" s="27" t="s">
        <v>662</v>
      </c>
    </row>
    <row r="623">
      <c r="A623" s="27" t="s">
        <v>663</v>
      </c>
    </row>
    <row r="624">
      <c r="A624" s="27" t="s">
        <v>664</v>
      </c>
    </row>
    <row r="625">
      <c r="A625" s="27" t="s">
        <v>665</v>
      </c>
    </row>
    <row r="626">
      <c r="A626" s="27" t="s">
        <v>666</v>
      </c>
    </row>
    <row r="627">
      <c r="A627" s="27" t="s">
        <v>667</v>
      </c>
    </row>
    <row r="628">
      <c r="A628" s="27" t="s">
        <v>668</v>
      </c>
    </row>
    <row r="629">
      <c r="A629" s="27" t="s">
        <v>669</v>
      </c>
    </row>
    <row r="630">
      <c r="A630" s="27" t="s">
        <v>670</v>
      </c>
    </row>
    <row r="631">
      <c r="A631" s="27" t="s">
        <v>671</v>
      </c>
    </row>
    <row r="632">
      <c r="A632" s="27" t="s">
        <v>672</v>
      </c>
    </row>
    <row r="633">
      <c r="A633" s="27" t="s">
        <v>673</v>
      </c>
    </row>
    <row r="634">
      <c r="A634" s="27" t="s">
        <v>674</v>
      </c>
    </row>
    <row r="635">
      <c r="A635" s="27" t="s">
        <v>675</v>
      </c>
    </row>
    <row r="636">
      <c r="A636" s="27" t="s">
        <v>676</v>
      </c>
    </row>
    <row r="637">
      <c r="A637" s="27" t="s">
        <v>677</v>
      </c>
    </row>
    <row r="638">
      <c r="A638" s="27" t="s">
        <v>678</v>
      </c>
    </row>
    <row r="639">
      <c r="A639" s="27" t="s">
        <v>679</v>
      </c>
    </row>
    <row r="640">
      <c r="A640" s="27" t="s">
        <v>680</v>
      </c>
    </row>
    <row r="641">
      <c r="A641" s="27" t="s">
        <v>681</v>
      </c>
    </row>
    <row r="642">
      <c r="A642" s="27" t="s">
        <v>682</v>
      </c>
    </row>
    <row r="643">
      <c r="A643" s="27" t="s">
        <v>683</v>
      </c>
    </row>
    <row r="644">
      <c r="A644" s="27" t="s">
        <v>684</v>
      </c>
    </row>
    <row r="645">
      <c r="A645" s="27" t="s">
        <v>685</v>
      </c>
    </row>
    <row r="646">
      <c r="A646" s="27" t="s">
        <v>686</v>
      </c>
    </row>
    <row r="647">
      <c r="A647" s="27" t="s">
        <v>687</v>
      </c>
    </row>
    <row r="648">
      <c r="A648" s="27" t="s">
        <v>688</v>
      </c>
    </row>
    <row r="649">
      <c r="A649" s="27" t="s">
        <v>689</v>
      </c>
    </row>
    <row r="650">
      <c r="A650" s="27" t="s">
        <v>690</v>
      </c>
    </row>
    <row r="651">
      <c r="A651" s="27" t="s">
        <v>691</v>
      </c>
    </row>
    <row r="652">
      <c r="A652" s="27" t="s">
        <v>692</v>
      </c>
    </row>
    <row r="653">
      <c r="A653" s="27" t="s">
        <v>693</v>
      </c>
    </row>
    <row r="654">
      <c r="A654" s="27" t="s">
        <v>694</v>
      </c>
    </row>
    <row r="655">
      <c r="A655" s="27" t="s">
        <v>695</v>
      </c>
    </row>
    <row r="656">
      <c r="A656" s="27" t="s">
        <v>696</v>
      </c>
    </row>
    <row r="657">
      <c r="A657" s="27" t="s">
        <v>697</v>
      </c>
    </row>
    <row r="658">
      <c r="A658" s="27" t="s">
        <v>698</v>
      </c>
    </row>
    <row r="659">
      <c r="A659" s="27" t="s">
        <v>699</v>
      </c>
    </row>
    <row r="660">
      <c r="A660" s="27" t="s">
        <v>700</v>
      </c>
    </row>
    <row r="661">
      <c r="A661" s="27" t="s">
        <v>701</v>
      </c>
    </row>
    <row r="662">
      <c r="A662" s="27" t="s">
        <v>702</v>
      </c>
    </row>
    <row r="663">
      <c r="A663" s="27" t="s">
        <v>703</v>
      </c>
    </row>
    <row r="664">
      <c r="A664" s="27" t="s">
        <v>704</v>
      </c>
    </row>
    <row r="665">
      <c r="A665" s="27" t="s">
        <v>705</v>
      </c>
    </row>
    <row r="666">
      <c r="A666" s="27" t="s">
        <v>706</v>
      </c>
    </row>
    <row r="667">
      <c r="A667" s="27" t="s">
        <v>707</v>
      </c>
    </row>
    <row r="668">
      <c r="A668" s="27" t="s">
        <v>708</v>
      </c>
    </row>
    <row r="669">
      <c r="A669" s="27" t="s">
        <v>709</v>
      </c>
    </row>
    <row r="670">
      <c r="A670" s="27" t="s">
        <v>710</v>
      </c>
    </row>
    <row r="671">
      <c r="A671" s="27" t="s">
        <v>711</v>
      </c>
    </row>
    <row r="672">
      <c r="A672" s="27" t="s">
        <v>712</v>
      </c>
    </row>
    <row r="673">
      <c r="A673" s="27" t="s">
        <v>713</v>
      </c>
    </row>
    <row r="674">
      <c r="A674" s="27" t="s">
        <v>714</v>
      </c>
    </row>
    <row r="675">
      <c r="A675" s="27" t="s">
        <v>715</v>
      </c>
    </row>
    <row r="676">
      <c r="A676" s="27" t="s">
        <v>716</v>
      </c>
    </row>
    <row r="677">
      <c r="A677" s="27" t="s">
        <v>717</v>
      </c>
    </row>
    <row r="678">
      <c r="A678" s="27" t="s">
        <v>718</v>
      </c>
    </row>
    <row r="679">
      <c r="A679" s="27" t="s">
        <v>719</v>
      </c>
    </row>
    <row r="680">
      <c r="A680" s="27" t="s">
        <v>720</v>
      </c>
    </row>
    <row r="681">
      <c r="A681" s="27" t="s">
        <v>721</v>
      </c>
    </row>
    <row r="682">
      <c r="A682" s="27" t="s">
        <v>722</v>
      </c>
    </row>
    <row r="683">
      <c r="A683" s="27" t="s">
        <v>723</v>
      </c>
    </row>
    <row r="684">
      <c r="A684" s="27" t="s">
        <v>724</v>
      </c>
    </row>
    <row r="685">
      <c r="A685" s="27" t="s">
        <v>725</v>
      </c>
    </row>
    <row r="686">
      <c r="A686" s="27" t="s">
        <v>726</v>
      </c>
    </row>
    <row r="687">
      <c r="A687" s="27" t="s">
        <v>727</v>
      </c>
    </row>
    <row r="688">
      <c r="A688" s="27" t="s">
        <v>728</v>
      </c>
    </row>
    <row r="689">
      <c r="A689" s="27" t="s">
        <v>729</v>
      </c>
    </row>
    <row r="690">
      <c r="A690" s="27" t="s">
        <v>730</v>
      </c>
    </row>
    <row r="691">
      <c r="A691" s="27" t="s">
        <v>731</v>
      </c>
    </row>
    <row r="692">
      <c r="A692" s="27" t="s">
        <v>732</v>
      </c>
    </row>
    <row r="693">
      <c r="A693" s="27" t="s">
        <v>733</v>
      </c>
    </row>
    <row r="694">
      <c r="A694" s="27" t="s">
        <v>734</v>
      </c>
    </row>
    <row r="695">
      <c r="A695" s="27" t="s">
        <v>735</v>
      </c>
    </row>
    <row r="696">
      <c r="A696" s="27" t="s">
        <v>736</v>
      </c>
    </row>
    <row r="697">
      <c r="A697" s="27" t="s">
        <v>737</v>
      </c>
    </row>
    <row r="698">
      <c r="A698" s="27" t="s">
        <v>738</v>
      </c>
    </row>
    <row r="699">
      <c r="A699" s="27" t="s">
        <v>739</v>
      </c>
    </row>
    <row r="700">
      <c r="A700" s="27" t="s">
        <v>740</v>
      </c>
    </row>
    <row r="701">
      <c r="A701" s="27" t="s">
        <v>741</v>
      </c>
    </row>
    <row r="702">
      <c r="A702" s="27" t="s">
        <v>742</v>
      </c>
    </row>
    <row r="703">
      <c r="A703" s="27" t="s">
        <v>743</v>
      </c>
    </row>
    <row r="704">
      <c r="A704" s="27" t="s">
        <v>744</v>
      </c>
    </row>
    <row r="705">
      <c r="A705" s="27" t="s">
        <v>745</v>
      </c>
    </row>
    <row r="706">
      <c r="A706" s="27" t="s">
        <v>746</v>
      </c>
    </row>
    <row r="707">
      <c r="A707" s="27" t="s">
        <v>747</v>
      </c>
    </row>
    <row r="708">
      <c r="A708" s="27" t="s">
        <v>748</v>
      </c>
    </row>
    <row r="709">
      <c r="A709" s="27" t="s">
        <v>749</v>
      </c>
    </row>
    <row r="710">
      <c r="A710" s="27" t="s">
        <v>750</v>
      </c>
    </row>
    <row r="711">
      <c r="A711" s="27" t="s">
        <v>751</v>
      </c>
    </row>
    <row r="712">
      <c r="A712" s="27" t="s">
        <v>752</v>
      </c>
    </row>
    <row r="713">
      <c r="A713" s="27" t="s">
        <v>753</v>
      </c>
    </row>
    <row r="714">
      <c r="A714" s="27" t="s">
        <v>754</v>
      </c>
    </row>
    <row r="715">
      <c r="A715" s="27" t="s">
        <v>755</v>
      </c>
    </row>
    <row r="716">
      <c r="A716" s="27" t="s">
        <v>756</v>
      </c>
    </row>
    <row r="717">
      <c r="A717" s="27" t="s">
        <v>757</v>
      </c>
    </row>
    <row r="718">
      <c r="A718" s="27" t="s">
        <v>758</v>
      </c>
    </row>
    <row r="719">
      <c r="A719" s="27" t="s">
        <v>759</v>
      </c>
    </row>
    <row r="720">
      <c r="A720" s="27" t="s">
        <v>760</v>
      </c>
    </row>
    <row r="721">
      <c r="A721" s="27" t="s">
        <v>761</v>
      </c>
    </row>
    <row r="722">
      <c r="A722" s="27" t="s">
        <v>762</v>
      </c>
    </row>
    <row r="723">
      <c r="A723" s="27" t="s">
        <v>763</v>
      </c>
    </row>
    <row r="724">
      <c r="A724" s="27" t="s">
        <v>764</v>
      </c>
    </row>
    <row r="725">
      <c r="A725" s="27" t="s">
        <v>765</v>
      </c>
    </row>
    <row r="726">
      <c r="A726" s="27" t="s">
        <v>766</v>
      </c>
    </row>
    <row r="727">
      <c r="A727" s="27" t="s">
        <v>767</v>
      </c>
    </row>
    <row r="728">
      <c r="A728" s="27" t="s">
        <v>768</v>
      </c>
    </row>
    <row r="729">
      <c r="A729" s="27" t="s">
        <v>769</v>
      </c>
    </row>
    <row r="730">
      <c r="A730" s="27" t="s">
        <v>770</v>
      </c>
    </row>
    <row r="731">
      <c r="A731" s="27" t="s">
        <v>771</v>
      </c>
    </row>
    <row r="732">
      <c r="A732" s="27" t="s">
        <v>772</v>
      </c>
    </row>
    <row r="733">
      <c r="A733" s="27" t="s">
        <v>774</v>
      </c>
    </row>
    <row r="734">
      <c r="A734" s="27" t="s">
        <v>775</v>
      </c>
    </row>
    <row r="735">
      <c r="A735" s="27" t="s">
        <v>776</v>
      </c>
    </row>
    <row r="736">
      <c r="A736" s="27" t="s">
        <v>777</v>
      </c>
    </row>
    <row r="737">
      <c r="A737" s="27" t="s">
        <v>778</v>
      </c>
    </row>
    <row r="738">
      <c r="A738" s="27" t="s">
        <v>779</v>
      </c>
    </row>
    <row r="739">
      <c r="A739" s="27" t="s">
        <v>780</v>
      </c>
    </row>
    <row r="740">
      <c r="A740" s="27" t="s">
        <v>781</v>
      </c>
    </row>
    <row r="741">
      <c r="A741" s="27" t="s">
        <v>782</v>
      </c>
    </row>
    <row r="742">
      <c r="A742" s="27" t="s">
        <v>783</v>
      </c>
    </row>
    <row r="743">
      <c r="A743" s="27" t="s">
        <v>784</v>
      </c>
    </row>
    <row r="744">
      <c r="A744" s="27" t="s">
        <v>785</v>
      </c>
    </row>
    <row r="745">
      <c r="A745" s="27" t="s">
        <v>786</v>
      </c>
    </row>
    <row r="746">
      <c r="A746" s="27" t="s">
        <v>787</v>
      </c>
    </row>
    <row r="747">
      <c r="A747" s="27" t="s">
        <v>788</v>
      </c>
    </row>
    <row r="748">
      <c r="A748" s="27" t="s">
        <v>789</v>
      </c>
    </row>
    <row r="749">
      <c r="A749" s="27" t="s">
        <v>790</v>
      </c>
    </row>
    <row r="750">
      <c r="A750" s="27" t="s">
        <v>791</v>
      </c>
    </row>
    <row r="751">
      <c r="A751" s="27" t="s">
        <v>792</v>
      </c>
    </row>
    <row r="752">
      <c r="A752" s="27" t="s">
        <v>793</v>
      </c>
    </row>
    <row r="753">
      <c r="A753" s="27" t="s">
        <v>794</v>
      </c>
    </row>
    <row r="754">
      <c r="A754" s="27" t="s">
        <v>795</v>
      </c>
    </row>
    <row r="755">
      <c r="A755" s="27" t="s">
        <v>796</v>
      </c>
    </row>
    <row r="756">
      <c r="A756" s="27" t="s">
        <v>797</v>
      </c>
    </row>
    <row r="757">
      <c r="A757" s="27" t="s">
        <v>798</v>
      </c>
    </row>
    <row r="758">
      <c r="A758" s="27" t="s">
        <v>799</v>
      </c>
    </row>
    <row r="759">
      <c r="A759" s="27" t="s">
        <v>800</v>
      </c>
    </row>
    <row r="760">
      <c r="A760" s="27" t="s">
        <v>801</v>
      </c>
    </row>
    <row r="761">
      <c r="A761" s="27" t="s">
        <v>802</v>
      </c>
    </row>
    <row r="762">
      <c r="A762" s="27" t="s">
        <v>803</v>
      </c>
    </row>
    <row r="763">
      <c r="A763" s="27" t="s">
        <v>804</v>
      </c>
    </row>
    <row r="764">
      <c r="A764" s="27" t="s">
        <v>805</v>
      </c>
    </row>
    <row r="765">
      <c r="A765" s="27" t="s">
        <v>806</v>
      </c>
    </row>
    <row r="766">
      <c r="A766" s="27" t="s">
        <v>807</v>
      </c>
    </row>
    <row r="767">
      <c r="A767" s="27" t="s">
        <v>808</v>
      </c>
    </row>
    <row r="768">
      <c r="A768" s="27" t="s">
        <v>809</v>
      </c>
    </row>
    <row r="769">
      <c r="A769" s="27" t="s">
        <v>810</v>
      </c>
    </row>
    <row r="770">
      <c r="A770" s="27" t="s">
        <v>811</v>
      </c>
    </row>
    <row r="771">
      <c r="A771" s="27" t="s">
        <v>812</v>
      </c>
    </row>
    <row r="772">
      <c r="A772" s="27" t="s">
        <v>813</v>
      </c>
    </row>
    <row r="773">
      <c r="A773" s="27" t="s">
        <v>814</v>
      </c>
    </row>
    <row r="774">
      <c r="A774" s="27" t="s">
        <v>815</v>
      </c>
    </row>
    <row r="775">
      <c r="A775" s="27" t="s">
        <v>816</v>
      </c>
    </row>
    <row r="776">
      <c r="A776" s="27" t="s">
        <v>817</v>
      </c>
    </row>
    <row r="777">
      <c r="A777" s="27" t="s">
        <v>818</v>
      </c>
    </row>
    <row r="778">
      <c r="A778" s="27" t="s">
        <v>819</v>
      </c>
    </row>
    <row r="779">
      <c r="A779" s="27" t="s">
        <v>820</v>
      </c>
    </row>
    <row r="780">
      <c r="A780" s="27" t="s">
        <v>821</v>
      </c>
    </row>
    <row r="781">
      <c r="A781" s="27" t="s">
        <v>822</v>
      </c>
    </row>
    <row r="782">
      <c r="A782" s="27" t="s">
        <v>823</v>
      </c>
    </row>
  </sheetData>
  <autoFilter ref="$A$2:$R$782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8"/>
      <c r="C1" s="11"/>
      <c r="D1" s="8"/>
      <c r="E1" s="14">
        <v>1.0</v>
      </c>
      <c r="F1" s="14">
        <v>1.0</v>
      </c>
      <c r="G1" s="14">
        <v>1.0</v>
      </c>
      <c r="H1" s="14">
        <v>1.0</v>
      </c>
      <c r="I1" s="14">
        <v>1.0</v>
      </c>
      <c r="J1" s="14">
        <v>0.5</v>
      </c>
      <c r="K1" s="14">
        <v>1.0</v>
      </c>
      <c r="L1" s="14">
        <v>1.0</v>
      </c>
      <c r="M1" s="14">
        <v>1.0</v>
      </c>
      <c r="N1" s="14">
        <v>1.0</v>
      </c>
      <c r="O1" s="14">
        <v>1.0</v>
      </c>
      <c r="P1" s="14">
        <v>1.0</v>
      </c>
      <c r="Q1" s="14">
        <v>1.0</v>
      </c>
      <c r="R1" s="14">
        <v>0.5</v>
      </c>
    </row>
    <row r="2">
      <c r="A2" s="1" t="s">
        <v>18</v>
      </c>
      <c r="B2" s="19" t="s">
        <v>20</v>
      </c>
      <c r="C2" s="20" t="s">
        <v>23</v>
      </c>
      <c r="D2" s="19" t="s">
        <v>24</v>
      </c>
      <c r="E2" s="22" t="s">
        <v>6</v>
      </c>
      <c r="F2" s="22" t="s">
        <v>7</v>
      </c>
      <c r="G2" s="22" t="s">
        <v>8</v>
      </c>
      <c r="H2" s="22" t="s">
        <v>9</v>
      </c>
      <c r="I2" s="22" t="s">
        <v>10</v>
      </c>
      <c r="J2" s="22" t="s">
        <v>11</v>
      </c>
      <c r="K2" s="22" t="s">
        <v>12</v>
      </c>
      <c r="L2" s="22" t="s">
        <v>13</v>
      </c>
      <c r="M2" s="22" t="s">
        <v>14</v>
      </c>
      <c r="N2" s="22" t="s">
        <v>15</v>
      </c>
      <c r="O2" s="24" t="s">
        <v>16</v>
      </c>
      <c r="P2" s="25" t="s">
        <v>17</v>
      </c>
      <c r="Q2" s="26" t="s">
        <v>19</v>
      </c>
      <c r="R2" s="24" t="s">
        <v>21</v>
      </c>
    </row>
    <row r="3">
      <c r="A3" s="27" t="s">
        <v>25</v>
      </c>
    </row>
    <row r="4">
      <c r="A4" s="27" t="s">
        <v>26</v>
      </c>
    </row>
    <row r="5">
      <c r="A5" s="27" t="s">
        <v>27</v>
      </c>
    </row>
    <row r="6">
      <c r="A6" s="27" t="s">
        <v>28</v>
      </c>
    </row>
    <row r="7">
      <c r="A7" s="27" t="s">
        <v>29</v>
      </c>
    </row>
    <row r="8">
      <c r="A8" s="27" t="s">
        <v>30</v>
      </c>
    </row>
    <row r="9">
      <c r="A9" s="27" t="s">
        <v>32</v>
      </c>
    </row>
    <row r="10">
      <c r="A10" s="27" t="s">
        <v>33</v>
      </c>
    </row>
    <row r="11">
      <c r="A11" s="27" t="s">
        <v>34</v>
      </c>
    </row>
    <row r="12">
      <c r="A12" s="27" t="s">
        <v>35</v>
      </c>
    </row>
    <row r="13">
      <c r="A13" s="27" t="s">
        <v>36</v>
      </c>
    </row>
    <row r="14">
      <c r="A14" s="27" t="s">
        <v>37</v>
      </c>
    </row>
    <row r="15">
      <c r="A15" s="27" t="s">
        <v>38</v>
      </c>
    </row>
    <row r="16">
      <c r="A16" s="27" t="s">
        <v>39</v>
      </c>
    </row>
    <row r="17">
      <c r="A17" s="27" t="s">
        <v>40</v>
      </c>
    </row>
    <row r="18">
      <c r="A18" s="27" t="s">
        <v>42</v>
      </c>
    </row>
    <row r="19">
      <c r="A19" s="27" t="s">
        <v>43</v>
      </c>
    </row>
    <row r="20">
      <c r="A20" s="27" t="s">
        <v>44</v>
      </c>
    </row>
    <row r="21">
      <c r="A21" s="27" t="s">
        <v>45</v>
      </c>
    </row>
    <row r="22">
      <c r="A22" s="27" t="s">
        <v>46</v>
      </c>
    </row>
    <row r="23">
      <c r="A23" s="27" t="s">
        <v>47</v>
      </c>
    </row>
    <row r="24">
      <c r="A24" s="27" t="s">
        <v>49</v>
      </c>
    </row>
    <row r="25">
      <c r="A25" s="27" t="s">
        <v>50</v>
      </c>
    </row>
    <row r="26">
      <c r="A26" s="27" t="s">
        <v>52</v>
      </c>
    </row>
    <row r="27">
      <c r="A27" s="27" t="s">
        <v>53</v>
      </c>
    </row>
    <row r="28">
      <c r="A28" s="27" t="s">
        <v>54</v>
      </c>
    </row>
    <row r="29">
      <c r="A29" s="27" t="s">
        <v>56</v>
      </c>
    </row>
    <row r="30">
      <c r="A30" s="27" t="s">
        <v>57</v>
      </c>
    </row>
    <row r="31">
      <c r="A31" s="27" t="s">
        <v>58</v>
      </c>
    </row>
    <row r="32">
      <c r="A32" s="27" t="s">
        <v>60</v>
      </c>
    </row>
    <row r="33">
      <c r="A33" s="27" t="s">
        <v>62</v>
      </c>
    </row>
    <row r="34">
      <c r="A34" s="27" t="s">
        <v>63</v>
      </c>
    </row>
    <row r="35">
      <c r="A35" s="27" t="s">
        <v>65</v>
      </c>
    </row>
    <row r="36">
      <c r="A36" s="27" t="s">
        <v>66</v>
      </c>
    </row>
    <row r="37">
      <c r="A37" s="27" t="s">
        <v>68</v>
      </c>
    </row>
    <row r="38">
      <c r="A38" s="27" t="s">
        <v>70</v>
      </c>
    </row>
    <row r="39">
      <c r="A39" s="27" t="s">
        <v>72</v>
      </c>
    </row>
    <row r="40">
      <c r="A40" s="27" t="s">
        <v>73</v>
      </c>
    </row>
    <row r="41">
      <c r="A41" s="27" t="s">
        <v>75</v>
      </c>
    </row>
    <row r="42">
      <c r="A42" s="27" t="s">
        <v>76</v>
      </c>
    </row>
    <row r="43">
      <c r="A43" s="27" t="s">
        <v>77</v>
      </c>
    </row>
    <row r="44">
      <c r="A44" s="27" t="s">
        <v>78</v>
      </c>
    </row>
    <row r="45">
      <c r="A45" s="27" t="s">
        <v>79</v>
      </c>
    </row>
    <row r="46">
      <c r="A46" s="27" t="s">
        <v>80</v>
      </c>
    </row>
    <row r="47">
      <c r="A47" s="27" t="s">
        <v>81</v>
      </c>
    </row>
    <row r="48">
      <c r="A48" s="27" t="s">
        <v>82</v>
      </c>
    </row>
    <row r="49">
      <c r="A49" s="27" t="s">
        <v>83</v>
      </c>
    </row>
    <row r="50">
      <c r="A50" s="27" t="s">
        <v>84</v>
      </c>
    </row>
    <row r="51">
      <c r="A51" s="27" t="s">
        <v>85</v>
      </c>
    </row>
    <row r="52">
      <c r="A52" s="27" t="s">
        <v>86</v>
      </c>
    </row>
    <row r="53">
      <c r="A53" s="27" t="s">
        <v>87</v>
      </c>
    </row>
    <row r="54">
      <c r="A54" s="27" t="s">
        <v>88</v>
      </c>
    </row>
    <row r="55">
      <c r="A55" s="27" t="s">
        <v>89</v>
      </c>
    </row>
    <row r="56">
      <c r="A56" s="27" t="s">
        <v>90</v>
      </c>
    </row>
    <row r="57">
      <c r="A57" s="27" t="s">
        <v>91</v>
      </c>
    </row>
    <row r="58">
      <c r="A58" s="27" t="s">
        <v>92</v>
      </c>
    </row>
    <row r="59">
      <c r="A59" s="27" t="s">
        <v>93</v>
      </c>
    </row>
    <row r="60">
      <c r="A60" s="27" t="s">
        <v>94</v>
      </c>
    </row>
    <row r="61">
      <c r="A61" s="27" t="s">
        <v>95</v>
      </c>
    </row>
    <row r="62">
      <c r="A62" s="27" t="s">
        <v>96</v>
      </c>
    </row>
    <row r="63">
      <c r="A63" s="27" t="s">
        <v>97</v>
      </c>
    </row>
    <row r="64">
      <c r="A64" s="27" t="s">
        <v>98</v>
      </c>
    </row>
    <row r="65">
      <c r="A65" s="27" t="s">
        <v>99</v>
      </c>
    </row>
    <row r="66">
      <c r="A66" s="27" t="s">
        <v>100</v>
      </c>
    </row>
    <row r="67">
      <c r="A67" s="27" t="s">
        <v>101</v>
      </c>
    </row>
    <row r="68">
      <c r="A68" s="27" t="s">
        <v>102</v>
      </c>
    </row>
    <row r="69">
      <c r="A69" s="27" t="s">
        <v>103</v>
      </c>
    </row>
    <row r="70">
      <c r="A70" s="27" t="s">
        <v>104</v>
      </c>
    </row>
    <row r="71">
      <c r="A71" s="27" t="s">
        <v>105</v>
      </c>
    </row>
    <row r="72">
      <c r="A72" s="27" t="s">
        <v>106</v>
      </c>
    </row>
    <row r="73">
      <c r="A73" s="27" t="s">
        <v>107</v>
      </c>
    </row>
    <row r="74">
      <c r="A74" s="27" t="s">
        <v>108</v>
      </c>
    </row>
    <row r="75">
      <c r="A75" s="27" t="s">
        <v>109</v>
      </c>
    </row>
    <row r="76">
      <c r="A76" s="27" t="s">
        <v>110</v>
      </c>
    </row>
    <row r="77">
      <c r="A77" s="27" t="s">
        <v>111</v>
      </c>
    </row>
    <row r="78">
      <c r="A78" s="27" t="s">
        <v>112</v>
      </c>
    </row>
    <row r="79">
      <c r="A79" s="27" t="s">
        <v>113</v>
      </c>
    </row>
    <row r="80">
      <c r="A80" s="27" t="s">
        <v>114</v>
      </c>
    </row>
    <row r="81">
      <c r="A81" s="27" t="s">
        <v>115</v>
      </c>
    </row>
    <row r="82">
      <c r="A82" s="27" t="s">
        <v>116</v>
      </c>
    </row>
    <row r="83">
      <c r="A83" s="27" t="s">
        <v>117</v>
      </c>
    </row>
    <row r="84">
      <c r="A84" s="27" t="s">
        <v>118</v>
      </c>
    </row>
    <row r="85">
      <c r="A85" s="27" t="s">
        <v>119</v>
      </c>
    </row>
    <row r="86">
      <c r="A86" s="27" t="s">
        <v>120</v>
      </c>
    </row>
    <row r="87">
      <c r="A87" s="27" t="s">
        <v>121</v>
      </c>
    </row>
    <row r="88">
      <c r="A88" s="27" t="s">
        <v>122</v>
      </c>
    </row>
    <row r="89">
      <c r="A89" s="27" t="s">
        <v>123</v>
      </c>
    </row>
    <row r="90">
      <c r="A90" s="27" t="s">
        <v>124</v>
      </c>
    </row>
    <row r="91">
      <c r="A91" s="27" t="s">
        <v>125</v>
      </c>
    </row>
    <row r="92">
      <c r="A92" s="27" t="s">
        <v>126</v>
      </c>
    </row>
    <row r="93">
      <c r="A93" s="27" t="s">
        <v>127</v>
      </c>
    </row>
    <row r="94">
      <c r="A94" s="27" t="s">
        <v>128</v>
      </c>
    </row>
    <row r="95">
      <c r="A95" s="27" t="s">
        <v>129</v>
      </c>
    </row>
    <row r="96">
      <c r="A96" s="27" t="s">
        <v>130</v>
      </c>
    </row>
    <row r="97">
      <c r="A97" s="27" t="s">
        <v>131</v>
      </c>
    </row>
    <row r="98">
      <c r="A98" s="27" t="s">
        <v>132</v>
      </c>
    </row>
    <row r="99">
      <c r="A99" s="27" t="s">
        <v>133</v>
      </c>
    </row>
    <row r="100">
      <c r="A100" s="27" t="s">
        <v>134</v>
      </c>
    </row>
    <row r="101">
      <c r="A101" s="27" t="s">
        <v>135</v>
      </c>
    </row>
    <row r="102">
      <c r="A102" s="27" t="s">
        <v>136</v>
      </c>
    </row>
    <row r="103">
      <c r="A103" s="27" t="s">
        <v>137</v>
      </c>
    </row>
    <row r="104">
      <c r="A104" s="27" t="s">
        <v>138</v>
      </c>
    </row>
    <row r="105">
      <c r="A105" s="27" t="s">
        <v>139</v>
      </c>
    </row>
    <row r="106">
      <c r="A106" s="27" t="s">
        <v>140</v>
      </c>
    </row>
    <row r="107">
      <c r="A107" s="27" t="s">
        <v>141</v>
      </c>
    </row>
    <row r="108">
      <c r="A108" s="27" t="s">
        <v>142</v>
      </c>
    </row>
    <row r="109">
      <c r="A109" s="27" t="s">
        <v>143</v>
      </c>
    </row>
    <row r="110">
      <c r="A110" s="27" t="s">
        <v>144</v>
      </c>
    </row>
    <row r="111">
      <c r="A111" s="27" t="s">
        <v>145</v>
      </c>
    </row>
    <row r="112">
      <c r="A112" s="27" t="s">
        <v>146</v>
      </c>
    </row>
    <row r="113">
      <c r="A113" s="27" t="s">
        <v>147</v>
      </c>
    </row>
    <row r="114">
      <c r="A114" s="27" t="s">
        <v>148</v>
      </c>
    </row>
    <row r="115">
      <c r="A115" s="27" t="s">
        <v>149</v>
      </c>
    </row>
    <row r="116">
      <c r="A116" s="27" t="s">
        <v>150</v>
      </c>
    </row>
    <row r="117">
      <c r="A117" s="27" t="s">
        <v>151</v>
      </c>
    </row>
    <row r="118">
      <c r="A118" s="27" t="s">
        <v>152</v>
      </c>
    </row>
    <row r="119">
      <c r="A119" s="27" t="s">
        <v>153</v>
      </c>
    </row>
    <row r="120">
      <c r="A120" s="27" t="s">
        <v>154</v>
      </c>
    </row>
    <row r="121">
      <c r="A121" s="27" t="s">
        <v>155</v>
      </c>
    </row>
    <row r="122">
      <c r="A122" s="27" t="s">
        <v>156</v>
      </c>
    </row>
    <row r="123">
      <c r="A123" s="27" t="s">
        <v>157</v>
      </c>
    </row>
    <row r="124">
      <c r="A124" s="27" t="s">
        <v>158</v>
      </c>
    </row>
    <row r="125">
      <c r="A125" s="27" t="s">
        <v>159</v>
      </c>
    </row>
    <row r="126">
      <c r="A126" s="27" t="s">
        <v>160</v>
      </c>
    </row>
    <row r="127">
      <c r="A127" s="27" t="s">
        <v>161</v>
      </c>
    </row>
    <row r="128">
      <c r="A128" s="27" t="s">
        <v>162</v>
      </c>
    </row>
    <row r="129">
      <c r="A129" s="27" t="s">
        <v>163</v>
      </c>
    </row>
    <row r="130">
      <c r="A130" s="27" t="s">
        <v>164</v>
      </c>
    </row>
    <row r="131">
      <c r="A131" s="27" t="s">
        <v>165</v>
      </c>
    </row>
    <row r="132">
      <c r="A132" s="27" t="s">
        <v>166</v>
      </c>
    </row>
    <row r="133">
      <c r="A133" s="27" t="s">
        <v>167</v>
      </c>
    </row>
    <row r="134">
      <c r="A134" s="27" t="s">
        <v>168</v>
      </c>
    </row>
    <row r="135">
      <c r="A135" s="27" t="s">
        <v>169</v>
      </c>
    </row>
    <row r="136">
      <c r="A136" s="27" t="s">
        <v>170</v>
      </c>
    </row>
    <row r="137">
      <c r="A137" s="27" t="s">
        <v>171</v>
      </c>
    </row>
    <row r="138">
      <c r="A138" s="27" t="s">
        <v>172</v>
      </c>
    </row>
    <row r="139">
      <c r="A139" s="27" t="s">
        <v>173</v>
      </c>
    </row>
    <row r="140">
      <c r="A140" s="27" t="s">
        <v>174</v>
      </c>
    </row>
    <row r="141">
      <c r="A141" s="27" t="s">
        <v>175</v>
      </c>
    </row>
    <row r="142">
      <c r="A142" s="27" t="s">
        <v>176</v>
      </c>
    </row>
    <row r="143">
      <c r="A143" s="27" t="s">
        <v>177</v>
      </c>
    </row>
    <row r="144">
      <c r="A144" s="27" t="s">
        <v>178</v>
      </c>
    </row>
    <row r="145">
      <c r="A145" s="27" t="s">
        <v>179</v>
      </c>
    </row>
    <row r="146">
      <c r="A146" s="27" t="s">
        <v>180</v>
      </c>
    </row>
    <row r="147">
      <c r="A147" s="27" t="s">
        <v>181</v>
      </c>
    </row>
    <row r="148">
      <c r="A148" s="27" t="s">
        <v>182</v>
      </c>
    </row>
    <row r="149">
      <c r="A149" s="27" t="s">
        <v>183</v>
      </c>
    </row>
    <row r="150">
      <c r="A150" s="27" t="s">
        <v>184</v>
      </c>
    </row>
    <row r="151">
      <c r="A151" s="27" t="s">
        <v>185</v>
      </c>
    </row>
    <row r="152">
      <c r="A152" s="27" t="s">
        <v>186</v>
      </c>
    </row>
    <row r="153">
      <c r="A153" s="27" t="s">
        <v>187</v>
      </c>
    </row>
    <row r="154">
      <c r="A154" s="27" t="s">
        <v>188</v>
      </c>
    </row>
    <row r="155">
      <c r="A155" s="27" t="s">
        <v>189</v>
      </c>
    </row>
    <row r="156">
      <c r="A156" s="27" t="s">
        <v>190</v>
      </c>
    </row>
    <row r="157">
      <c r="A157" s="27" t="s">
        <v>191</v>
      </c>
    </row>
    <row r="158">
      <c r="A158" s="27" t="s">
        <v>192</v>
      </c>
    </row>
    <row r="159">
      <c r="A159" s="27" t="s">
        <v>193</v>
      </c>
    </row>
    <row r="160">
      <c r="A160" s="27" t="s">
        <v>194</v>
      </c>
    </row>
    <row r="161">
      <c r="A161" s="27" t="s">
        <v>195</v>
      </c>
    </row>
    <row r="162">
      <c r="A162" s="27" t="s">
        <v>196</v>
      </c>
    </row>
    <row r="163">
      <c r="A163" s="27" t="s">
        <v>197</v>
      </c>
    </row>
    <row r="164">
      <c r="A164" s="27" t="s">
        <v>198</v>
      </c>
    </row>
    <row r="165">
      <c r="A165" s="27" t="s">
        <v>199</v>
      </c>
    </row>
    <row r="166">
      <c r="A166" s="27" t="s">
        <v>200</v>
      </c>
    </row>
    <row r="167">
      <c r="A167" s="27" t="s">
        <v>201</v>
      </c>
    </row>
    <row r="168">
      <c r="A168" s="27" t="s">
        <v>202</v>
      </c>
    </row>
    <row r="169">
      <c r="A169" s="27" t="s">
        <v>203</v>
      </c>
    </row>
    <row r="170">
      <c r="A170" s="27" t="s">
        <v>204</v>
      </c>
    </row>
    <row r="171">
      <c r="A171" s="27" t="s">
        <v>205</v>
      </c>
    </row>
    <row r="172">
      <c r="A172" s="27" t="s">
        <v>206</v>
      </c>
    </row>
    <row r="173">
      <c r="A173" s="27" t="s">
        <v>207</v>
      </c>
    </row>
    <row r="174">
      <c r="A174" s="27" t="s">
        <v>208</v>
      </c>
    </row>
    <row r="175">
      <c r="A175" s="27" t="s">
        <v>209</v>
      </c>
    </row>
    <row r="176">
      <c r="A176" s="27" t="s">
        <v>210</v>
      </c>
    </row>
    <row r="177">
      <c r="A177" s="27" t="s">
        <v>211</v>
      </c>
    </row>
    <row r="178">
      <c r="A178" s="27" t="s">
        <v>212</v>
      </c>
    </row>
    <row r="179">
      <c r="A179" s="27" t="s">
        <v>213</v>
      </c>
    </row>
    <row r="180">
      <c r="A180" s="27" t="s">
        <v>214</v>
      </c>
    </row>
    <row r="181">
      <c r="A181" s="27" t="s">
        <v>215</v>
      </c>
    </row>
    <row r="182">
      <c r="A182" s="27" t="s">
        <v>216</v>
      </c>
    </row>
    <row r="183">
      <c r="A183" s="27" t="s">
        <v>217</v>
      </c>
    </row>
    <row r="184">
      <c r="A184" s="27" t="s">
        <v>218</v>
      </c>
    </row>
    <row r="185">
      <c r="A185" s="27" t="s">
        <v>219</v>
      </c>
    </row>
    <row r="186">
      <c r="A186" s="27" t="s">
        <v>220</v>
      </c>
    </row>
    <row r="187">
      <c r="A187" s="27" t="s">
        <v>221</v>
      </c>
    </row>
    <row r="188">
      <c r="A188" s="27" t="s">
        <v>222</v>
      </c>
    </row>
    <row r="189">
      <c r="A189" s="27" t="s">
        <v>223</v>
      </c>
    </row>
    <row r="190">
      <c r="A190" s="27" t="s">
        <v>224</v>
      </c>
    </row>
    <row r="191">
      <c r="A191" s="27" t="s">
        <v>225</v>
      </c>
    </row>
    <row r="192">
      <c r="A192" s="27" t="s">
        <v>226</v>
      </c>
    </row>
    <row r="193">
      <c r="A193" s="27" t="s">
        <v>227</v>
      </c>
    </row>
    <row r="194">
      <c r="A194" s="27" t="s">
        <v>228</v>
      </c>
    </row>
    <row r="195">
      <c r="A195" s="27" t="s">
        <v>229</v>
      </c>
    </row>
    <row r="196">
      <c r="A196" s="27" t="s">
        <v>230</v>
      </c>
    </row>
    <row r="197">
      <c r="A197" s="27" t="s">
        <v>231</v>
      </c>
    </row>
    <row r="198">
      <c r="A198" s="27" t="s">
        <v>232</v>
      </c>
    </row>
    <row r="199">
      <c r="A199" s="27" t="s">
        <v>233</v>
      </c>
    </row>
    <row r="200">
      <c r="A200" s="27" t="s">
        <v>234</v>
      </c>
    </row>
    <row r="201">
      <c r="A201" s="27" t="s">
        <v>235</v>
      </c>
    </row>
    <row r="202">
      <c r="A202" s="27" t="s">
        <v>236</v>
      </c>
    </row>
    <row r="203">
      <c r="A203" s="27" t="s">
        <v>237</v>
      </c>
    </row>
    <row r="204">
      <c r="A204" s="27" t="s">
        <v>238</v>
      </c>
    </row>
    <row r="205">
      <c r="A205" s="27" t="s">
        <v>239</v>
      </c>
    </row>
    <row r="206">
      <c r="A206" s="27" t="s">
        <v>240</v>
      </c>
    </row>
    <row r="207">
      <c r="A207" s="27" t="s">
        <v>241</v>
      </c>
    </row>
    <row r="208">
      <c r="A208" s="27" t="s">
        <v>242</v>
      </c>
    </row>
    <row r="209">
      <c r="A209" s="27" t="s">
        <v>243</v>
      </c>
    </row>
    <row r="210">
      <c r="A210" s="27" t="s">
        <v>244</v>
      </c>
    </row>
    <row r="211">
      <c r="A211" s="27" t="s">
        <v>245</v>
      </c>
    </row>
    <row r="212">
      <c r="A212" s="27" t="s">
        <v>246</v>
      </c>
    </row>
    <row r="213">
      <c r="A213" s="27" t="s">
        <v>247</v>
      </c>
    </row>
    <row r="214">
      <c r="A214" s="27" t="s">
        <v>248</v>
      </c>
    </row>
    <row r="215">
      <c r="A215" s="27" t="s">
        <v>249</v>
      </c>
    </row>
    <row r="216">
      <c r="A216" s="27" t="s">
        <v>250</v>
      </c>
    </row>
    <row r="217">
      <c r="A217" s="27" t="s">
        <v>251</v>
      </c>
    </row>
    <row r="218">
      <c r="A218" s="27" t="s">
        <v>252</v>
      </c>
    </row>
    <row r="219">
      <c r="A219" s="27" t="s">
        <v>253</v>
      </c>
    </row>
    <row r="220">
      <c r="A220" s="27" t="s">
        <v>255</v>
      </c>
    </row>
    <row r="221">
      <c r="A221" s="27" t="s">
        <v>256</v>
      </c>
    </row>
    <row r="222">
      <c r="A222" s="27" t="s">
        <v>257</v>
      </c>
    </row>
    <row r="223">
      <c r="A223" s="27" t="s">
        <v>258</v>
      </c>
    </row>
    <row r="224">
      <c r="A224" s="27" t="s">
        <v>259</v>
      </c>
    </row>
    <row r="225">
      <c r="A225" s="27" t="s">
        <v>260</v>
      </c>
    </row>
    <row r="226">
      <c r="A226" s="27" t="s">
        <v>261</v>
      </c>
    </row>
    <row r="227">
      <c r="A227" s="27" t="s">
        <v>262</v>
      </c>
    </row>
    <row r="228">
      <c r="A228" s="27" t="s">
        <v>263</v>
      </c>
    </row>
    <row r="229">
      <c r="A229" s="27" t="s">
        <v>264</v>
      </c>
    </row>
    <row r="230">
      <c r="A230" s="27" t="s">
        <v>265</v>
      </c>
    </row>
    <row r="231">
      <c r="A231" s="27" t="s">
        <v>266</v>
      </c>
    </row>
    <row r="232">
      <c r="A232" s="27" t="s">
        <v>267</v>
      </c>
    </row>
    <row r="233">
      <c r="A233" s="27" t="s">
        <v>268</v>
      </c>
    </row>
    <row r="234">
      <c r="A234" s="27" t="s">
        <v>269</v>
      </c>
    </row>
    <row r="235">
      <c r="A235" s="27" t="s">
        <v>270</v>
      </c>
    </row>
    <row r="236">
      <c r="A236" s="27" t="s">
        <v>271</v>
      </c>
    </row>
    <row r="237">
      <c r="A237" s="27" t="s">
        <v>272</v>
      </c>
    </row>
    <row r="238">
      <c r="A238" s="27" t="s">
        <v>273</v>
      </c>
    </row>
    <row r="239">
      <c r="A239" s="27" t="s">
        <v>274</v>
      </c>
    </row>
    <row r="240">
      <c r="A240" s="27" t="s">
        <v>275</v>
      </c>
    </row>
    <row r="241">
      <c r="A241" s="27" t="s">
        <v>277</v>
      </c>
    </row>
    <row r="242">
      <c r="A242" s="27" t="s">
        <v>278</v>
      </c>
    </row>
    <row r="243">
      <c r="A243" s="27" t="s">
        <v>280</v>
      </c>
    </row>
    <row r="244">
      <c r="A244" s="27" t="s">
        <v>281</v>
      </c>
    </row>
    <row r="245">
      <c r="A245" s="27" t="s">
        <v>282</v>
      </c>
    </row>
    <row r="246">
      <c r="A246" s="27" t="s">
        <v>283</v>
      </c>
    </row>
    <row r="247">
      <c r="A247" s="27" t="s">
        <v>285</v>
      </c>
    </row>
    <row r="248">
      <c r="A248" s="27" t="s">
        <v>286</v>
      </c>
    </row>
    <row r="249">
      <c r="A249" s="27" t="s">
        <v>287</v>
      </c>
    </row>
    <row r="250">
      <c r="A250" s="27" t="s">
        <v>288</v>
      </c>
    </row>
    <row r="251">
      <c r="A251" s="27" t="s">
        <v>289</v>
      </c>
    </row>
    <row r="252">
      <c r="A252" s="27" t="s">
        <v>291</v>
      </c>
    </row>
    <row r="253">
      <c r="A253" s="27" t="s">
        <v>292</v>
      </c>
    </row>
    <row r="254">
      <c r="A254" s="27" t="s">
        <v>293</v>
      </c>
    </row>
    <row r="255">
      <c r="A255" s="27" t="s">
        <v>294</v>
      </c>
    </row>
    <row r="256">
      <c r="A256" s="27" t="s">
        <v>295</v>
      </c>
    </row>
    <row r="257">
      <c r="A257" s="27" t="s">
        <v>296</v>
      </c>
    </row>
    <row r="258">
      <c r="A258" s="27" t="s">
        <v>297</v>
      </c>
    </row>
    <row r="259">
      <c r="A259" s="27" t="s">
        <v>298</v>
      </c>
    </row>
    <row r="260">
      <c r="A260" s="27" t="s">
        <v>299</v>
      </c>
    </row>
    <row r="261">
      <c r="A261" s="27" t="s">
        <v>300</v>
      </c>
    </row>
    <row r="262">
      <c r="A262" s="27" t="s">
        <v>301</v>
      </c>
    </row>
    <row r="263">
      <c r="A263" s="27" t="s">
        <v>302</v>
      </c>
    </row>
    <row r="264">
      <c r="A264" s="27" t="s">
        <v>303</v>
      </c>
    </row>
    <row r="265">
      <c r="A265" s="27" t="s">
        <v>304</v>
      </c>
    </row>
    <row r="266">
      <c r="A266" s="27" t="s">
        <v>305</v>
      </c>
    </row>
    <row r="267">
      <c r="A267" s="27" t="s">
        <v>306</v>
      </c>
    </row>
    <row r="268">
      <c r="A268" s="27" t="s">
        <v>307</v>
      </c>
    </row>
    <row r="269">
      <c r="A269" s="27" t="s">
        <v>308</v>
      </c>
    </row>
    <row r="270">
      <c r="A270" s="27" t="s">
        <v>309</v>
      </c>
    </row>
    <row r="271">
      <c r="A271" s="27" t="s">
        <v>310</v>
      </c>
    </row>
    <row r="272">
      <c r="A272" s="27" t="s">
        <v>311</v>
      </c>
    </row>
    <row r="273">
      <c r="A273" s="27" t="s">
        <v>312</v>
      </c>
    </row>
    <row r="274">
      <c r="A274" s="27" t="s">
        <v>313</v>
      </c>
    </row>
    <row r="275">
      <c r="A275" s="27" t="s">
        <v>314</v>
      </c>
    </row>
    <row r="276">
      <c r="A276" s="27" t="s">
        <v>315</v>
      </c>
    </row>
    <row r="277">
      <c r="A277" s="27" t="s">
        <v>316</v>
      </c>
    </row>
    <row r="278">
      <c r="A278" s="27" t="s">
        <v>317</v>
      </c>
    </row>
    <row r="279">
      <c r="A279" s="27" t="s">
        <v>318</v>
      </c>
    </row>
    <row r="280">
      <c r="A280" s="27" t="s">
        <v>319</v>
      </c>
    </row>
    <row r="281">
      <c r="A281" s="27" t="s">
        <v>320</v>
      </c>
    </row>
    <row r="282">
      <c r="A282" s="27" t="s">
        <v>321</v>
      </c>
    </row>
    <row r="283">
      <c r="A283" s="27" t="s">
        <v>322</v>
      </c>
    </row>
    <row r="284">
      <c r="A284" s="27" t="s">
        <v>323</v>
      </c>
    </row>
    <row r="285">
      <c r="A285" s="27" t="s">
        <v>324</v>
      </c>
    </row>
    <row r="286">
      <c r="A286" s="27" t="s">
        <v>325</v>
      </c>
    </row>
    <row r="287">
      <c r="A287" s="27" t="s">
        <v>326</v>
      </c>
    </row>
    <row r="288">
      <c r="A288" s="27" t="s">
        <v>327</v>
      </c>
    </row>
    <row r="289">
      <c r="A289" s="27" t="s">
        <v>328</v>
      </c>
    </row>
    <row r="290">
      <c r="A290" s="27" t="s">
        <v>329</v>
      </c>
    </row>
    <row r="291">
      <c r="A291" s="27" t="s">
        <v>330</v>
      </c>
    </row>
    <row r="292">
      <c r="A292" s="27" t="s">
        <v>331</v>
      </c>
    </row>
    <row r="293">
      <c r="A293" s="27" t="s">
        <v>332</v>
      </c>
    </row>
    <row r="294">
      <c r="A294" s="27" t="s">
        <v>333</v>
      </c>
    </row>
    <row r="295">
      <c r="A295" s="27" t="s">
        <v>334</v>
      </c>
    </row>
    <row r="296">
      <c r="A296" s="27" t="s">
        <v>335</v>
      </c>
    </row>
    <row r="297">
      <c r="A297" s="27" t="s">
        <v>336</v>
      </c>
    </row>
    <row r="298">
      <c r="A298" s="27" t="s">
        <v>337</v>
      </c>
    </row>
    <row r="299">
      <c r="A299" s="27" t="s">
        <v>338</v>
      </c>
    </row>
    <row r="300">
      <c r="A300" s="27" t="s">
        <v>339</v>
      </c>
    </row>
    <row r="301">
      <c r="A301" s="27" t="s">
        <v>340</v>
      </c>
    </row>
    <row r="302">
      <c r="A302" s="27" t="s">
        <v>341</v>
      </c>
    </row>
    <row r="303">
      <c r="A303" s="27" t="s">
        <v>342</v>
      </c>
    </row>
    <row r="304">
      <c r="A304" s="27" t="s">
        <v>343</v>
      </c>
    </row>
    <row r="305">
      <c r="A305" s="27" t="s">
        <v>344</v>
      </c>
    </row>
    <row r="306">
      <c r="A306" s="27" t="s">
        <v>345</v>
      </c>
    </row>
    <row r="307">
      <c r="A307" s="27" t="s">
        <v>346</v>
      </c>
    </row>
    <row r="308">
      <c r="A308" s="27" t="s">
        <v>347</v>
      </c>
    </row>
    <row r="309">
      <c r="A309" s="27" t="s">
        <v>348</v>
      </c>
    </row>
    <row r="310">
      <c r="A310" s="27" t="s">
        <v>349</v>
      </c>
    </row>
    <row r="311">
      <c r="A311" s="27" t="s">
        <v>350</v>
      </c>
    </row>
    <row r="312">
      <c r="A312" s="27" t="s">
        <v>351</v>
      </c>
    </row>
    <row r="313">
      <c r="A313" s="27" t="s">
        <v>352</v>
      </c>
    </row>
    <row r="314">
      <c r="A314" s="27" t="s">
        <v>353</v>
      </c>
    </row>
    <row r="315">
      <c r="A315" s="27" t="s">
        <v>354</v>
      </c>
    </row>
    <row r="316">
      <c r="A316" s="27" t="s">
        <v>355</v>
      </c>
    </row>
    <row r="317">
      <c r="A317" s="27" t="s">
        <v>356</v>
      </c>
    </row>
    <row r="318">
      <c r="A318" s="27" t="s">
        <v>357</v>
      </c>
    </row>
    <row r="319">
      <c r="A319" s="27" t="s">
        <v>358</v>
      </c>
    </row>
    <row r="320">
      <c r="A320" s="27" t="s">
        <v>359</v>
      </c>
    </row>
    <row r="321">
      <c r="A321" s="27" t="s">
        <v>360</v>
      </c>
    </row>
    <row r="322">
      <c r="A322" s="27" t="s">
        <v>361</v>
      </c>
    </row>
    <row r="323">
      <c r="A323" s="27" t="s">
        <v>362</v>
      </c>
    </row>
    <row r="324">
      <c r="A324" s="27" t="s">
        <v>363</v>
      </c>
    </row>
    <row r="325">
      <c r="A325" s="27" t="s">
        <v>364</v>
      </c>
    </row>
    <row r="326">
      <c r="A326" s="27" t="s">
        <v>365</v>
      </c>
    </row>
    <row r="327">
      <c r="A327" s="27" t="s">
        <v>366</v>
      </c>
    </row>
    <row r="328">
      <c r="A328" s="27" t="s">
        <v>367</v>
      </c>
    </row>
    <row r="329">
      <c r="A329" s="27" t="s">
        <v>368</v>
      </c>
    </row>
    <row r="330">
      <c r="A330" s="27" t="s">
        <v>369</v>
      </c>
    </row>
    <row r="331">
      <c r="A331" s="27" t="s">
        <v>370</v>
      </c>
    </row>
    <row r="332">
      <c r="A332" s="27" t="s">
        <v>371</v>
      </c>
    </row>
    <row r="333">
      <c r="A333" s="27" t="s">
        <v>372</v>
      </c>
    </row>
    <row r="334">
      <c r="A334" s="27" t="s">
        <v>373</v>
      </c>
    </row>
    <row r="335">
      <c r="A335" s="27" t="s">
        <v>374</v>
      </c>
    </row>
    <row r="336">
      <c r="A336" s="27" t="s">
        <v>375</v>
      </c>
    </row>
    <row r="337">
      <c r="A337" s="27" t="s">
        <v>376</v>
      </c>
    </row>
    <row r="338">
      <c r="A338" s="27" t="s">
        <v>377</v>
      </c>
    </row>
    <row r="339">
      <c r="A339" s="27" t="s">
        <v>378</v>
      </c>
    </row>
    <row r="340">
      <c r="A340" s="27" t="s">
        <v>379</v>
      </c>
    </row>
    <row r="341">
      <c r="A341" s="27" t="s">
        <v>380</v>
      </c>
    </row>
    <row r="342">
      <c r="A342" s="27" t="s">
        <v>381</v>
      </c>
    </row>
    <row r="343">
      <c r="A343" s="27" t="s">
        <v>382</v>
      </c>
    </row>
    <row r="344">
      <c r="A344" s="27" t="s">
        <v>383</v>
      </c>
    </row>
    <row r="345">
      <c r="A345" s="27" t="s">
        <v>384</v>
      </c>
    </row>
    <row r="346">
      <c r="A346" s="27" t="s">
        <v>385</v>
      </c>
    </row>
    <row r="347">
      <c r="A347" s="27" t="s">
        <v>386</v>
      </c>
    </row>
    <row r="348">
      <c r="A348" s="27" t="s">
        <v>387</v>
      </c>
    </row>
    <row r="349">
      <c r="A349" s="27" t="s">
        <v>388</v>
      </c>
    </row>
    <row r="350">
      <c r="A350" s="27" t="s">
        <v>389</v>
      </c>
    </row>
    <row r="351">
      <c r="A351" s="27" t="s">
        <v>390</v>
      </c>
    </row>
    <row r="352">
      <c r="A352" s="27" t="s">
        <v>391</v>
      </c>
    </row>
    <row r="353">
      <c r="A353" s="27" t="s">
        <v>392</v>
      </c>
    </row>
    <row r="354">
      <c r="A354" s="27" t="s">
        <v>393</v>
      </c>
    </row>
    <row r="355">
      <c r="A355" s="27" t="s">
        <v>394</v>
      </c>
    </row>
    <row r="356">
      <c r="A356" s="27" t="s">
        <v>395</v>
      </c>
    </row>
    <row r="357">
      <c r="A357" s="27" t="s">
        <v>396</v>
      </c>
    </row>
    <row r="358">
      <c r="A358" s="27" t="s">
        <v>397</v>
      </c>
    </row>
    <row r="359">
      <c r="A359" s="27" t="s">
        <v>398</v>
      </c>
    </row>
    <row r="360">
      <c r="A360" s="27" t="s">
        <v>399</v>
      </c>
    </row>
    <row r="361">
      <c r="A361" s="27" t="s">
        <v>400</v>
      </c>
    </row>
    <row r="362">
      <c r="A362" s="27" t="s">
        <v>401</v>
      </c>
    </row>
    <row r="363">
      <c r="A363" s="27" t="s">
        <v>402</v>
      </c>
    </row>
    <row r="364">
      <c r="A364" s="27" t="s">
        <v>403</v>
      </c>
    </row>
    <row r="365">
      <c r="A365" s="27" t="s">
        <v>404</v>
      </c>
    </row>
    <row r="366">
      <c r="A366" s="27" t="s">
        <v>405</v>
      </c>
    </row>
    <row r="367">
      <c r="A367" s="27" t="s">
        <v>406</v>
      </c>
    </row>
    <row r="368">
      <c r="A368" s="27" t="s">
        <v>407</v>
      </c>
    </row>
    <row r="369">
      <c r="A369" s="27" t="s">
        <v>408</v>
      </c>
    </row>
    <row r="370">
      <c r="A370" s="27" t="s">
        <v>409</v>
      </c>
    </row>
    <row r="371">
      <c r="A371" s="27" t="s">
        <v>410</v>
      </c>
    </row>
    <row r="372">
      <c r="A372" s="27" t="s">
        <v>411</v>
      </c>
    </row>
    <row r="373">
      <c r="A373" s="27" t="s">
        <v>412</v>
      </c>
    </row>
    <row r="374">
      <c r="A374" s="27" t="s">
        <v>413</v>
      </c>
    </row>
    <row r="375">
      <c r="A375" s="27" t="s">
        <v>414</v>
      </c>
    </row>
    <row r="376">
      <c r="A376" s="27" t="s">
        <v>415</v>
      </c>
    </row>
    <row r="377">
      <c r="A377" s="27" t="s">
        <v>416</v>
      </c>
    </row>
    <row r="378">
      <c r="A378" s="27" t="s">
        <v>417</v>
      </c>
    </row>
    <row r="379">
      <c r="A379" s="27" t="s">
        <v>418</v>
      </c>
    </row>
    <row r="380">
      <c r="A380" s="27" t="s">
        <v>419</v>
      </c>
    </row>
    <row r="381">
      <c r="A381" s="27" t="s">
        <v>420</v>
      </c>
    </row>
    <row r="382">
      <c r="A382" s="27" t="s">
        <v>421</v>
      </c>
    </row>
    <row r="383">
      <c r="A383" s="27" t="s">
        <v>422</v>
      </c>
    </row>
    <row r="384">
      <c r="A384" s="27" t="s">
        <v>423</v>
      </c>
    </row>
    <row r="385">
      <c r="A385" s="27" t="s">
        <v>424</v>
      </c>
    </row>
    <row r="386">
      <c r="A386" s="27" t="s">
        <v>425</v>
      </c>
    </row>
    <row r="387">
      <c r="A387" s="27" t="s">
        <v>426</v>
      </c>
    </row>
    <row r="388">
      <c r="A388" s="27" t="s">
        <v>427</v>
      </c>
    </row>
    <row r="389">
      <c r="A389" s="27" t="s">
        <v>428</v>
      </c>
    </row>
    <row r="390">
      <c r="A390" s="27" t="s">
        <v>429</v>
      </c>
    </row>
    <row r="391">
      <c r="A391" s="27" t="s">
        <v>430</v>
      </c>
    </row>
    <row r="392">
      <c r="A392" s="27" t="s">
        <v>431</v>
      </c>
    </row>
    <row r="393">
      <c r="A393" s="27" t="s">
        <v>432</v>
      </c>
    </row>
    <row r="394">
      <c r="A394" s="27" t="s">
        <v>433</v>
      </c>
    </row>
    <row r="395">
      <c r="A395" s="27" t="s">
        <v>434</v>
      </c>
    </row>
    <row r="396">
      <c r="A396" s="27" t="s">
        <v>435</v>
      </c>
    </row>
    <row r="397">
      <c r="A397" s="27" t="s">
        <v>436</v>
      </c>
    </row>
    <row r="398">
      <c r="A398" s="27" t="s">
        <v>437</v>
      </c>
    </row>
    <row r="399">
      <c r="A399" s="27" t="s">
        <v>438</v>
      </c>
    </row>
    <row r="400">
      <c r="A400" s="27" t="s">
        <v>439</v>
      </c>
    </row>
    <row r="401">
      <c r="A401" s="27" t="s">
        <v>440</v>
      </c>
    </row>
    <row r="402">
      <c r="A402" s="27" t="s">
        <v>441</v>
      </c>
    </row>
    <row r="403">
      <c r="A403" s="27" t="s">
        <v>442</v>
      </c>
    </row>
    <row r="404">
      <c r="A404" s="27" t="s">
        <v>443</v>
      </c>
    </row>
    <row r="405">
      <c r="A405" s="27" t="s">
        <v>444</v>
      </c>
    </row>
    <row r="406">
      <c r="A406" s="27" t="s">
        <v>445</v>
      </c>
    </row>
    <row r="407">
      <c r="A407" s="27" t="s">
        <v>446</v>
      </c>
    </row>
    <row r="408">
      <c r="A408" s="27" t="s">
        <v>447</v>
      </c>
    </row>
    <row r="409">
      <c r="A409" s="27" t="s">
        <v>448</v>
      </c>
    </row>
    <row r="410">
      <c r="A410" s="27" t="s">
        <v>449</v>
      </c>
    </row>
    <row r="411">
      <c r="A411" s="27" t="s">
        <v>450</v>
      </c>
    </row>
    <row r="412">
      <c r="A412" s="27" t="s">
        <v>451</v>
      </c>
    </row>
    <row r="413">
      <c r="A413" s="27" t="s">
        <v>452</v>
      </c>
    </row>
    <row r="414">
      <c r="A414" s="27" t="s">
        <v>453</v>
      </c>
    </row>
    <row r="415">
      <c r="A415" s="27" t="s">
        <v>454</v>
      </c>
    </row>
    <row r="416">
      <c r="A416" s="27" t="s">
        <v>455</v>
      </c>
    </row>
    <row r="417">
      <c r="A417" s="27" t="s">
        <v>456</v>
      </c>
    </row>
    <row r="418">
      <c r="A418" s="27" t="s">
        <v>457</v>
      </c>
    </row>
    <row r="419">
      <c r="A419" s="27" t="s">
        <v>458</v>
      </c>
    </row>
    <row r="420">
      <c r="A420" s="27" t="s">
        <v>459</v>
      </c>
    </row>
    <row r="421">
      <c r="A421" s="27" t="s">
        <v>460</v>
      </c>
    </row>
    <row r="422">
      <c r="A422" s="27" t="s">
        <v>461</v>
      </c>
    </row>
    <row r="423">
      <c r="A423" s="27" t="s">
        <v>462</v>
      </c>
    </row>
    <row r="424">
      <c r="A424" s="27" t="s">
        <v>463</v>
      </c>
    </row>
    <row r="425">
      <c r="A425" s="27" t="s">
        <v>464</v>
      </c>
    </row>
    <row r="426">
      <c r="A426" s="27" t="s">
        <v>465</v>
      </c>
    </row>
    <row r="427">
      <c r="A427" s="27" t="s">
        <v>466</v>
      </c>
    </row>
    <row r="428">
      <c r="A428" s="27" t="s">
        <v>467</v>
      </c>
    </row>
    <row r="429">
      <c r="A429" s="27" t="s">
        <v>468</v>
      </c>
    </row>
    <row r="430">
      <c r="A430" s="27" t="s">
        <v>469</v>
      </c>
    </row>
    <row r="431">
      <c r="A431" s="27" t="s">
        <v>470</v>
      </c>
    </row>
    <row r="432">
      <c r="A432" s="27" t="s">
        <v>471</v>
      </c>
    </row>
    <row r="433">
      <c r="A433" s="27" t="s">
        <v>472</v>
      </c>
    </row>
    <row r="434">
      <c r="A434" s="27" t="s">
        <v>473</v>
      </c>
    </row>
    <row r="435">
      <c r="A435" s="27" t="s">
        <v>474</v>
      </c>
    </row>
    <row r="436">
      <c r="A436" s="27" t="s">
        <v>475</v>
      </c>
    </row>
    <row r="437">
      <c r="A437" s="27" t="s">
        <v>476</v>
      </c>
    </row>
    <row r="438">
      <c r="A438" s="27" t="s">
        <v>477</v>
      </c>
    </row>
    <row r="439">
      <c r="A439" s="27" t="s">
        <v>478</v>
      </c>
    </row>
    <row r="440">
      <c r="A440" s="27" t="s">
        <v>479</v>
      </c>
    </row>
    <row r="441">
      <c r="A441" s="27" t="s">
        <v>480</v>
      </c>
    </row>
    <row r="442">
      <c r="A442" s="27" t="s">
        <v>481</v>
      </c>
    </row>
    <row r="443">
      <c r="A443" s="27" t="s">
        <v>482</v>
      </c>
    </row>
    <row r="444">
      <c r="A444" s="27" t="s">
        <v>483</v>
      </c>
    </row>
    <row r="445">
      <c r="A445" s="27" t="s">
        <v>484</v>
      </c>
    </row>
    <row r="446">
      <c r="A446" s="27" t="s">
        <v>485</v>
      </c>
    </row>
    <row r="447">
      <c r="A447" s="27" t="s">
        <v>486</v>
      </c>
    </row>
    <row r="448">
      <c r="A448" s="27" t="s">
        <v>487</v>
      </c>
    </row>
    <row r="449">
      <c r="A449" s="27" t="s">
        <v>488</v>
      </c>
    </row>
    <row r="450">
      <c r="A450" s="27" t="s">
        <v>489</v>
      </c>
    </row>
    <row r="451">
      <c r="A451" s="27" t="s">
        <v>490</v>
      </c>
    </row>
    <row r="452">
      <c r="A452" s="27" t="s">
        <v>491</v>
      </c>
    </row>
    <row r="453">
      <c r="A453" s="27" t="s">
        <v>492</v>
      </c>
    </row>
    <row r="454">
      <c r="A454" s="27" t="s">
        <v>493</v>
      </c>
    </row>
    <row r="455">
      <c r="A455" s="27" t="s">
        <v>494</v>
      </c>
    </row>
    <row r="456">
      <c r="A456" s="27" t="s">
        <v>495</v>
      </c>
    </row>
    <row r="457">
      <c r="A457" s="27" t="s">
        <v>496</v>
      </c>
    </row>
    <row r="458">
      <c r="A458" s="27" t="s">
        <v>497</v>
      </c>
    </row>
    <row r="459">
      <c r="A459" s="27" t="s">
        <v>498</v>
      </c>
    </row>
    <row r="460">
      <c r="A460" s="27" t="s">
        <v>499</v>
      </c>
    </row>
    <row r="461">
      <c r="A461" s="27" t="s">
        <v>500</v>
      </c>
    </row>
    <row r="462">
      <c r="A462" s="27" t="s">
        <v>501</v>
      </c>
    </row>
    <row r="463">
      <c r="A463" s="27" t="s">
        <v>503</v>
      </c>
    </row>
    <row r="464">
      <c r="A464" s="27" t="s">
        <v>504</v>
      </c>
    </row>
    <row r="465">
      <c r="A465" s="27" t="s">
        <v>505</v>
      </c>
    </row>
    <row r="466">
      <c r="A466" s="27" t="s">
        <v>506</v>
      </c>
    </row>
    <row r="467">
      <c r="A467" s="27" t="s">
        <v>507</v>
      </c>
    </row>
    <row r="468">
      <c r="A468" s="27" t="s">
        <v>508</v>
      </c>
    </row>
    <row r="469">
      <c r="A469" s="27" t="s">
        <v>509</v>
      </c>
    </row>
    <row r="470">
      <c r="A470" s="27" t="s">
        <v>510</v>
      </c>
    </row>
    <row r="471">
      <c r="A471" s="27" t="s">
        <v>511</v>
      </c>
    </row>
    <row r="472">
      <c r="A472" s="27" t="s">
        <v>512</v>
      </c>
    </row>
    <row r="473">
      <c r="A473" s="27" t="s">
        <v>513</v>
      </c>
    </row>
    <row r="474">
      <c r="A474" s="27" t="s">
        <v>514</v>
      </c>
    </row>
    <row r="475">
      <c r="A475" s="27" t="s">
        <v>515</v>
      </c>
    </row>
    <row r="476">
      <c r="A476" s="27" t="s">
        <v>516</v>
      </c>
    </row>
    <row r="477">
      <c r="A477" s="27" t="s">
        <v>517</v>
      </c>
    </row>
    <row r="478">
      <c r="A478" s="27" t="s">
        <v>518</v>
      </c>
    </row>
    <row r="479">
      <c r="A479" s="27" t="s">
        <v>519</v>
      </c>
    </row>
    <row r="480">
      <c r="A480" s="27" t="s">
        <v>520</v>
      </c>
    </row>
    <row r="481">
      <c r="A481" s="27" t="s">
        <v>521</v>
      </c>
    </row>
    <row r="482">
      <c r="A482" s="27" t="s">
        <v>522</v>
      </c>
    </row>
    <row r="483">
      <c r="A483" s="27" t="s">
        <v>523</v>
      </c>
    </row>
    <row r="484">
      <c r="A484" s="27" t="s">
        <v>524</v>
      </c>
    </row>
    <row r="485">
      <c r="A485" s="27" t="s">
        <v>525</v>
      </c>
    </row>
    <row r="486">
      <c r="A486" s="27" t="s">
        <v>526</v>
      </c>
    </row>
    <row r="487">
      <c r="A487" s="27" t="s">
        <v>527</v>
      </c>
    </row>
    <row r="488">
      <c r="A488" s="27" t="s">
        <v>528</v>
      </c>
    </row>
    <row r="489">
      <c r="A489" s="27" t="s">
        <v>529</v>
      </c>
    </row>
    <row r="490">
      <c r="A490" s="27" t="s">
        <v>530</v>
      </c>
    </row>
    <row r="491">
      <c r="A491" s="27" t="s">
        <v>531</v>
      </c>
    </row>
    <row r="492">
      <c r="A492" s="27" t="s">
        <v>532</v>
      </c>
    </row>
    <row r="493">
      <c r="A493" s="27" t="s">
        <v>533</v>
      </c>
    </row>
    <row r="494">
      <c r="A494" s="27" t="s">
        <v>534</v>
      </c>
    </row>
    <row r="495">
      <c r="A495" s="27" t="s">
        <v>535</v>
      </c>
    </row>
    <row r="496">
      <c r="A496" s="27" t="s">
        <v>536</v>
      </c>
    </row>
    <row r="497">
      <c r="A497" s="27" t="s">
        <v>537</v>
      </c>
    </row>
    <row r="498">
      <c r="A498" s="27" t="s">
        <v>538</v>
      </c>
    </row>
    <row r="499">
      <c r="A499" s="27" t="s">
        <v>539</v>
      </c>
    </row>
    <row r="500">
      <c r="A500" s="27" t="s">
        <v>540</v>
      </c>
    </row>
    <row r="501">
      <c r="A501" s="27" t="s">
        <v>541</v>
      </c>
    </row>
    <row r="502">
      <c r="A502" s="27" t="s">
        <v>542</v>
      </c>
    </row>
    <row r="503">
      <c r="A503" s="27" t="s">
        <v>543</v>
      </c>
    </row>
    <row r="504">
      <c r="A504" s="27" t="s">
        <v>544</v>
      </c>
    </row>
    <row r="505">
      <c r="A505" s="27" t="s">
        <v>545</v>
      </c>
    </row>
    <row r="506">
      <c r="A506" s="27" t="s">
        <v>546</v>
      </c>
    </row>
    <row r="507">
      <c r="A507" s="27" t="s">
        <v>547</v>
      </c>
    </row>
    <row r="508">
      <c r="A508" s="27" t="s">
        <v>548</v>
      </c>
    </row>
    <row r="509">
      <c r="A509" s="27" t="s">
        <v>549</v>
      </c>
    </row>
    <row r="510">
      <c r="A510" s="27" t="s">
        <v>550</v>
      </c>
    </row>
    <row r="511">
      <c r="A511" s="27" t="s">
        <v>551</v>
      </c>
    </row>
    <row r="512">
      <c r="A512" s="27" t="s">
        <v>552</v>
      </c>
    </row>
    <row r="513">
      <c r="A513" s="27" t="s">
        <v>553</v>
      </c>
    </row>
    <row r="514">
      <c r="A514" s="27" t="s">
        <v>554</v>
      </c>
    </row>
    <row r="515">
      <c r="A515" s="27" t="s">
        <v>555</v>
      </c>
    </row>
    <row r="516">
      <c r="A516" s="27" t="s">
        <v>556</v>
      </c>
    </row>
    <row r="517">
      <c r="A517" s="27" t="s">
        <v>557</v>
      </c>
    </row>
    <row r="518">
      <c r="A518" s="27" t="s">
        <v>558</v>
      </c>
    </row>
    <row r="519">
      <c r="A519" s="27" t="s">
        <v>559</v>
      </c>
    </row>
    <row r="520">
      <c r="A520" s="27" t="s">
        <v>560</v>
      </c>
    </row>
    <row r="521">
      <c r="A521" s="27" t="s">
        <v>561</v>
      </c>
    </row>
    <row r="522">
      <c r="A522" s="27" t="s">
        <v>562</v>
      </c>
    </row>
    <row r="523">
      <c r="A523" s="27" t="s">
        <v>563</v>
      </c>
    </row>
    <row r="524">
      <c r="A524" s="27" t="s">
        <v>564</v>
      </c>
    </row>
    <row r="525">
      <c r="A525" s="27" t="s">
        <v>565</v>
      </c>
    </row>
    <row r="526">
      <c r="A526" s="27" t="s">
        <v>566</v>
      </c>
    </row>
    <row r="527">
      <c r="A527" s="27" t="s">
        <v>567</v>
      </c>
    </row>
    <row r="528">
      <c r="A528" s="27" t="s">
        <v>568</v>
      </c>
    </row>
    <row r="529">
      <c r="A529" s="27" t="s">
        <v>569</v>
      </c>
    </row>
    <row r="530">
      <c r="A530" s="27" t="s">
        <v>570</v>
      </c>
    </row>
    <row r="531">
      <c r="A531" s="27" t="s">
        <v>571</v>
      </c>
    </row>
    <row r="532">
      <c r="A532" s="27" t="s">
        <v>572</v>
      </c>
    </row>
    <row r="533">
      <c r="A533" s="27" t="s">
        <v>573</v>
      </c>
    </row>
    <row r="534">
      <c r="A534" s="27" t="s">
        <v>574</v>
      </c>
    </row>
    <row r="535">
      <c r="A535" s="27" t="s">
        <v>575</v>
      </c>
    </row>
    <row r="536">
      <c r="A536" s="27" t="s">
        <v>576</v>
      </c>
    </row>
    <row r="537">
      <c r="A537" s="27" t="s">
        <v>577</v>
      </c>
    </row>
    <row r="538">
      <c r="A538" s="27" t="s">
        <v>578</v>
      </c>
    </row>
    <row r="539">
      <c r="A539" s="27" t="s">
        <v>579</v>
      </c>
    </row>
    <row r="540">
      <c r="A540" s="27" t="s">
        <v>580</v>
      </c>
    </row>
    <row r="541">
      <c r="A541" s="27" t="s">
        <v>581</v>
      </c>
    </row>
    <row r="542">
      <c r="A542" s="27" t="s">
        <v>582</v>
      </c>
    </row>
    <row r="543">
      <c r="A543" s="27" t="s">
        <v>583</v>
      </c>
    </row>
    <row r="544">
      <c r="A544" s="27" t="s">
        <v>584</v>
      </c>
    </row>
    <row r="545">
      <c r="A545" s="27" t="s">
        <v>585</v>
      </c>
    </row>
    <row r="546">
      <c r="A546" s="27" t="s">
        <v>586</v>
      </c>
    </row>
    <row r="547">
      <c r="A547" s="27" t="s">
        <v>587</v>
      </c>
    </row>
    <row r="548">
      <c r="A548" s="27" t="s">
        <v>588</v>
      </c>
    </row>
    <row r="549">
      <c r="A549" s="27" t="s">
        <v>589</v>
      </c>
    </row>
    <row r="550">
      <c r="A550" s="27" t="s">
        <v>590</v>
      </c>
    </row>
    <row r="551">
      <c r="A551" s="27" t="s">
        <v>591</v>
      </c>
    </row>
    <row r="552">
      <c r="A552" s="27" t="s">
        <v>592</v>
      </c>
    </row>
    <row r="553">
      <c r="A553" s="27" t="s">
        <v>593</v>
      </c>
    </row>
    <row r="554">
      <c r="A554" s="27" t="s">
        <v>594</v>
      </c>
    </row>
    <row r="555">
      <c r="A555" s="27" t="s">
        <v>595</v>
      </c>
    </row>
    <row r="556">
      <c r="A556" s="27" t="s">
        <v>596</v>
      </c>
    </row>
    <row r="557">
      <c r="A557" s="27" t="s">
        <v>597</v>
      </c>
    </row>
    <row r="558">
      <c r="A558" s="27" t="s">
        <v>598</v>
      </c>
    </row>
    <row r="559">
      <c r="A559" s="27" t="s">
        <v>599</v>
      </c>
    </row>
    <row r="560">
      <c r="A560" s="27" t="s">
        <v>600</v>
      </c>
    </row>
    <row r="561">
      <c r="A561" s="27" t="s">
        <v>601</v>
      </c>
    </row>
    <row r="562">
      <c r="A562" s="27" t="s">
        <v>602</v>
      </c>
    </row>
    <row r="563">
      <c r="A563" s="27" t="s">
        <v>603</v>
      </c>
    </row>
    <row r="564">
      <c r="A564" s="27" t="s">
        <v>604</v>
      </c>
    </row>
    <row r="565">
      <c r="A565" s="27" t="s">
        <v>605</v>
      </c>
    </row>
    <row r="566">
      <c r="A566" s="27" t="s">
        <v>606</v>
      </c>
    </row>
    <row r="567">
      <c r="A567" s="27" t="s">
        <v>607</v>
      </c>
    </row>
    <row r="568">
      <c r="A568" s="27" t="s">
        <v>608</v>
      </c>
    </row>
    <row r="569">
      <c r="A569" s="27" t="s">
        <v>609</v>
      </c>
    </row>
    <row r="570">
      <c r="A570" s="27" t="s">
        <v>610</v>
      </c>
    </row>
    <row r="571">
      <c r="A571" s="27" t="s">
        <v>611</v>
      </c>
    </row>
    <row r="572">
      <c r="A572" s="27" t="s">
        <v>612</v>
      </c>
    </row>
    <row r="573">
      <c r="A573" s="27" t="s">
        <v>613</v>
      </c>
    </row>
    <row r="574">
      <c r="A574" s="27" t="s">
        <v>614</v>
      </c>
    </row>
    <row r="575">
      <c r="A575" s="27" t="s">
        <v>615</v>
      </c>
    </row>
    <row r="576">
      <c r="A576" s="27" t="s">
        <v>616</v>
      </c>
    </row>
    <row r="577">
      <c r="A577" s="27" t="s">
        <v>617</v>
      </c>
    </row>
    <row r="578">
      <c r="A578" s="27" t="s">
        <v>618</v>
      </c>
    </row>
    <row r="579">
      <c r="A579" s="27" t="s">
        <v>619</v>
      </c>
    </row>
    <row r="580">
      <c r="A580" s="27" t="s">
        <v>620</v>
      </c>
    </row>
    <row r="581">
      <c r="A581" s="27" t="s">
        <v>621</v>
      </c>
    </row>
    <row r="582">
      <c r="A582" s="27" t="s">
        <v>622</v>
      </c>
    </row>
    <row r="583">
      <c r="A583" s="27" t="s">
        <v>623</v>
      </c>
    </row>
    <row r="584">
      <c r="A584" s="27" t="s">
        <v>624</v>
      </c>
    </row>
    <row r="585">
      <c r="A585" s="27" t="s">
        <v>625</v>
      </c>
    </row>
    <row r="586">
      <c r="A586" s="27" t="s">
        <v>626</v>
      </c>
    </row>
    <row r="587">
      <c r="A587" s="27" t="s">
        <v>627</v>
      </c>
    </row>
    <row r="588">
      <c r="A588" s="27" t="s">
        <v>628</v>
      </c>
    </row>
    <row r="589">
      <c r="A589" s="27" t="s">
        <v>629</v>
      </c>
    </row>
    <row r="590">
      <c r="A590" s="27" t="s">
        <v>630</v>
      </c>
    </row>
    <row r="591">
      <c r="A591" s="27" t="s">
        <v>631</v>
      </c>
    </row>
    <row r="592">
      <c r="A592" s="27" t="s">
        <v>632</v>
      </c>
    </row>
    <row r="593">
      <c r="A593" s="27" t="s">
        <v>633</v>
      </c>
    </row>
    <row r="594">
      <c r="A594" s="27" t="s">
        <v>634</v>
      </c>
    </row>
    <row r="595">
      <c r="A595" s="27" t="s">
        <v>635</v>
      </c>
    </row>
    <row r="596">
      <c r="A596" s="27" t="s">
        <v>636</v>
      </c>
    </row>
    <row r="597">
      <c r="A597" s="27" t="s">
        <v>637</v>
      </c>
    </row>
    <row r="598">
      <c r="A598" s="27" t="s">
        <v>638</v>
      </c>
    </row>
    <row r="599">
      <c r="A599" s="27" t="s">
        <v>639</v>
      </c>
    </row>
    <row r="600">
      <c r="A600" s="27" t="s">
        <v>640</v>
      </c>
    </row>
    <row r="601">
      <c r="A601" s="27" t="s">
        <v>641</v>
      </c>
    </row>
    <row r="602">
      <c r="A602" s="27" t="s">
        <v>642</v>
      </c>
    </row>
    <row r="603">
      <c r="A603" s="27" t="s">
        <v>643</v>
      </c>
    </row>
    <row r="604">
      <c r="A604" s="27" t="s">
        <v>644</v>
      </c>
    </row>
    <row r="605">
      <c r="A605" s="27" t="s">
        <v>645</v>
      </c>
    </row>
    <row r="606">
      <c r="A606" s="27" t="s">
        <v>646</v>
      </c>
    </row>
    <row r="607">
      <c r="A607" s="27" t="s">
        <v>647</v>
      </c>
    </row>
    <row r="608">
      <c r="A608" s="27" t="s">
        <v>648</v>
      </c>
    </row>
    <row r="609">
      <c r="A609" s="27" t="s">
        <v>649</v>
      </c>
    </row>
    <row r="610">
      <c r="A610" s="27" t="s">
        <v>650</v>
      </c>
    </row>
    <row r="611">
      <c r="A611" s="27" t="s">
        <v>651</v>
      </c>
    </row>
    <row r="612">
      <c r="A612" s="27" t="s">
        <v>652</v>
      </c>
    </row>
    <row r="613">
      <c r="A613" s="27" t="s">
        <v>653</v>
      </c>
    </row>
    <row r="614">
      <c r="A614" s="27" t="s">
        <v>654</v>
      </c>
    </row>
    <row r="615">
      <c r="A615" s="27" t="s">
        <v>655</v>
      </c>
    </row>
    <row r="616">
      <c r="A616" s="27" t="s">
        <v>656</v>
      </c>
    </row>
    <row r="617">
      <c r="A617" s="27" t="s">
        <v>657</v>
      </c>
    </row>
    <row r="618">
      <c r="A618" s="27" t="s">
        <v>658</v>
      </c>
    </row>
    <row r="619">
      <c r="A619" s="27" t="s">
        <v>659</v>
      </c>
    </row>
    <row r="620">
      <c r="A620" s="27" t="s">
        <v>660</v>
      </c>
    </row>
    <row r="621">
      <c r="A621" s="27" t="s">
        <v>661</v>
      </c>
    </row>
    <row r="622">
      <c r="A622" s="27" t="s">
        <v>662</v>
      </c>
    </row>
    <row r="623">
      <c r="A623" s="27" t="s">
        <v>663</v>
      </c>
    </row>
    <row r="624">
      <c r="A624" s="27" t="s">
        <v>664</v>
      </c>
    </row>
    <row r="625">
      <c r="A625" s="27" t="s">
        <v>665</v>
      </c>
    </row>
    <row r="626">
      <c r="A626" s="27" t="s">
        <v>666</v>
      </c>
    </row>
    <row r="627">
      <c r="A627" s="27" t="s">
        <v>667</v>
      </c>
    </row>
    <row r="628">
      <c r="A628" s="27" t="s">
        <v>668</v>
      </c>
    </row>
    <row r="629">
      <c r="A629" s="27" t="s">
        <v>669</v>
      </c>
    </row>
    <row r="630">
      <c r="A630" s="27" t="s">
        <v>670</v>
      </c>
    </row>
    <row r="631">
      <c r="A631" s="27" t="s">
        <v>671</v>
      </c>
    </row>
    <row r="632">
      <c r="A632" s="27" t="s">
        <v>672</v>
      </c>
    </row>
    <row r="633">
      <c r="A633" s="27" t="s">
        <v>673</v>
      </c>
    </row>
    <row r="634">
      <c r="A634" s="27" t="s">
        <v>674</v>
      </c>
    </row>
    <row r="635">
      <c r="A635" s="27" t="s">
        <v>675</v>
      </c>
    </row>
    <row r="636">
      <c r="A636" s="27" t="s">
        <v>676</v>
      </c>
    </row>
    <row r="637">
      <c r="A637" s="27" t="s">
        <v>677</v>
      </c>
    </row>
    <row r="638">
      <c r="A638" s="27" t="s">
        <v>678</v>
      </c>
    </row>
    <row r="639">
      <c r="A639" s="27" t="s">
        <v>679</v>
      </c>
    </row>
    <row r="640">
      <c r="A640" s="27" t="s">
        <v>680</v>
      </c>
    </row>
    <row r="641">
      <c r="A641" s="27" t="s">
        <v>681</v>
      </c>
    </row>
    <row r="642">
      <c r="A642" s="27" t="s">
        <v>682</v>
      </c>
    </row>
    <row r="643">
      <c r="A643" s="27" t="s">
        <v>683</v>
      </c>
    </row>
    <row r="644">
      <c r="A644" s="27" t="s">
        <v>684</v>
      </c>
    </row>
    <row r="645">
      <c r="A645" s="27" t="s">
        <v>685</v>
      </c>
    </row>
    <row r="646">
      <c r="A646" s="27" t="s">
        <v>686</v>
      </c>
    </row>
    <row r="647">
      <c r="A647" s="27" t="s">
        <v>687</v>
      </c>
    </row>
    <row r="648">
      <c r="A648" s="27" t="s">
        <v>688</v>
      </c>
    </row>
    <row r="649">
      <c r="A649" s="27" t="s">
        <v>689</v>
      </c>
    </row>
    <row r="650">
      <c r="A650" s="27" t="s">
        <v>690</v>
      </c>
    </row>
    <row r="651">
      <c r="A651" s="27" t="s">
        <v>691</v>
      </c>
    </row>
    <row r="652">
      <c r="A652" s="27" t="s">
        <v>692</v>
      </c>
    </row>
    <row r="653">
      <c r="A653" s="27" t="s">
        <v>693</v>
      </c>
    </row>
    <row r="654">
      <c r="A654" s="27" t="s">
        <v>694</v>
      </c>
    </row>
    <row r="655">
      <c r="A655" s="27" t="s">
        <v>695</v>
      </c>
    </row>
    <row r="656">
      <c r="A656" s="27" t="s">
        <v>696</v>
      </c>
    </row>
    <row r="657">
      <c r="A657" s="27" t="s">
        <v>697</v>
      </c>
    </row>
    <row r="658">
      <c r="A658" s="27" t="s">
        <v>698</v>
      </c>
    </row>
    <row r="659">
      <c r="A659" s="27" t="s">
        <v>699</v>
      </c>
    </row>
    <row r="660">
      <c r="A660" s="27" t="s">
        <v>700</v>
      </c>
    </row>
    <row r="661">
      <c r="A661" s="27" t="s">
        <v>701</v>
      </c>
    </row>
    <row r="662">
      <c r="A662" s="27" t="s">
        <v>702</v>
      </c>
    </row>
    <row r="663">
      <c r="A663" s="27" t="s">
        <v>703</v>
      </c>
    </row>
    <row r="664">
      <c r="A664" s="27" t="s">
        <v>704</v>
      </c>
    </row>
    <row r="665">
      <c r="A665" s="27" t="s">
        <v>705</v>
      </c>
    </row>
    <row r="666">
      <c r="A666" s="27" t="s">
        <v>706</v>
      </c>
    </row>
    <row r="667">
      <c r="A667" s="27" t="s">
        <v>707</v>
      </c>
    </row>
    <row r="668">
      <c r="A668" s="27" t="s">
        <v>708</v>
      </c>
    </row>
    <row r="669">
      <c r="A669" s="27" t="s">
        <v>709</v>
      </c>
    </row>
    <row r="670">
      <c r="A670" s="27" t="s">
        <v>710</v>
      </c>
    </row>
    <row r="671">
      <c r="A671" s="27" t="s">
        <v>711</v>
      </c>
    </row>
    <row r="672">
      <c r="A672" s="27" t="s">
        <v>712</v>
      </c>
    </row>
    <row r="673">
      <c r="A673" s="27" t="s">
        <v>713</v>
      </c>
    </row>
    <row r="674">
      <c r="A674" s="27" t="s">
        <v>714</v>
      </c>
    </row>
    <row r="675">
      <c r="A675" s="27" t="s">
        <v>715</v>
      </c>
    </row>
    <row r="676">
      <c r="A676" s="27" t="s">
        <v>716</v>
      </c>
    </row>
    <row r="677">
      <c r="A677" s="27" t="s">
        <v>717</v>
      </c>
    </row>
    <row r="678">
      <c r="A678" s="27" t="s">
        <v>718</v>
      </c>
    </row>
    <row r="679">
      <c r="A679" s="27" t="s">
        <v>719</v>
      </c>
    </row>
    <row r="680">
      <c r="A680" s="27" t="s">
        <v>720</v>
      </c>
    </row>
    <row r="681">
      <c r="A681" s="27" t="s">
        <v>721</v>
      </c>
    </row>
    <row r="682">
      <c r="A682" s="27" t="s">
        <v>722</v>
      </c>
    </row>
    <row r="683">
      <c r="A683" s="27" t="s">
        <v>723</v>
      </c>
    </row>
    <row r="684">
      <c r="A684" s="27" t="s">
        <v>724</v>
      </c>
    </row>
    <row r="685">
      <c r="A685" s="27" t="s">
        <v>725</v>
      </c>
    </row>
    <row r="686">
      <c r="A686" s="27" t="s">
        <v>726</v>
      </c>
    </row>
    <row r="687">
      <c r="A687" s="27" t="s">
        <v>727</v>
      </c>
    </row>
    <row r="688">
      <c r="A688" s="27" t="s">
        <v>728</v>
      </c>
    </row>
    <row r="689">
      <c r="A689" s="27" t="s">
        <v>729</v>
      </c>
    </row>
    <row r="690">
      <c r="A690" s="27" t="s">
        <v>730</v>
      </c>
    </row>
    <row r="691">
      <c r="A691" s="27" t="s">
        <v>731</v>
      </c>
    </row>
    <row r="692">
      <c r="A692" s="27" t="s">
        <v>732</v>
      </c>
    </row>
    <row r="693">
      <c r="A693" s="27" t="s">
        <v>733</v>
      </c>
    </row>
    <row r="694">
      <c r="A694" s="27" t="s">
        <v>734</v>
      </c>
    </row>
    <row r="695">
      <c r="A695" s="27" t="s">
        <v>735</v>
      </c>
    </row>
    <row r="696">
      <c r="A696" s="27" t="s">
        <v>736</v>
      </c>
    </row>
    <row r="697">
      <c r="A697" s="27" t="s">
        <v>737</v>
      </c>
    </row>
    <row r="698">
      <c r="A698" s="27" t="s">
        <v>738</v>
      </c>
    </row>
    <row r="699">
      <c r="A699" s="27" t="s">
        <v>739</v>
      </c>
    </row>
    <row r="700">
      <c r="A700" s="27" t="s">
        <v>740</v>
      </c>
    </row>
    <row r="701">
      <c r="A701" s="27" t="s">
        <v>741</v>
      </c>
    </row>
    <row r="702">
      <c r="A702" s="27" t="s">
        <v>742</v>
      </c>
    </row>
    <row r="703">
      <c r="A703" s="27" t="s">
        <v>743</v>
      </c>
    </row>
    <row r="704">
      <c r="A704" s="27" t="s">
        <v>744</v>
      </c>
    </row>
    <row r="705">
      <c r="A705" s="27" t="s">
        <v>745</v>
      </c>
    </row>
    <row r="706">
      <c r="A706" s="27" t="s">
        <v>746</v>
      </c>
    </row>
    <row r="707">
      <c r="A707" s="27" t="s">
        <v>747</v>
      </c>
    </row>
    <row r="708">
      <c r="A708" s="27" t="s">
        <v>748</v>
      </c>
    </row>
    <row r="709">
      <c r="A709" s="27" t="s">
        <v>749</v>
      </c>
    </row>
    <row r="710">
      <c r="A710" s="27" t="s">
        <v>750</v>
      </c>
    </row>
    <row r="711">
      <c r="A711" s="27" t="s">
        <v>751</v>
      </c>
    </row>
    <row r="712">
      <c r="A712" s="27" t="s">
        <v>752</v>
      </c>
    </row>
    <row r="713">
      <c r="A713" s="27" t="s">
        <v>753</v>
      </c>
    </row>
    <row r="714">
      <c r="A714" s="27" t="s">
        <v>754</v>
      </c>
    </row>
    <row r="715">
      <c r="A715" s="27" t="s">
        <v>755</v>
      </c>
    </row>
    <row r="716">
      <c r="A716" s="27" t="s">
        <v>756</v>
      </c>
    </row>
    <row r="717">
      <c r="A717" s="27" t="s">
        <v>757</v>
      </c>
    </row>
    <row r="718">
      <c r="A718" s="27" t="s">
        <v>758</v>
      </c>
    </row>
    <row r="719">
      <c r="A719" s="27" t="s">
        <v>759</v>
      </c>
    </row>
    <row r="720">
      <c r="A720" s="27" t="s">
        <v>760</v>
      </c>
    </row>
    <row r="721">
      <c r="A721" s="27" t="s">
        <v>761</v>
      </c>
    </row>
    <row r="722">
      <c r="A722" s="27" t="s">
        <v>762</v>
      </c>
    </row>
    <row r="723">
      <c r="A723" s="27" t="s">
        <v>763</v>
      </c>
    </row>
    <row r="724">
      <c r="A724" s="27" t="s">
        <v>764</v>
      </c>
    </row>
    <row r="725">
      <c r="A725" s="27" t="s">
        <v>765</v>
      </c>
    </row>
    <row r="726">
      <c r="A726" s="27" t="s">
        <v>766</v>
      </c>
    </row>
    <row r="727">
      <c r="A727" s="27" t="s">
        <v>767</v>
      </c>
    </row>
    <row r="728">
      <c r="A728" s="27" t="s">
        <v>768</v>
      </c>
    </row>
    <row r="729">
      <c r="A729" s="27" t="s">
        <v>769</v>
      </c>
    </row>
    <row r="730">
      <c r="A730" s="27" t="s">
        <v>770</v>
      </c>
    </row>
    <row r="731">
      <c r="A731" s="27" t="s">
        <v>771</v>
      </c>
    </row>
    <row r="732">
      <c r="A732" s="27" t="s">
        <v>772</v>
      </c>
    </row>
    <row r="733">
      <c r="A733" s="27" t="s">
        <v>774</v>
      </c>
    </row>
    <row r="734">
      <c r="A734" s="27" t="s">
        <v>775</v>
      </c>
    </row>
    <row r="735">
      <c r="A735" s="27" t="s">
        <v>776</v>
      </c>
    </row>
    <row r="736">
      <c r="A736" s="27" t="s">
        <v>777</v>
      </c>
    </row>
    <row r="737">
      <c r="A737" s="27" t="s">
        <v>778</v>
      </c>
    </row>
    <row r="738">
      <c r="A738" s="27" t="s">
        <v>779</v>
      </c>
    </row>
    <row r="739">
      <c r="A739" s="27" t="s">
        <v>780</v>
      </c>
    </row>
    <row r="740">
      <c r="A740" s="27" t="s">
        <v>781</v>
      </c>
    </row>
    <row r="741">
      <c r="A741" s="27" t="s">
        <v>782</v>
      </c>
    </row>
    <row r="742">
      <c r="A742" s="27" t="s">
        <v>783</v>
      </c>
    </row>
    <row r="743">
      <c r="A743" s="27" t="s">
        <v>784</v>
      </c>
    </row>
    <row r="744">
      <c r="A744" s="27" t="s">
        <v>785</v>
      </c>
    </row>
    <row r="745">
      <c r="A745" s="27" t="s">
        <v>786</v>
      </c>
    </row>
    <row r="746">
      <c r="A746" s="27" t="s">
        <v>787</v>
      </c>
    </row>
    <row r="747">
      <c r="A747" s="27" t="s">
        <v>788</v>
      </c>
    </row>
    <row r="748">
      <c r="A748" s="27" t="s">
        <v>789</v>
      </c>
    </row>
    <row r="749">
      <c r="A749" s="27" t="s">
        <v>790</v>
      </c>
    </row>
    <row r="750">
      <c r="A750" s="27" t="s">
        <v>791</v>
      </c>
    </row>
    <row r="751">
      <c r="A751" s="27" t="s">
        <v>792</v>
      </c>
    </row>
    <row r="752">
      <c r="A752" s="27" t="s">
        <v>793</v>
      </c>
    </row>
    <row r="753">
      <c r="A753" s="27" t="s">
        <v>794</v>
      </c>
    </row>
    <row r="754">
      <c r="A754" s="27" t="s">
        <v>795</v>
      </c>
    </row>
    <row r="755">
      <c r="A755" s="27" t="s">
        <v>796</v>
      </c>
    </row>
    <row r="756">
      <c r="A756" s="27" t="s">
        <v>797</v>
      </c>
    </row>
    <row r="757">
      <c r="A757" s="27" t="s">
        <v>798</v>
      </c>
    </row>
    <row r="758">
      <c r="A758" s="27" t="s">
        <v>799</v>
      </c>
    </row>
    <row r="759">
      <c r="A759" s="27" t="s">
        <v>800</v>
      </c>
    </row>
    <row r="760">
      <c r="A760" s="27" t="s">
        <v>801</v>
      </c>
    </row>
    <row r="761">
      <c r="A761" s="27" t="s">
        <v>802</v>
      </c>
    </row>
    <row r="762">
      <c r="A762" s="27" t="s">
        <v>803</v>
      </c>
    </row>
    <row r="763">
      <c r="A763" s="27" t="s">
        <v>804</v>
      </c>
    </row>
    <row r="764">
      <c r="A764" s="27" t="s">
        <v>805</v>
      </c>
    </row>
    <row r="765">
      <c r="A765" s="27" t="s">
        <v>806</v>
      </c>
    </row>
    <row r="766">
      <c r="A766" s="27" t="s">
        <v>807</v>
      </c>
    </row>
    <row r="767">
      <c r="A767" s="27" t="s">
        <v>808</v>
      </c>
    </row>
    <row r="768">
      <c r="A768" s="27" t="s">
        <v>809</v>
      </c>
    </row>
    <row r="769">
      <c r="A769" s="27" t="s">
        <v>810</v>
      </c>
    </row>
    <row r="770">
      <c r="A770" s="27" t="s">
        <v>811</v>
      </c>
    </row>
    <row r="771">
      <c r="A771" s="27" t="s">
        <v>812</v>
      </c>
    </row>
    <row r="772">
      <c r="A772" s="27" t="s">
        <v>813</v>
      </c>
    </row>
    <row r="773">
      <c r="A773" s="27" t="s">
        <v>814</v>
      </c>
    </row>
    <row r="774">
      <c r="A774" s="27" t="s">
        <v>815</v>
      </c>
    </row>
    <row r="775">
      <c r="A775" s="27" t="s">
        <v>816</v>
      </c>
    </row>
    <row r="776">
      <c r="A776" s="27" t="s">
        <v>817</v>
      </c>
    </row>
    <row r="777">
      <c r="A777" s="27" t="s">
        <v>818</v>
      </c>
    </row>
    <row r="778">
      <c r="A778" s="27" t="s">
        <v>819</v>
      </c>
    </row>
    <row r="779">
      <c r="A779" s="27" t="s">
        <v>820</v>
      </c>
    </row>
    <row r="780">
      <c r="A780" s="27" t="s">
        <v>821</v>
      </c>
    </row>
    <row r="781">
      <c r="A781" s="27" t="s">
        <v>822</v>
      </c>
    </row>
    <row r="782">
      <c r="A782" s="27" t="s">
        <v>823</v>
      </c>
    </row>
  </sheetData>
  <autoFilter ref="$A$2:$R$782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22</v>
      </c>
      <c r="C1" s="1" t="s">
        <v>254</v>
      </c>
      <c r="D1" s="1" t="s">
        <v>773</v>
      </c>
      <c r="E1" s="1" t="s">
        <v>502</v>
      </c>
      <c r="F1" s="1" t="s">
        <v>825</v>
      </c>
      <c r="G1" s="1" t="s">
        <v>826</v>
      </c>
      <c r="H1" s="1" t="s">
        <v>827</v>
      </c>
      <c r="I1" s="1" t="s">
        <v>824</v>
      </c>
    </row>
    <row r="2">
      <c r="A2" s="1" t="s">
        <v>284</v>
      </c>
      <c r="B2" s="48">
        <f>countifs('Player Values - Cats'!$D:$D,B$1,'Player Values - Cats'!$G:$G,$A2)</f>
        <v>5</v>
      </c>
      <c r="C2" s="48">
        <f>countifs('Player Values - Cats'!$D:$D,C$1,'Player Values - Cats'!$G:$G,$A2)</f>
        <v>5</v>
      </c>
      <c r="D2" s="48">
        <f>countifs('Player Values - Cats'!$D:$D,D$1,'Player Values - Cats'!$G:$G,$A2)</f>
        <v>4</v>
      </c>
      <c r="E2" s="48">
        <f>countifs('Player Values - Cats'!$D:$D,E$1,'Player Values - Cats'!$G:$G,$A2)</f>
        <v>6</v>
      </c>
      <c r="F2" s="48">
        <f>countifs('Player Values - Cats'!$D:$D,F$1,'Player Values - Cats'!$G:$G,$A2)</f>
        <v>6</v>
      </c>
      <c r="G2" s="48">
        <f>countifs('Player Values - Cats'!$D:$D,G$1,'Player Values - Cats'!$G:$G,$A2)</f>
        <v>5</v>
      </c>
      <c r="H2" s="48">
        <f>countifs('Player Values - Cats'!$D:$D,H$1,'Player Values - Cats'!$G:$G,$A2)</f>
        <v>5</v>
      </c>
      <c r="I2" s="48">
        <f>countifs('Player Values - Cats'!$D:$D,I$1,'Player Values - Cats'!$G:$G,$A2)</f>
        <v>4</v>
      </c>
    </row>
    <row r="3">
      <c r="A3" s="1" t="s">
        <v>829</v>
      </c>
      <c r="B3" s="48">
        <f>countifs('Player Values - Cats'!$D:$D,B$1,'Player Values - Cats'!$G:$G,$A3)</f>
        <v>2</v>
      </c>
      <c r="C3" s="48">
        <f>countifs('Player Values - Cats'!$D:$D,C$1,'Player Values - Cats'!$G:$G,$A3)</f>
        <v>3</v>
      </c>
      <c r="D3" s="48">
        <f>countifs('Player Values - Cats'!$D:$D,D$1,'Player Values - Cats'!$G:$G,$A3)</f>
        <v>2</v>
      </c>
      <c r="E3" s="48">
        <f>countifs('Player Values - Cats'!$D:$D,E$1,'Player Values - Cats'!$G:$G,$A3)</f>
        <v>2</v>
      </c>
      <c r="F3" s="48">
        <f>countifs('Player Values - Cats'!$D:$D,F$1,'Player Values - Cats'!$G:$G,$A3)</f>
        <v>1</v>
      </c>
      <c r="G3" s="48">
        <f>countifs('Player Values - Cats'!$D:$D,G$1,'Player Values - Cats'!$G:$G,$A3)</f>
        <v>3</v>
      </c>
      <c r="H3" s="48">
        <f>countifs('Player Values - Cats'!$D:$D,H$1,'Player Values - Cats'!$G:$G,$A3)</f>
        <v>2</v>
      </c>
      <c r="I3" s="48">
        <f>countifs('Player Values - Cats'!$D:$D,I$1,'Player Values - Cats'!$G:$G,$A3)</f>
        <v>1</v>
      </c>
    </row>
    <row r="4">
      <c r="A4" s="1" t="s">
        <v>830</v>
      </c>
      <c r="B4" s="48">
        <f>countifs('Player Values - Cats'!$D:$D,B$1,'Player Values - Cats'!$G:$G,$A4)</f>
        <v>2</v>
      </c>
      <c r="C4" s="48">
        <f>countifs('Player Values - Cats'!$D:$D,C$1,'Player Values - Cats'!$G:$G,$A4)</f>
        <v>2</v>
      </c>
      <c r="D4" s="48">
        <f>countifs('Player Values - Cats'!$D:$D,D$1,'Player Values - Cats'!$G:$G,$A4)</f>
        <v>3</v>
      </c>
      <c r="E4" s="48">
        <f>countifs('Player Values - Cats'!$D:$D,E$1,'Player Values - Cats'!$G:$G,$A4)</f>
        <v>1</v>
      </c>
      <c r="F4" s="48">
        <f>countifs('Player Values - Cats'!$D:$D,F$1,'Player Values - Cats'!$G:$G,$A4)</f>
        <v>1</v>
      </c>
      <c r="G4" s="48">
        <f>countifs('Player Values - Cats'!$D:$D,G$1,'Player Values - Cats'!$G:$G,$A4)</f>
        <v>2</v>
      </c>
      <c r="H4" s="48">
        <f>countifs('Player Values - Cats'!$D:$D,H$1,'Player Values - Cats'!$G:$G,$A4)</f>
        <v>0</v>
      </c>
      <c r="I4" s="48">
        <f>countifs('Player Values - Cats'!$D:$D,I$1,'Player Values - Cats'!$G:$G,$A4)</f>
        <v>4</v>
      </c>
    </row>
    <row r="5">
      <c r="A5" s="1" t="s">
        <v>831</v>
      </c>
      <c r="B5" s="48">
        <f>countifs('Player Values - Cats'!$D:$D,B$1,'Player Values - Cats'!$G:$G,$A5)</f>
        <v>0</v>
      </c>
      <c r="C5" s="48">
        <f>countifs('Player Values - Cats'!$D:$D,C$1,'Player Values - Cats'!$G:$G,$A5)</f>
        <v>0</v>
      </c>
      <c r="D5" s="48">
        <f>countifs('Player Values - Cats'!$D:$D,D$1,'Player Values - Cats'!$G:$G,$A5)</f>
        <v>0</v>
      </c>
      <c r="E5" s="48">
        <f>countifs('Player Values - Cats'!$D:$D,E$1,'Player Values - Cats'!$G:$G,$A5)</f>
        <v>3</v>
      </c>
      <c r="F5" s="48">
        <f>countifs('Player Values - Cats'!$D:$D,F$1,'Player Values - Cats'!$G:$G,$A5)</f>
        <v>1</v>
      </c>
      <c r="G5" s="48">
        <f>countifs('Player Values - Cats'!$D:$D,G$1,'Player Values - Cats'!$G:$G,$A5)</f>
        <v>0</v>
      </c>
      <c r="H5" s="48">
        <f>countifs('Player Values - Cats'!$D:$D,H$1,'Player Values - Cats'!$G:$G,$A5)</f>
        <v>2</v>
      </c>
      <c r="I5" s="48">
        <f>countifs('Player Values - Cats'!$D:$D,I$1,'Player Values - Cats'!$G:$G,$A5)</f>
        <v>0</v>
      </c>
    </row>
    <row r="6">
      <c r="A6" s="1" t="s">
        <v>832</v>
      </c>
      <c r="B6" s="48">
        <f>countifs('Player Values - Cats'!$D:$D,B$1,'Player Values - Cats'!$G:$G,$A6)</f>
        <v>4</v>
      </c>
      <c r="C6" s="48">
        <f>countifs('Player Values - Cats'!$D:$D,C$1,'Player Values - Cats'!$G:$G,$A6)</f>
        <v>5</v>
      </c>
      <c r="D6" s="48">
        <f>countifs('Player Values - Cats'!$D:$D,D$1,'Player Values - Cats'!$G:$G,$A6)</f>
        <v>4</v>
      </c>
      <c r="E6" s="48">
        <f>countifs('Player Values - Cats'!$D:$D,E$1,'Player Values - Cats'!$G:$G,$A6)</f>
        <v>3</v>
      </c>
      <c r="F6" s="48">
        <f>countifs('Player Values - Cats'!$D:$D,F$1,'Player Values - Cats'!$G:$G,$A6)</f>
        <v>5</v>
      </c>
      <c r="G6" s="48">
        <f>countifs('Player Values - Cats'!$D:$D,G$1,'Player Values - Cats'!$G:$G,$A6)</f>
        <v>4</v>
      </c>
      <c r="H6" s="48">
        <f>countifs('Player Values - Cats'!$D:$D,H$1,'Player Values - Cats'!$G:$G,$A6)</f>
        <v>2</v>
      </c>
      <c r="I6" s="48">
        <f>countifs('Player Values - Cats'!$D:$D,I$1,'Player Values - Cats'!$G:$G,$A6)</f>
        <v>4</v>
      </c>
    </row>
    <row r="7">
      <c r="A7" s="1" t="s">
        <v>835</v>
      </c>
      <c r="B7" s="48">
        <f>countifs('Player Values - Cats'!$D:$D,B$1,'Player Values - Cats'!$G:$G,$A7)</f>
        <v>3</v>
      </c>
      <c r="C7" s="48">
        <f>countifs('Player Values - Cats'!$D:$D,C$1,'Player Values - Cats'!$G:$G,$A7)</f>
        <v>2</v>
      </c>
      <c r="D7" s="48">
        <f>countifs('Player Values - Cats'!$D:$D,D$1,'Player Values - Cats'!$G:$G,$A7)</f>
        <v>1</v>
      </c>
      <c r="E7" s="48">
        <f>countifs('Player Values - Cats'!$D:$D,E$1,'Player Values - Cats'!$G:$G,$A7)</f>
        <v>1</v>
      </c>
      <c r="F7" s="48">
        <f>countifs('Player Values - Cats'!$D:$D,F$1,'Player Values - Cats'!$G:$G,$A7)</f>
        <v>2</v>
      </c>
      <c r="G7" s="48">
        <f>countifs('Player Values - Cats'!$D:$D,G$1,'Player Values - Cats'!$G:$G,$A7)</f>
        <v>4</v>
      </c>
      <c r="H7" s="48">
        <f>countifs('Player Values - Cats'!$D:$D,H$1,'Player Values - Cats'!$G:$G,$A7)</f>
        <v>3</v>
      </c>
      <c r="I7" s="48">
        <f>countifs('Player Values - Cats'!$D:$D,I$1,'Player Values - Cats'!$G:$G,$A7)</f>
        <v>4</v>
      </c>
    </row>
    <row r="8">
      <c r="A8" s="1" t="s">
        <v>836</v>
      </c>
      <c r="B8" s="48">
        <f>countifs('Player Values - Cats'!$D:$D,B$1,'Player Values - Cats'!$G:$G,$A8)</f>
        <v>4</v>
      </c>
      <c r="C8" s="48">
        <f>countifs('Player Values - Cats'!$D:$D,C$1,'Player Values - Cats'!$G:$G,$A8)</f>
        <v>1</v>
      </c>
      <c r="D8" s="48">
        <f>countifs('Player Values - Cats'!$D:$D,D$1,'Player Values - Cats'!$G:$G,$A8)</f>
        <v>6</v>
      </c>
      <c r="E8" s="48">
        <f>countifs('Player Values - Cats'!$D:$D,E$1,'Player Values - Cats'!$G:$G,$A8)</f>
        <v>4</v>
      </c>
      <c r="F8" s="48">
        <f>countifs('Player Values - Cats'!$D:$D,F$1,'Player Values - Cats'!$G:$G,$A8)</f>
        <v>3</v>
      </c>
      <c r="G8" s="48">
        <f>countifs('Player Values - Cats'!$D:$D,G$1,'Player Values - Cats'!$G:$G,$A8)</f>
        <v>2</v>
      </c>
      <c r="H8" s="48">
        <f>countifs('Player Values - Cats'!$D:$D,H$1,'Player Values - Cats'!$G:$G,$A8)</f>
        <v>5</v>
      </c>
      <c r="I8" s="48">
        <f>countifs('Player Values - Cats'!$D:$D,I$1,'Player Values - Cats'!$G:$G,$A8)</f>
        <v>5</v>
      </c>
    </row>
    <row r="9">
      <c r="A9" s="1" t="s">
        <v>837</v>
      </c>
      <c r="B9" s="48">
        <f>countifs('Player Values - Cats'!$D:$D,B$1,'Player Values - Cats'!$G:$G,$A9)</f>
        <v>8</v>
      </c>
      <c r="C9" s="48">
        <f>countifs('Player Values - Cats'!$D:$D,C$1,'Player Values - Cats'!$G:$G,$A9)</f>
        <v>8</v>
      </c>
      <c r="D9" s="48">
        <f>countifs('Player Values - Cats'!$D:$D,D$1,'Player Values - Cats'!$G:$G,$A9)</f>
        <v>7</v>
      </c>
      <c r="E9" s="48">
        <f>countifs('Player Values - Cats'!$D:$D,E$1,'Player Values - Cats'!$G:$G,$A9)</f>
        <v>7</v>
      </c>
      <c r="F9" s="48">
        <f>countifs('Player Values - Cats'!$D:$D,F$1,'Player Values - Cats'!$G:$G,$A9)</f>
        <v>8</v>
      </c>
      <c r="G9" s="48">
        <f>countifs('Player Values - Cats'!$D:$D,G$1,'Player Values - Cats'!$G:$G,$A9)</f>
        <v>8</v>
      </c>
      <c r="H9" s="48">
        <f>countifs('Player Values - Cats'!$D:$D,H$1,'Player Values - Cats'!$G:$G,$A9)</f>
        <v>7</v>
      </c>
      <c r="I9" s="48">
        <f>countifs('Player Values - Cats'!$D:$D,I$1,'Player Values - Cats'!$G:$G,$A9)</f>
        <v>9</v>
      </c>
    </row>
    <row r="10">
      <c r="A10" s="1" t="s">
        <v>6</v>
      </c>
      <c r="B10" s="48">
        <f>countifs('Player Values - Cats'!$D:$D,B$1,'Player Values - Cats'!$G:$G,$A10)</f>
        <v>4</v>
      </c>
      <c r="C10" s="48">
        <f>countifs('Player Values - Cats'!$D:$D,C$1,'Player Values - Cats'!$G:$G,$A10)</f>
        <v>4</v>
      </c>
      <c r="D10" s="48">
        <f>countifs('Player Values - Cats'!$D:$D,D$1,'Player Values - Cats'!$G:$G,$A10)</f>
        <v>4</v>
      </c>
      <c r="E10" s="48">
        <f>countifs('Player Values - Cats'!$D:$D,E$1,'Player Values - Cats'!$G:$G,$A10)</f>
        <v>5</v>
      </c>
      <c r="F10" s="48">
        <f>countifs('Player Values - Cats'!$D:$D,F$1,'Player Values - Cats'!$G:$G,$A10)</f>
        <v>6</v>
      </c>
      <c r="G10" s="48">
        <f>countifs('Player Values - Cats'!$D:$D,G$1,'Player Values - Cats'!$G:$G,$A10)</f>
        <v>5</v>
      </c>
      <c r="H10" s="48">
        <f>countifs('Player Values - Cats'!$D:$D,H$1,'Player Values - Cats'!$G:$G,$A10)</f>
        <v>5</v>
      </c>
      <c r="I10" s="48">
        <f>countifs('Player Values - Cats'!$D:$D,I$1,'Player Values - Cats'!$G:$G,$A10)</f>
        <v>4</v>
      </c>
    </row>
    <row r="12">
      <c r="A12" s="1" t="s">
        <v>838</v>
      </c>
      <c r="B12" s="48">
        <f t="shared" ref="B12:I12" si="1">SUM(B2:B10)</f>
        <v>32</v>
      </c>
      <c r="C12" s="48">
        <f t="shared" si="1"/>
        <v>30</v>
      </c>
      <c r="D12" s="48">
        <f t="shared" si="1"/>
        <v>31</v>
      </c>
      <c r="E12" s="48">
        <f t="shared" si="1"/>
        <v>32</v>
      </c>
      <c r="F12" s="48">
        <f t="shared" si="1"/>
        <v>33</v>
      </c>
      <c r="G12" s="48">
        <f t="shared" si="1"/>
        <v>33</v>
      </c>
      <c r="H12" s="48">
        <f t="shared" si="1"/>
        <v>31</v>
      </c>
      <c r="I12" s="48">
        <f t="shared" si="1"/>
        <v>35</v>
      </c>
    </row>
    <row r="14">
      <c r="A14" s="1" t="s">
        <v>839</v>
      </c>
      <c r="B14" s="48">
        <f t="shared" ref="B14:I14" si="2">sum(B2:B5)</f>
        <v>9</v>
      </c>
      <c r="C14" s="48">
        <f t="shared" si="2"/>
        <v>10</v>
      </c>
      <c r="D14" s="48">
        <f t="shared" si="2"/>
        <v>9</v>
      </c>
      <c r="E14" s="48">
        <f t="shared" si="2"/>
        <v>12</v>
      </c>
      <c r="F14" s="48">
        <f t="shared" si="2"/>
        <v>9</v>
      </c>
      <c r="G14" s="48">
        <f t="shared" si="2"/>
        <v>10</v>
      </c>
      <c r="H14" s="48">
        <f t="shared" si="2"/>
        <v>9</v>
      </c>
      <c r="I14" s="48">
        <f t="shared" si="2"/>
        <v>9</v>
      </c>
    </row>
    <row r="15">
      <c r="A15" s="1" t="s">
        <v>840</v>
      </c>
      <c r="B15" s="48">
        <f t="shared" ref="B15:I15" si="3">sum(B3,B5,B6,B8)</f>
        <v>10</v>
      </c>
      <c r="C15" s="48">
        <f t="shared" si="3"/>
        <v>9</v>
      </c>
      <c r="D15" s="48">
        <f t="shared" si="3"/>
        <v>12</v>
      </c>
      <c r="E15" s="48">
        <f t="shared" si="3"/>
        <v>12</v>
      </c>
      <c r="F15" s="48">
        <f t="shared" si="3"/>
        <v>10</v>
      </c>
      <c r="G15" s="48">
        <f t="shared" si="3"/>
        <v>9</v>
      </c>
      <c r="H15" s="48">
        <f t="shared" si="3"/>
        <v>11</v>
      </c>
      <c r="I15" s="48">
        <f t="shared" si="3"/>
        <v>10</v>
      </c>
    </row>
    <row r="16">
      <c r="A16" s="1" t="s">
        <v>841</v>
      </c>
      <c r="B16" s="48">
        <f t="shared" ref="B16:I16" si="4">B4+B5+B7+B8</f>
        <v>9</v>
      </c>
      <c r="C16" s="48">
        <f t="shared" si="4"/>
        <v>5</v>
      </c>
      <c r="D16" s="48">
        <f t="shared" si="4"/>
        <v>10</v>
      </c>
      <c r="E16" s="48">
        <f t="shared" si="4"/>
        <v>9</v>
      </c>
      <c r="F16" s="48">
        <f t="shared" si="4"/>
        <v>7</v>
      </c>
      <c r="G16" s="48">
        <f t="shared" si="4"/>
        <v>8</v>
      </c>
      <c r="H16" s="48">
        <f t="shared" si="4"/>
        <v>10</v>
      </c>
      <c r="I16" s="48">
        <f t="shared" si="4"/>
        <v>13</v>
      </c>
    </row>
    <row r="17">
      <c r="A17" s="1" t="s">
        <v>842</v>
      </c>
      <c r="B17" s="48">
        <f t="shared" ref="B17:I17" si="5">B9</f>
        <v>8</v>
      </c>
      <c r="C17" s="48">
        <f t="shared" si="5"/>
        <v>8</v>
      </c>
      <c r="D17" s="48">
        <f t="shared" si="5"/>
        <v>7</v>
      </c>
      <c r="E17" s="48">
        <f t="shared" si="5"/>
        <v>7</v>
      </c>
      <c r="F17" s="48">
        <f t="shared" si="5"/>
        <v>8</v>
      </c>
      <c r="G17" s="48">
        <f t="shared" si="5"/>
        <v>8</v>
      </c>
      <c r="H17" s="48">
        <f t="shared" si="5"/>
        <v>7</v>
      </c>
      <c r="I17" s="48">
        <f t="shared" si="5"/>
        <v>9</v>
      </c>
    </row>
    <row r="18">
      <c r="A18" s="1" t="s">
        <v>843</v>
      </c>
      <c r="B18" s="48">
        <f t="shared" ref="B18:I18" si="6">B10</f>
        <v>4</v>
      </c>
      <c r="C18" s="48">
        <f t="shared" si="6"/>
        <v>4</v>
      </c>
      <c r="D18" s="48">
        <f t="shared" si="6"/>
        <v>4</v>
      </c>
      <c r="E18" s="48">
        <f t="shared" si="6"/>
        <v>5</v>
      </c>
      <c r="F18" s="48">
        <f t="shared" si="6"/>
        <v>6</v>
      </c>
      <c r="G18" s="48">
        <f t="shared" si="6"/>
        <v>5</v>
      </c>
      <c r="H18" s="48">
        <f t="shared" si="6"/>
        <v>5</v>
      </c>
      <c r="I18" s="48">
        <f t="shared" si="6"/>
        <v>4</v>
      </c>
    </row>
  </sheetData>
  <conditionalFormatting sqref="B14:I1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5:I15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6:I16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7:I17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B18:I18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3.38"/>
    <col customWidth="1" min="3" max="3" width="5.88"/>
    <col customWidth="1" min="4" max="4" width="5.75"/>
    <col customWidth="1" min="5" max="5" width="23.25"/>
    <col customWidth="1" min="6" max="6" width="6.0"/>
    <col customWidth="1" min="7" max="7" width="5.13"/>
    <col customWidth="1" min="8" max="8" width="5.25"/>
    <col customWidth="1" min="9" max="9" width="10.0"/>
    <col customWidth="1" min="10" max="10" width="5.75"/>
    <col customWidth="1" min="11" max="11" width="19.88"/>
    <col customWidth="1" min="12" max="12" width="7.5"/>
    <col customWidth="1" min="13" max="13" width="5.13"/>
    <col customWidth="1" min="14" max="14" width="5.25"/>
    <col customWidth="1" min="15" max="15" width="10.0"/>
    <col customWidth="1" min="16" max="16" width="5.75"/>
  </cols>
  <sheetData>
    <row r="1">
      <c r="A1" s="51" t="str">
        <f>IFERROR(__xludf.DUMMYFUNCTION("query(RecCats,""Select A,E,F where C = false and A is not null order by A asc limit 30"")"),"New ranking")</f>
        <v>New ranking</v>
      </c>
      <c r="B1" s="52" t="str">
        <f>IFERROR(__xludf.DUMMYFUNCTION("""COMPUTED_VALUE"""),"PLAYER")</f>
        <v>PLAYER</v>
      </c>
      <c r="C1" s="53" t="str">
        <f>IFERROR(__xludf.DUMMYFUNCTION("""COMPUTED_VALUE"""),"TEAM")</f>
        <v>TEAM</v>
      </c>
      <c r="E1" s="54"/>
      <c r="F1" s="54"/>
      <c r="G1" s="54"/>
      <c r="H1" s="54"/>
      <c r="I1" s="54"/>
      <c r="K1" s="54"/>
      <c r="L1" s="54"/>
      <c r="M1" s="54"/>
      <c r="N1" s="54"/>
      <c r="O1" s="54"/>
    </row>
    <row r="2">
      <c r="A2" s="55">
        <f>IFERROR(__xludf.DUMMYFUNCTION("""COMPUTED_VALUE"""),2.357142857142857)</f>
        <v>2.357142857</v>
      </c>
      <c r="B2" s="56" t="str">
        <f>IFERROR(__xludf.DUMMYFUNCTION("""COMPUTED_VALUE"""),"Mathieu Olivier")</f>
        <v>Mathieu Olivier</v>
      </c>
      <c r="C2" s="57" t="str">
        <f>IFERROR(__xludf.DUMMYFUNCTION("""COMPUTED_VALUE"""),"CBJ")</f>
        <v>CBJ</v>
      </c>
      <c r="E2" s="58" t="s">
        <v>844</v>
      </c>
      <c r="F2" s="59"/>
      <c r="G2" s="59"/>
      <c r="H2" s="59"/>
      <c r="I2" s="60"/>
      <c r="K2" s="58" t="s">
        <v>845</v>
      </c>
      <c r="L2" s="59"/>
      <c r="M2" s="59"/>
      <c r="N2" s="59"/>
      <c r="O2" s="60"/>
    </row>
    <row r="3">
      <c r="A3" s="55">
        <f>IFERROR(__xludf.DUMMYFUNCTION("""COMPUTED_VALUE"""),2.4285714285714284)</f>
        <v>2.428571429</v>
      </c>
      <c r="B3" s="56" t="str">
        <f>IFERROR(__xludf.DUMMYFUNCTION("""COMPUTED_VALUE"""),"Charle-Edouard D'Astous")</f>
        <v>Charle-Edouard D'Astous</v>
      </c>
      <c r="C3" s="57" t="str">
        <f>IFERROR(__xludf.DUMMYFUNCTION("""COMPUTED_VALUE"""),"TBL")</f>
        <v>TBL</v>
      </c>
      <c r="E3" s="61" t="str">
        <f>IFERROR(__xludf.DUMMYFUNCTION("query(RecCats,""Select E, G, H , I, A where C = false and G contains 'C' order by I desc limit 7"")"),"PLAYER")</f>
        <v>PLAYER</v>
      </c>
      <c r="F3" s="62" t="str">
        <f>IFERROR(__xludf.DUMMYFUNCTION("""COMPUTED_VALUE"""),"POS")</f>
        <v>POS</v>
      </c>
      <c r="G3" s="62" t="str">
        <f>IFERROR(__xludf.DUMMYFUNCTION("""COMPUTED_VALUE"""),"VAL")</f>
        <v>VAL</v>
      </c>
      <c r="H3" s="62" t="str">
        <f>IFERROR(__xludf.DUMMYFUNCTION("""COMPUTED_VALUE"""),"VORP")</f>
        <v>VORP</v>
      </c>
      <c r="I3" s="63" t="str">
        <f>IFERROR(__xludf.DUMMYFUNCTION("""COMPUTED_VALUE"""),"New ranking")</f>
        <v>New ranking</v>
      </c>
      <c r="K3" s="61" t="str">
        <f>IFERROR(__xludf.DUMMYFUNCTION("query(RecCats,""Select E, G, H , I, A where C = false and G contains 'R' order by I desc limit 7"")"),"PLAYER")</f>
        <v>PLAYER</v>
      </c>
      <c r="L3" s="62" t="str">
        <f>IFERROR(__xludf.DUMMYFUNCTION("""COMPUTED_VALUE"""),"POS")</f>
        <v>POS</v>
      </c>
      <c r="M3" s="62" t="str">
        <f>IFERROR(__xludf.DUMMYFUNCTION("""COMPUTED_VALUE"""),"VAL")</f>
        <v>VAL</v>
      </c>
      <c r="N3" s="62" t="str">
        <f>IFERROR(__xludf.DUMMYFUNCTION("""COMPUTED_VALUE"""),"VORP")</f>
        <v>VORP</v>
      </c>
      <c r="O3" s="63" t="str">
        <f>IFERROR(__xludf.DUMMYFUNCTION("""COMPUTED_VALUE"""),"New ranking")</f>
        <v>New ranking</v>
      </c>
    </row>
    <row r="4">
      <c r="A4" s="55">
        <f>IFERROR(__xludf.DUMMYFUNCTION("""COMPUTED_VALUE"""),2.4285714285714284)</f>
        <v>2.428571429</v>
      </c>
      <c r="B4" s="56" t="str">
        <f>IFERROR(__xludf.DUMMYFUNCTION("""COMPUTED_VALUE"""),"A.J. Greer")</f>
        <v>A.J. Greer</v>
      </c>
      <c r="C4" s="57" t="str">
        <f>IFERROR(__xludf.DUMMYFUNCTION("""COMPUTED_VALUE"""),"ANA")</f>
        <v>ANA</v>
      </c>
      <c r="E4" s="64" t="str">
        <f>IFERROR(__xludf.DUMMYFUNCTION("""COMPUTED_VALUE"""),"Shane Pinto")</f>
        <v>Shane Pinto</v>
      </c>
      <c r="F4" s="65" t="str">
        <f>IFERROR(__xludf.DUMMYFUNCTION("""COMPUTED_VALUE"""),"C")</f>
        <v>C</v>
      </c>
      <c r="G4" s="66">
        <f>IFERROR(__xludf.DUMMYFUNCTION("""COMPUTED_VALUE"""),-1.1489927617901692)</f>
        <v>-1.148992762</v>
      </c>
      <c r="H4" s="66">
        <f>IFERROR(__xludf.DUMMYFUNCTION("""COMPUTED_VALUE"""),3.8890732583929157)</f>
        <v>3.889073258</v>
      </c>
      <c r="I4" s="67">
        <f>IFERROR(__xludf.DUMMYFUNCTION("""COMPUTED_VALUE"""),2.5)</f>
        <v>2.5</v>
      </c>
      <c r="K4" s="64" t="str">
        <f>IFERROR(__xludf.DUMMYFUNCTION("""COMPUTED_VALUE"""),"Mathieu Olivier")</f>
        <v>Mathieu Olivier</v>
      </c>
      <c r="L4" s="65" t="str">
        <f>IFERROR(__xludf.DUMMYFUNCTION("""COMPUTED_VALUE"""),"RW")</f>
        <v>RW</v>
      </c>
      <c r="M4" s="66">
        <f>IFERROR(__xludf.DUMMYFUNCTION("""COMPUTED_VALUE"""),-0.04717544702133181)</f>
        <v>-0.04717544702</v>
      </c>
      <c r="N4" s="66">
        <f>IFERROR(__xludf.DUMMYFUNCTION("""COMPUTED_VALUE"""),5.394962161706525)</f>
        <v>5.394962162</v>
      </c>
      <c r="O4" s="67">
        <f>IFERROR(__xludf.DUMMYFUNCTION("""COMPUTED_VALUE"""),2.357142857142857)</f>
        <v>2.357142857</v>
      </c>
    </row>
    <row r="5">
      <c r="A5" s="55">
        <f>IFERROR(__xludf.DUMMYFUNCTION("""COMPUTED_VALUE"""),2.4285714285714284)</f>
        <v>2.428571429</v>
      </c>
      <c r="B5" s="56" t="str">
        <f>IFERROR(__xludf.DUMMYFUNCTION("""COMPUTED_VALUE"""),"Charlie Coyle")</f>
        <v>Charlie Coyle</v>
      </c>
      <c r="C5" s="57" t="str">
        <f>IFERROR(__xludf.DUMMYFUNCTION("""COMPUTED_VALUE"""),"CBJ")</f>
        <v>CBJ</v>
      </c>
      <c r="E5" s="68" t="str">
        <f>IFERROR(__xludf.DUMMYFUNCTION("""COMPUTED_VALUE"""),"Jack McBain")</f>
        <v>Jack McBain</v>
      </c>
      <c r="F5" s="69" t="str">
        <f>IFERROR(__xludf.DUMMYFUNCTION("""COMPUTED_VALUE"""),"C,LW")</f>
        <v>C,LW</v>
      </c>
      <c r="G5" s="70">
        <f>IFERROR(__xludf.DUMMYFUNCTION("""COMPUTED_VALUE"""),-2.0797555034411155)</f>
        <v>-2.079755503</v>
      </c>
      <c r="H5" s="70">
        <f>IFERROR(__xludf.DUMMYFUNCTION("""COMPUTED_VALUE"""),3.3081246214716233)</f>
        <v>3.308124621</v>
      </c>
      <c r="I5" s="71">
        <f>IFERROR(__xludf.DUMMYFUNCTION("""COMPUTED_VALUE"""),2.642857142857143)</f>
        <v>2.642857143</v>
      </c>
      <c r="K5" s="68" t="str">
        <f>IFERROR(__xludf.DUMMYFUNCTION("""COMPUTED_VALUE"""),"Ridly Greig")</f>
        <v>Ridly Greig</v>
      </c>
      <c r="L5" s="69" t="str">
        <f>IFERROR(__xludf.DUMMYFUNCTION("""COMPUTED_VALUE"""),"C,RW")</f>
        <v>C,RW</v>
      </c>
      <c r="M5" s="70">
        <f>IFERROR(__xludf.DUMMYFUNCTION("""COMPUTED_VALUE"""),-3.5004215029639734)</f>
        <v>-3.500421503</v>
      </c>
      <c r="N5" s="70">
        <f>IFERROR(__xludf.DUMMYFUNCTION("""COMPUTED_VALUE"""),1.9417161057638839)</f>
        <v>1.941716106</v>
      </c>
      <c r="O5" s="71">
        <f>IFERROR(__xludf.DUMMYFUNCTION("""COMPUTED_VALUE"""),2.5)</f>
        <v>2.5</v>
      </c>
    </row>
    <row r="6">
      <c r="A6" s="55">
        <f>IFERROR(__xludf.DUMMYFUNCTION("""COMPUTED_VALUE"""),2.4285714285714284)</f>
        <v>2.428571429</v>
      </c>
      <c r="B6" s="56" t="str">
        <f>IFERROR(__xludf.DUMMYFUNCTION("""COMPUTED_VALUE"""),"Mason McTavish")</f>
        <v>Mason McTavish</v>
      </c>
      <c r="C6" s="57" t="str">
        <f>IFERROR(__xludf.DUMMYFUNCTION("""COMPUTED_VALUE"""),"STL")</f>
        <v>STL</v>
      </c>
      <c r="E6" s="68" t="str">
        <f>IFERROR(__xludf.DUMMYFUNCTION("""COMPUTED_VALUE"""),"Ridly Greig")</f>
        <v>Ridly Greig</v>
      </c>
      <c r="F6" s="69" t="str">
        <f>IFERROR(__xludf.DUMMYFUNCTION("""COMPUTED_VALUE"""),"C,RW")</f>
        <v>C,RW</v>
      </c>
      <c r="G6" s="70">
        <f>IFERROR(__xludf.DUMMYFUNCTION("""COMPUTED_VALUE"""),-3.5004215029639734)</f>
        <v>-3.500421503</v>
      </c>
      <c r="H6" s="70">
        <f>IFERROR(__xludf.DUMMYFUNCTION("""COMPUTED_VALUE"""),1.9417161057638839)</f>
        <v>1.941716106</v>
      </c>
      <c r="I6" s="71">
        <f>IFERROR(__xludf.DUMMYFUNCTION("""COMPUTED_VALUE"""),2.5)</f>
        <v>2.5</v>
      </c>
      <c r="K6" s="68" t="str">
        <f>IFERROR(__xludf.DUMMYFUNCTION("""COMPUTED_VALUE"""),"Charlie Coyle")</f>
        <v>Charlie Coyle</v>
      </c>
      <c r="L6" s="69" t="str">
        <f>IFERROR(__xludf.DUMMYFUNCTION("""COMPUTED_VALUE"""),"C,RW")</f>
        <v>C,RW</v>
      </c>
      <c r="M6" s="70">
        <f>IFERROR(__xludf.DUMMYFUNCTION("""COMPUTED_VALUE"""),-3.9239966535690813)</f>
        <v>-3.923996654</v>
      </c>
      <c r="N6" s="70">
        <f>IFERROR(__xludf.DUMMYFUNCTION("""COMPUTED_VALUE"""),1.518140955158776)</f>
        <v>1.518140955</v>
      </c>
      <c r="O6" s="71">
        <f>IFERROR(__xludf.DUMMYFUNCTION("""COMPUTED_VALUE"""),2.4285714285714284)</f>
        <v>2.428571429</v>
      </c>
    </row>
    <row r="7">
      <c r="A7" s="55">
        <f>IFERROR(__xludf.DUMMYFUNCTION("""COMPUTED_VALUE"""),2.4285714285714284)</f>
        <v>2.428571429</v>
      </c>
      <c r="B7" s="56" t="str">
        <f>IFERROR(__xludf.DUMMYFUNCTION("""COMPUTED_VALUE"""),"Sean Monahan")</f>
        <v>Sean Monahan</v>
      </c>
      <c r="C7" s="57" t="str">
        <f>IFERROR(__xludf.DUMMYFUNCTION("""COMPUTED_VALUE"""),"CBJ")</f>
        <v>CBJ</v>
      </c>
      <c r="E7" s="68" t="str">
        <f>IFERROR(__xludf.DUMMYFUNCTION("""COMPUTED_VALUE"""),"Charlie Coyle")</f>
        <v>Charlie Coyle</v>
      </c>
      <c r="F7" s="69" t="str">
        <f>IFERROR(__xludf.DUMMYFUNCTION("""COMPUTED_VALUE"""),"C,RW")</f>
        <v>C,RW</v>
      </c>
      <c r="G7" s="70">
        <f>IFERROR(__xludf.DUMMYFUNCTION("""COMPUTED_VALUE"""),-3.9239966535690813)</f>
        <v>-3.923996654</v>
      </c>
      <c r="H7" s="70">
        <f>IFERROR(__xludf.DUMMYFUNCTION("""COMPUTED_VALUE"""),1.518140955158776)</f>
        <v>1.518140955</v>
      </c>
      <c r="I7" s="71">
        <f>IFERROR(__xludf.DUMMYFUNCTION("""COMPUTED_VALUE"""),2.4285714285714284)</f>
        <v>2.428571429</v>
      </c>
      <c r="K7" s="68" t="str">
        <f>IFERROR(__xludf.DUMMYFUNCTION("""COMPUTED_VALUE"""),"Tyson Foerster")</f>
        <v>Tyson Foerster</v>
      </c>
      <c r="L7" s="69" t="str">
        <f>IFERROR(__xludf.DUMMYFUNCTION("""COMPUTED_VALUE"""),"LW,RW")</f>
        <v>LW,RW</v>
      </c>
      <c r="M7" s="70">
        <f>IFERROR(__xludf.DUMMYFUNCTION("""COMPUTED_VALUE"""),-4.105072110791675)</f>
        <v>-4.105072111</v>
      </c>
      <c r="N7" s="70">
        <f>IFERROR(__xludf.DUMMYFUNCTION("""COMPUTED_VALUE"""),1.337065497936182)</f>
        <v>1.337065498</v>
      </c>
      <c r="O7" s="71">
        <f>IFERROR(__xludf.DUMMYFUNCTION("""COMPUTED_VALUE"""),2.5)</f>
        <v>2.5</v>
      </c>
    </row>
    <row r="8">
      <c r="A8" s="55">
        <f>IFERROR(__xludf.DUMMYFUNCTION("""COMPUTED_VALUE"""),2.4285714285714284)</f>
        <v>2.428571429</v>
      </c>
      <c r="B8" s="56" t="str">
        <f>IFERROR(__xludf.DUMMYFUNCTION("""COMPUTED_VALUE"""),"Jonah Gadjovich")</f>
        <v>Jonah Gadjovich</v>
      </c>
      <c r="C8" s="57" t="str">
        <f>IFERROR(__xludf.DUMMYFUNCTION("""COMPUTED_VALUE"""),"FLA")</f>
        <v>FLA</v>
      </c>
      <c r="E8" s="68" t="str">
        <f>IFERROR(__xludf.DUMMYFUNCTION("""COMPUTED_VALUE"""),"Boone Jenner")</f>
        <v>Boone Jenner</v>
      </c>
      <c r="F8" s="69" t="str">
        <f>IFERROR(__xludf.DUMMYFUNCTION("""COMPUTED_VALUE"""),"C,LW")</f>
        <v>C,LW</v>
      </c>
      <c r="G8" s="70">
        <f>IFERROR(__xludf.DUMMYFUNCTION("""COMPUTED_VALUE"""),-4.478045806739944)</f>
        <v>-4.478045807</v>
      </c>
      <c r="H8" s="70">
        <f>IFERROR(__xludf.DUMMYFUNCTION("""COMPUTED_VALUE"""),0.9098343181727948)</f>
        <v>0.9098343182</v>
      </c>
      <c r="I8" s="71">
        <f>IFERROR(__xludf.DUMMYFUNCTION("""COMPUTED_VALUE"""),2.5714285714285716)</f>
        <v>2.571428571</v>
      </c>
      <c r="K8" s="68" t="str">
        <f>IFERROR(__xludf.DUMMYFUNCTION("""COMPUTED_VALUE"""),"Mark Kastelic")</f>
        <v>Mark Kastelic</v>
      </c>
      <c r="L8" s="69" t="str">
        <f>IFERROR(__xludf.DUMMYFUNCTION("""COMPUTED_VALUE"""),"C,RW")</f>
        <v>C,RW</v>
      </c>
      <c r="M8" s="70">
        <f>IFERROR(__xludf.DUMMYFUNCTION("""COMPUTED_VALUE"""),-5.038066020183085)</f>
        <v>-5.03806602</v>
      </c>
      <c r="N8" s="70">
        <f>IFERROR(__xludf.DUMMYFUNCTION("""COMPUTED_VALUE"""),0.4040715885447721)</f>
        <v>0.4040715885</v>
      </c>
      <c r="O8" s="71">
        <f>IFERROR(__xludf.DUMMYFUNCTION("""COMPUTED_VALUE"""),2.5)</f>
        <v>2.5</v>
      </c>
    </row>
    <row r="9">
      <c r="A9" s="55">
        <f>IFERROR(__xludf.DUMMYFUNCTION("""COMPUTED_VALUE"""),2.4285714285714284)</f>
        <v>2.428571429</v>
      </c>
      <c r="B9" s="56" t="str">
        <f>IFERROR(__xludf.DUMMYFUNCTION("""COMPUTED_VALUE"""),"Cole Perfetti")</f>
        <v>Cole Perfetti</v>
      </c>
      <c r="C9" s="57" t="str">
        <f>IFERROR(__xludf.DUMMYFUNCTION("""COMPUTED_VALUE"""),"WPG")</f>
        <v>WPG</v>
      </c>
      <c r="E9" s="68" t="str">
        <f>IFERROR(__xludf.DUMMYFUNCTION("""COMPUTED_VALUE"""),"Mason McTavish")</f>
        <v>Mason McTavish</v>
      </c>
      <c r="F9" s="69" t="str">
        <f>IFERROR(__xludf.DUMMYFUNCTION("""COMPUTED_VALUE"""),"C")</f>
        <v>C</v>
      </c>
      <c r="G9" s="70">
        <f>IFERROR(__xludf.DUMMYFUNCTION("""COMPUTED_VALUE"""),-4.326907694282648)</f>
        <v>-4.326907694</v>
      </c>
      <c r="H9" s="70">
        <f>IFERROR(__xludf.DUMMYFUNCTION("""COMPUTED_VALUE"""),0.7111583259004375)</f>
        <v>0.7111583259</v>
      </c>
      <c r="I9" s="71">
        <f>IFERROR(__xludf.DUMMYFUNCTION("""COMPUTED_VALUE"""),2.4285714285714284)</f>
        <v>2.428571429</v>
      </c>
      <c r="K9" s="68" t="str">
        <f>IFERROR(__xludf.DUMMYFUNCTION("""COMPUTED_VALUE"""),"Viktor Arvidsson")</f>
        <v>Viktor Arvidsson</v>
      </c>
      <c r="L9" s="69" t="str">
        <f>IFERROR(__xludf.DUMMYFUNCTION("""COMPUTED_VALUE"""),"LW,RW")</f>
        <v>LW,RW</v>
      </c>
      <c r="M9" s="70">
        <f>IFERROR(__xludf.DUMMYFUNCTION("""COMPUTED_VALUE"""),-5.442137608727857)</f>
        <v>-5.442137609</v>
      </c>
      <c r="N9" s="70">
        <f>IFERROR(__xludf.DUMMYFUNCTION("""COMPUTED_VALUE"""),0.0)</f>
        <v>0</v>
      </c>
      <c r="O9" s="71">
        <f>IFERROR(__xludf.DUMMYFUNCTION("""COMPUTED_VALUE"""),2.5714285714285716)</f>
        <v>2.571428571</v>
      </c>
    </row>
    <row r="10">
      <c r="A10" s="55">
        <f>IFERROR(__xludf.DUMMYFUNCTION("""COMPUTED_VALUE"""),2.4285714285714284)</f>
        <v>2.428571429</v>
      </c>
      <c r="B10" s="56" t="str">
        <f>IFERROR(__xludf.DUMMYFUNCTION("""COMPUTED_VALUE"""),"Frank Nazar")</f>
        <v>Frank Nazar</v>
      </c>
      <c r="C10" s="57" t="str">
        <f>IFERROR(__xludf.DUMMYFUNCTION("""COMPUTED_VALUE"""),"CHI")</f>
        <v>CHI</v>
      </c>
      <c r="E10" s="72" t="str">
        <f>IFERROR(__xludf.DUMMYFUNCTION("""COMPUTED_VALUE"""),"Lane Pederson")</f>
        <v>Lane Pederson</v>
      </c>
      <c r="F10" s="73" t="str">
        <f>IFERROR(__xludf.DUMMYFUNCTION("""COMPUTED_VALUE"""),"C")</f>
        <v>C</v>
      </c>
      <c r="G10" s="74">
        <f>IFERROR(__xludf.DUMMYFUNCTION("""COMPUTED_VALUE"""),-4.517154503612515)</f>
        <v>-4.517154504</v>
      </c>
      <c r="H10" s="74">
        <f>IFERROR(__xludf.DUMMYFUNCTION("""COMPUTED_VALUE"""),0.5209115165705702)</f>
        <v>0.5209115166</v>
      </c>
      <c r="I10" s="75">
        <f>IFERROR(__xludf.DUMMYFUNCTION("""COMPUTED_VALUE"""),2.5714285714285716)</f>
        <v>2.571428571</v>
      </c>
      <c r="K10" s="72" t="str">
        <f>IFERROR(__xludf.DUMMYFUNCTION("""COMPUTED_VALUE"""),"Adam Klapka")</f>
        <v>Adam Klapka</v>
      </c>
      <c r="L10" s="73" t="str">
        <f>IFERROR(__xludf.DUMMYFUNCTION("""COMPUTED_VALUE"""),"RW")</f>
        <v>RW</v>
      </c>
      <c r="M10" s="74">
        <f>IFERROR(__xludf.DUMMYFUNCTION("""COMPUTED_VALUE"""),-5.655395336608694)</f>
        <v>-5.655395337</v>
      </c>
      <c r="N10" s="74">
        <f>IFERROR(__xludf.DUMMYFUNCTION("""COMPUTED_VALUE"""),-0.21325772788083697)</f>
        <v>-0.2132577279</v>
      </c>
      <c r="O10" s="75">
        <f>IFERROR(__xludf.DUMMYFUNCTION("""COMPUTED_VALUE"""),2.7142857142857144)</f>
        <v>2.714285714</v>
      </c>
    </row>
    <row r="11">
      <c r="A11" s="55">
        <f>IFERROR(__xludf.DUMMYFUNCTION("""COMPUTED_VALUE"""),2.4285714285714284)</f>
        <v>2.428571429</v>
      </c>
      <c r="B11" s="56" t="str">
        <f>IFERROR(__xludf.DUMMYFUNCTION("""COMPUTED_VALUE"""),"Jordan Martinook")</f>
        <v>Jordan Martinook</v>
      </c>
      <c r="C11" s="57" t="str">
        <f>IFERROR(__xludf.DUMMYFUNCTION("""COMPUTED_VALUE"""),"CAR")</f>
        <v>CAR</v>
      </c>
      <c r="E11" s="54"/>
      <c r="F11" s="54"/>
      <c r="G11" s="54"/>
      <c r="H11" s="54"/>
      <c r="I11" s="54"/>
      <c r="K11" s="54"/>
      <c r="L11" s="54"/>
      <c r="M11" s="54"/>
      <c r="N11" s="54"/>
      <c r="O11" s="54"/>
    </row>
    <row r="12">
      <c r="A12" s="55">
        <f>IFERROR(__xludf.DUMMYFUNCTION("""COMPUTED_VALUE"""),2.4285714285714284)</f>
        <v>2.428571429</v>
      </c>
      <c r="B12" s="56" t="str">
        <f>IFERROR(__xludf.DUMMYFUNCTION("""COMPUTED_VALUE"""),"Dmitry Orlov")</f>
        <v>Dmitry Orlov</v>
      </c>
      <c r="C12" s="57" t="str">
        <f>IFERROR(__xludf.DUMMYFUNCTION("""COMPUTED_VALUE"""),"SJS")</f>
        <v>SJS</v>
      </c>
      <c r="E12" s="58" t="s">
        <v>846</v>
      </c>
      <c r="F12" s="59"/>
      <c r="G12" s="59"/>
      <c r="H12" s="59"/>
      <c r="I12" s="60"/>
      <c r="K12" s="58" t="s">
        <v>847</v>
      </c>
      <c r="L12" s="59"/>
      <c r="M12" s="59"/>
      <c r="N12" s="59"/>
      <c r="O12" s="60"/>
    </row>
    <row r="13">
      <c r="A13" s="55">
        <f>IFERROR(__xludf.DUMMYFUNCTION("""COMPUTED_VALUE"""),2.4285714285714284)</f>
        <v>2.428571429</v>
      </c>
      <c r="B13" s="56" t="str">
        <f>IFERROR(__xludf.DUMMYFUNCTION("""COMPUTED_VALUE"""),"Jack Quinn")</f>
        <v>Jack Quinn</v>
      </c>
      <c r="C13" s="57" t="str">
        <f>IFERROR(__xludf.DUMMYFUNCTION("""COMPUTED_VALUE"""),"BUF")</f>
        <v>BUF</v>
      </c>
      <c r="E13" s="61" t="str">
        <f>IFERROR(__xludf.DUMMYFUNCTION("query(RecCats,""Select E, G, H , I, A where C = false and G contains 'L' order by I desc limit 7"")"),"PLAYER")</f>
        <v>PLAYER</v>
      </c>
      <c r="F13" s="62" t="str">
        <f>IFERROR(__xludf.DUMMYFUNCTION("""COMPUTED_VALUE"""),"POS")</f>
        <v>POS</v>
      </c>
      <c r="G13" s="62" t="str">
        <f>IFERROR(__xludf.DUMMYFUNCTION("""COMPUTED_VALUE"""),"VAL")</f>
        <v>VAL</v>
      </c>
      <c r="H13" s="62" t="str">
        <f>IFERROR(__xludf.DUMMYFUNCTION("""COMPUTED_VALUE"""),"VORP")</f>
        <v>VORP</v>
      </c>
      <c r="I13" s="63" t="str">
        <f>IFERROR(__xludf.DUMMYFUNCTION("""COMPUTED_VALUE"""),"New ranking")</f>
        <v>New ranking</v>
      </c>
      <c r="K13" s="61" t="str">
        <f>IFERROR(__xludf.DUMMYFUNCTION("query(RecCats,""Select E, G, H , I, A where C = false and G contains ',' order by I desc limit 7"")"),"PLAYER")</f>
        <v>PLAYER</v>
      </c>
      <c r="L13" s="62" t="str">
        <f>IFERROR(__xludf.DUMMYFUNCTION("""COMPUTED_VALUE"""),"POS")</f>
        <v>POS</v>
      </c>
      <c r="M13" s="62" t="str">
        <f>IFERROR(__xludf.DUMMYFUNCTION("""COMPUTED_VALUE"""),"VAL")</f>
        <v>VAL</v>
      </c>
      <c r="N13" s="62" t="str">
        <f>IFERROR(__xludf.DUMMYFUNCTION("""COMPUTED_VALUE"""),"VORP")</f>
        <v>VORP</v>
      </c>
      <c r="O13" s="63" t="str">
        <f>IFERROR(__xludf.DUMMYFUNCTION("""COMPUTED_VALUE"""),"New ranking")</f>
        <v>New ranking</v>
      </c>
    </row>
    <row r="14">
      <c r="A14" s="55">
        <f>IFERROR(__xludf.DUMMYFUNCTION("""COMPUTED_VALUE"""),2.5)</f>
        <v>2.5</v>
      </c>
      <c r="B14" s="56" t="str">
        <f>IFERROR(__xludf.DUMMYFUNCTION("""COMPUTED_VALUE"""),"Joey Daccord")</f>
        <v>Joey Daccord</v>
      </c>
      <c r="C14" s="57" t="str">
        <f>IFERROR(__xludf.DUMMYFUNCTION("""COMPUTED_VALUE"""),"SEA")</f>
        <v>SEA</v>
      </c>
      <c r="E14" s="64" t="str">
        <f>IFERROR(__xludf.DUMMYFUNCTION("""COMPUTED_VALUE"""),"Jack McBain")</f>
        <v>Jack McBain</v>
      </c>
      <c r="F14" s="65" t="str">
        <f>IFERROR(__xludf.DUMMYFUNCTION("""COMPUTED_VALUE"""),"C,LW")</f>
        <v>C,LW</v>
      </c>
      <c r="G14" s="66">
        <f>IFERROR(__xludf.DUMMYFUNCTION("""COMPUTED_VALUE"""),-2.0797555034411155)</f>
        <v>-2.079755503</v>
      </c>
      <c r="H14" s="66">
        <f>IFERROR(__xludf.DUMMYFUNCTION("""COMPUTED_VALUE"""),3.3081246214716233)</f>
        <v>3.308124621</v>
      </c>
      <c r="I14" s="67">
        <f>IFERROR(__xludf.DUMMYFUNCTION("""COMPUTED_VALUE"""),2.642857142857143)</f>
        <v>2.642857143</v>
      </c>
      <c r="K14" s="64" t="str">
        <f>IFERROR(__xludf.DUMMYFUNCTION("""COMPUTED_VALUE"""),"Jack McBain")</f>
        <v>Jack McBain</v>
      </c>
      <c r="L14" s="65" t="str">
        <f>IFERROR(__xludf.DUMMYFUNCTION("""COMPUTED_VALUE"""),"C,LW")</f>
        <v>C,LW</v>
      </c>
      <c r="M14" s="66">
        <f>IFERROR(__xludf.DUMMYFUNCTION("""COMPUTED_VALUE"""),-2.0797555034411155)</f>
        <v>-2.079755503</v>
      </c>
      <c r="N14" s="66">
        <f>IFERROR(__xludf.DUMMYFUNCTION("""COMPUTED_VALUE"""),3.3081246214716233)</f>
        <v>3.308124621</v>
      </c>
      <c r="O14" s="67">
        <f>IFERROR(__xludf.DUMMYFUNCTION("""COMPUTED_VALUE"""),2.642857142857143)</f>
        <v>2.642857143</v>
      </c>
    </row>
    <row r="15">
      <c r="A15" s="55">
        <f>IFERROR(__xludf.DUMMYFUNCTION("""COMPUTED_VALUE"""),2.5)</f>
        <v>2.5</v>
      </c>
      <c r="B15" s="56" t="str">
        <f>IFERROR(__xludf.DUMMYFUNCTION("""COMPUTED_VALUE"""),"Shane Pinto")</f>
        <v>Shane Pinto</v>
      </c>
      <c r="C15" s="57" t="str">
        <f>IFERROR(__xludf.DUMMYFUNCTION("""COMPUTED_VALUE"""),"OTT")</f>
        <v>OTT</v>
      </c>
      <c r="E15" s="68" t="str">
        <f>IFERROR(__xludf.DUMMYFUNCTION("""COMPUTED_VALUE"""),"A.J. Greer")</f>
        <v>A.J. Greer</v>
      </c>
      <c r="F15" s="69" t="str">
        <f>IFERROR(__xludf.DUMMYFUNCTION("""COMPUTED_VALUE"""),"LW")</f>
        <v>LW</v>
      </c>
      <c r="G15" s="70">
        <f>IFERROR(__xludf.DUMMYFUNCTION("""COMPUTED_VALUE"""),-3.728987634169325)</f>
        <v>-3.728987634</v>
      </c>
      <c r="H15" s="70">
        <f>IFERROR(__xludf.DUMMYFUNCTION("""COMPUTED_VALUE"""),1.6588924907434137)</f>
        <v>1.658892491</v>
      </c>
      <c r="I15" s="71">
        <f>IFERROR(__xludf.DUMMYFUNCTION("""COMPUTED_VALUE"""),2.4285714285714284)</f>
        <v>2.428571429</v>
      </c>
      <c r="K15" s="68" t="str">
        <f>IFERROR(__xludf.DUMMYFUNCTION("""COMPUTED_VALUE"""),"Ridly Greig")</f>
        <v>Ridly Greig</v>
      </c>
      <c r="L15" s="69" t="str">
        <f>IFERROR(__xludf.DUMMYFUNCTION("""COMPUTED_VALUE"""),"C,RW")</f>
        <v>C,RW</v>
      </c>
      <c r="M15" s="70">
        <f>IFERROR(__xludf.DUMMYFUNCTION("""COMPUTED_VALUE"""),-3.5004215029639734)</f>
        <v>-3.500421503</v>
      </c>
      <c r="N15" s="70">
        <f>IFERROR(__xludf.DUMMYFUNCTION("""COMPUTED_VALUE"""),1.9417161057638839)</f>
        <v>1.941716106</v>
      </c>
      <c r="O15" s="71">
        <f>IFERROR(__xludf.DUMMYFUNCTION("""COMPUTED_VALUE"""),2.5)</f>
        <v>2.5</v>
      </c>
    </row>
    <row r="16">
      <c r="A16" s="55">
        <f>IFERROR(__xludf.DUMMYFUNCTION("""COMPUTED_VALUE"""),2.5)</f>
        <v>2.5</v>
      </c>
      <c r="B16" s="56" t="str">
        <f>IFERROR(__xludf.DUMMYFUNCTION("""COMPUTED_VALUE"""),"Ridly Greig")</f>
        <v>Ridly Greig</v>
      </c>
      <c r="C16" s="57" t="str">
        <f>IFERROR(__xludf.DUMMYFUNCTION("""COMPUTED_VALUE"""),"OTT")</f>
        <v>OTT</v>
      </c>
      <c r="E16" s="68" t="str">
        <f>IFERROR(__xludf.DUMMYFUNCTION("""COMPUTED_VALUE"""),"Tyson Foerster")</f>
        <v>Tyson Foerster</v>
      </c>
      <c r="F16" s="69" t="str">
        <f>IFERROR(__xludf.DUMMYFUNCTION("""COMPUTED_VALUE"""),"LW,RW")</f>
        <v>LW,RW</v>
      </c>
      <c r="G16" s="70">
        <f>IFERROR(__xludf.DUMMYFUNCTION("""COMPUTED_VALUE"""),-4.105072110791675)</f>
        <v>-4.105072111</v>
      </c>
      <c r="H16" s="70">
        <f>IFERROR(__xludf.DUMMYFUNCTION("""COMPUTED_VALUE"""),1.337065497936182)</f>
        <v>1.337065498</v>
      </c>
      <c r="I16" s="71">
        <f>IFERROR(__xludf.DUMMYFUNCTION("""COMPUTED_VALUE"""),2.5)</f>
        <v>2.5</v>
      </c>
      <c r="K16" s="68" t="str">
        <f>IFERROR(__xludf.DUMMYFUNCTION("""COMPUTED_VALUE"""),"Charlie Coyle")</f>
        <v>Charlie Coyle</v>
      </c>
      <c r="L16" s="69" t="str">
        <f>IFERROR(__xludf.DUMMYFUNCTION("""COMPUTED_VALUE"""),"C,RW")</f>
        <v>C,RW</v>
      </c>
      <c r="M16" s="70">
        <f>IFERROR(__xludf.DUMMYFUNCTION("""COMPUTED_VALUE"""),-3.9239966535690813)</f>
        <v>-3.923996654</v>
      </c>
      <c r="N16" s="70">
        <f>IFERROR(__xludf.DUMMYFUNCTION("""COMPUTED_VALUE"""),1.518140955158776)</f>
        <v>1.518140955</v>
      </c>
      <c r="O16" s="71">
        <f>IFERROR(__xludf.DUMMYFUNCTION("""COMPUTED_VALUE"""),2.4285714285714284)</f>
        <v>2.428571429</v>
      </c>
    </row>
    <row r="17">
      <c r="A17" s="55">
        <f>IFERROR(__xludf.DUMMYFUNCTION("""COMPUTED_VALUE"""),2.5)</f>
        <v>2.5</v>
      </c>
      <c r="B17" s="56" t="str">
        <f>IFERROR(__xludf.DUMMYFUNCTION("""COMPUTED_VALUE"""),"Brayden McNabb")</f>
        <v>Brayden McNabb</v>
      </c>
      <c r="C17" s="57" t="str">
        <f>IFERROR(__xludf.DUMMYFUNCTION("""COMPUTED_VALUE"""),"VGK")</f>
        <v>VGK</v>
      </c>
      <c r="E17" s="68" t="str">
        <f>IFERROR(__xludf.DUMMYFUNCTION("""COMPUTED_VALUE"""),"Boone Jenner")</f>
        <v>Boone Jenner</v>
      </c>
      <c r="F17" s="69" t="str">
        <f>IFERROR(__xludf.DUMMYFUNCTION("""COMPUTED_VALUE"""),"C,LW")</f>
        <v>C,LW</v>
      </c>
      <c r="G17" s="70">
        <f>IFERROR(__xludf.DUMMYFUNCTION("""COMPUTED_VALUE"""),-4.478045806739944)</f>
        <v>-4.478045807</v>
      </c>
      <c r="H17" s="70">
        <f>IFERROR(__xludf.DUMMYFUNCTION("""COMPUTED_VALUE"""),0.9098343181727948)</f>
        <v>0.9098343182</v>
      </c>
      <c r="I17" s="71">
        <f>IFERROR(__xludf.DUMMYFUNCTION("""COMPUTED_VALUE"""),2.5714285714285716)</f>
        <v>2.571428571</v>
      </c>
      <c r="K17" s="68" t="str">
        <f>IFERROR(__xludf.DUMMYFUNCTION("""COMPUTED_VALUE"""),"Tyson Foerster")</f>
        <v>Tyson Foerster</v>
      </c>
      <c r="L17" s="69" t="str">
        <f>IFERROR(__xludf.DUMMYFUNCTION("""COMPUTED_VALUE"""),"LW,RW")</f>
        <v>LW,RW</v>
      </c>
      <c r="M17" s="70">
        <f>IFERROR(__xludf.DUMMYFUNCTION("""COMPUTED_VALUE"""),-4.105072110791675)</f>
        <v>-4.105072111</v>
      </c>
      <c r="N17" s="70">
        <f>IFERROR(__xludf.DUMMYFUNCTION("""COMPUTED_VALUE"""),1.337065497936182)</f>
        <v>1.337065498</v>
      </c>
      <c r="O17" s="71">
        <f>IFERROR(__xludf.DUMMYFUNCTION("""COMPUTED_VALUE"""),2.5)</f>
        <v>2.5</v>
      </c>
    </row>
    <row r="18">
      <c r="A18" s="55">
        <f>IFERROR(__xludf.DUMMYFUNCTION("""COMPUTED_VALUE"""),2.5)</f>
        <v>2.5</v>
      </c>
      <c r="B18" s="56" t="str">
        <f>IFERROR(__xludf.DUMMYFUNCTION("""COMPUTED_VALUE"""),"Tyson Foerster")</f>
        <v>Tyson Foerster</v>
      </c>
      <c r="C18" s="57" t="str">
        <f>IFERROR(__xludf.DUMMYFUNCTION("""COMPUTED_VALUE"""),"PHI")</f>
        <v>PHI</v>
      </c>
      <c r="E18" s="68" t="str">
        <f>IFERROR(__xludf.DUMMYFUNCTION("""COMPUTED_VALUE"""),"Anders Lee")</f>
        <v>Anders Lee</v>
      </c>
      <c r="F18" s="69" t="str">
        <f>IFERROR(__xludf.DUMMYFUNCTION("""COMPUTED_VALUE"""),"LW")</f>
        <v>LW</v>
      </c>
      <c r="G18" s="70">
        <f>IFERROR(__xludf.DUMMYFUNCTION("""COMPUTED_VALUE"""),-4.847581620238625)</f>
        <v>-4.84758162</v>
      </c>
      <c r="H18" s="70">
        <f>IFERROR(__xludf.DUMMYFUNCTION("""COMPUTED_VALUE"""),0.540298504674114)</f>
        <v>0.5402985047</v>
      </c>
      <c r="I18" s="71">
        <f>IFERROR(__xludf.DUMMYFUNCTION("""COMPUTED_VALUE"""),2.5714285714285716)</f>
        <v>2.571428571</v>
      </c>
      <c r="K18" s="68" t="str">
        <f>IFERROR(__xludf.DUMMYFUNCTION("""COMPUTED_VALUE"""),"Boone Jenner")</f>
        <v>Boone Jenner</v>
      </c>
      <c r="L18" s="69" t="str">
        <f>IFERROR(__xludf.DUMMYFUNCTION("""COMPUTED_VALUE"""),"C,LW")</f>
        <v>C,LW</v>
      </c>
      <c r="M18" s="70">
        <f>IFERROR(__xludf.DUMMYFUNCTION("""COMPUTED_VALUE"""),-4.478045806739944)</f>
        <v>-4.478045807</v>
      </c>
      <c r="N18" s="70">
        <f>IFERROR(__xludf.DUMMYFUNCTION("""COMPUTED_VALUE"""),0.9098343181727948)</f>
        <v>0.9098343182</v>
      </c>
      <c r="O18" s="71">
        <f>IFERROR(__xludf.DUMMYFUNCTION("""COMPUTED_VALUE"""),2.5714285714285716)</f>
        <v>2.571428571</v>
      </c>
    </row>
    <row r="19">
      <c r="A19" s="55">
        <f>IFERROR(__xludf.DUMMYFUNCTION("""COMPUTED_VALUE"""),2.5)</f>
        <v>2.5</v>
      </c>
      <c r="B19" s="56" t="str">
        <f>IFERROR(__xludf.DUMMYFUNCTION("""COMPUTED_VALUE"""),"Artem Zub")</f>
        <v>Artem Zub</v>
      </c>
      <c r="C19" s="57" t="str">
        <f>IFERROR(__xludf.DUMMYFUNCTION("""COMPUTED_VALUE"""),"OTT")</f>
        <v>OTT</v>
      </c>
      <c r="E19" s="68" t="str">
        <f>IFERROR(__xludf.DUMMYFUNCTION("""COMPUTED_VALUE"""),"Viktor Arvidsson")</f>
        <v>Viktor Arvidsson</v>
      </c>
      <c r="F19" s="69" t="str">
        <f>IFERROR(__xludf.DUMMYFUNCTION("""COMPUTED_VALUE"""),"LW,RW")</f>
        <v>LW,RW</v>
      </c>
      <c r="G19" s="70">
        <f>IFERROR(__xludf.DUMMYFUNCTION("""COMPUTED_VALUE"""),-5.442137608727857)</f>
        <v>-5.442137609</v>
      </c>
      <c r="H19" s="70">
        <f>IFERROR(__xludf.DUMMYFUNCTION("""COMPUTED_VALUE"""),0.0)</f>
        <v>0</v>
      </c>
      <c r="I19" s="71">
        <f>IFERROR(__xludf.DUMMYFUNCTION("""COMPUTED_VALUE"""),2.5714285714285716)</f>
        <v>2.571428571</v>
      </c>
      <c r="K19" s="68" t="str">
        <f>IFERROR(__xludf.DUMMYFUNCTION("""COMPUTED_VALUE"""),"Mark Kastelic")</f>
        <v>Mark Kastelic</v>
      </c>
      <c r="L19" s="69" t="str">
        <f>IFERROR(__xludf.DUMMYFUNCTION("""COMPUTED_VALUE"""),"C,RW")</f>
        <v>C,RW</v>
      </c>
      <c r="M19" s="70">
        <f>IFERROR(__xludf.DUMMYFUNCTION("""COMPUTED_VALUE"""),-5.038066020183085)</f>
        <v>-5.03806602</v>
      </c>
      <c r="N19" s="70">
        <f>IFERROR(__xludf.DUMMYFUNCTION("""COMPUTED_VALUE"""),0.4040715885447721)</f>
        <v>0.4040715885</v>
      </c>
      <c r="O19" s="71">
        <f>IFERROR(__xludf.DUMMYFUNCTION("""COMPUTED_VALUE"""),2.5)</f>
        <v>2.5</v>
      </c>
    </row>
    <row r="20">
      <c r="A20" s="55">
        <f>IFERROR(__xludf.DUMMYFUNCTION("""COMPUTED_VALUE"""),2.5)</f>
        <v>2.5</v>
      </c>
      <c r="B20" s="56" t="str">
        <f>IFERROR(__xludf.DUMMYFUNCTION("""COMPUTED_VALUE"""),"Josh Norris")</f>
        <v>Josh Norris</v>
      </c>
      <c r="C20" s="57" t="str">
        <f>IFERROR(__xludf.DUMMYFUNCTION("""COMPUTED_VALUE"""),"BUF")</f>
        <v>BUF</v>
      </c>
      <c r="E20" s="72" t="str">
        <f>IFERROR(__xludf.DUMMYFUNCTION("""COMPUTED_VALUE"""),"Jonah Gadjovich")</f>
        <v>Jonah Gadjovich</v>
      </c>
      <c r="F20" s="73" t="str">
        <f>IFERROR(__xludf.DUMMYFUNCTION("""COMPUTED_VALUE"""),"LW")</f>
        <v>LW</v>
      </c>
      <c r="G20" s="74">
        <f>IFERROR(__xludf.DUMMYFUNCTION("""COMPUTED_VALUE"""),-5.512374892187229)</f>
        <v>-5.512374892</v>
      </c>
      <c r="H20" s="74">
        <f>IFERROR(__xludf.DUMMYFUNCTION("""COMPUTED_VALUE"""),-0.12449476727449049)</f>
        <v>-0.1244947673</v>
      </c>
      <c r="I20" s="75">
        <f>IFERROR(__xludf.DUMMYFUNCTION("""COMPUTED_VALUE"""),2.4285714285714284)</f>
        <v>2.428571429</v>
      </c>
      <c r="K20" s="72" t="str">
        <f>IFERROR(__xludf.DUMMYFUNCTION("""COMPUTED_VALUE"""),"Viktor Arvidsson")</f>
        <v>Viktor Arvidsson</v>
      </c>
      <c r="L20" s="73" t="str">
        <f>IFERROR(__xludf.DUMMYFUNCTION("""COMPUTED_VALUE"""),"LW,RW")</f>
        <v>LW,RW</v>
      </c>
      <c r="M20" s="74">
        <f>IFERROR(__xludf.DUMMYFUNCTION("""COMPUTED_VALUE"""),-5.442137608727857)</f>
        <v>-5.442137609</v>
      </c>
      <c r="N20" s="74">
        <f>IFERROR(__xludf.DUMMYFUNCTION("""COMPUTED_VALUE"""),0.0)</f>
        <v>0</v>
      </c>
      <c r="O20" s="75">
        <f>IFERROR(__xludf.DUMMYFUNCTION("""COMPUTED_VALUE"""),2.5714285714285716)</f>
        <v>2.571428571</v>
      </c>
    </row>
    <row r="21">
      <c r="A21" s="55">
        <f>IFERROR(__xludf.DUMMYFUNCTION("""COMPUTED_VALUE"""),2.5)</f>
        <v>2.5</v>
      </c>
      <c r="B21" s="56" t="str">
        <f>IFERROR(__xludf.DUMMYFUNCTION("""COMPUTED_VALUE"""),"Gustav Forsling")</f>
        <v>Gustav Forsling</v>
      </c>
      <c r="C21" s="57" t="str">
        <f>IFERROR(__xludf.DUMMYFUNCTION("""COMPUTED_VALUE"""),"FLA")</f>
        <v>FLA</v>
      </c>
      <c r="E21" s="54"/>
      <c r="F21" s="54"/>
      <c r="G21" s="54"/>
      <c r="H21" s="54"/>
      <c r="I21" s="54"/>
      <c r="K21" s="54"/>
      <c r="L21" s="54"/>
      <c r="M21" s="54"/>
      <c r="N21" s="54"/>
      <c r="O21" s="54"/>
    </row>
    <row r="22">
      <c r="A22" s="55">
        <f>IFERROR(__xludf.DUMMYFUNCTION("""COMPUTED_VALUE"""),2.5)</f>
        <v>2.5</v>
      </c>
      <c r="B22" s="56" t="str">
        <f>IFERROR(__xludf.DUMMYFUNCTION("""COMPUTED_VALUE"""),"Mark Kastelic")</f>
        <v>Mark Kastelic</v>
      </c>
      <c r="C22" s="57" t="str">
        <f>IFERROR(__xludf.DUMMYFUNCTION("""COMPUTED_VALUE"""),"BOS")</f>
        <v>BOS</v>
      </c>
      <c r="E22" s="58" t="s">
        <v>851</v>
      </c>
      <c r="F22" s="59"/>
      <c r="G22" s="59"/>
      <c r="H22" s="59"/>
      <c r="I22" s="60"/>
      <c r="K22" s="58" t="s">
        <v>852</v>
      </c>
      <c r="L22" s="59"/>
      <c r="M22" s="59"/>
      <c r="N22" s="59"/>
      <c r="O22" s="60"/>
    </row>
    <row r="23">
      <c r="A23" s="55">
        <f>IFERROR(__xludf.DUMMYFUNCTION("""COMPUTED_VALUE"""),2.5)</f>
        <v>2.5</v>
      </c>
      <c r="B23" s="56" t="str">
        <f>IFERROR(__xludf.DUMMYFUNCTION("""COMPUTED_VALUE"""),"Erik Haula")</f>
        <v>Erik Haula</v>
      </c>
      <c r="C23" s="57" t="str">
        <f>IFERROR(__xludf.DUMMYFUNCTION("""COMPUTED_VALUE"""),"LAK")</f>
        <v>LAK</v>
      </c>
      <c r="E23" s="61" t="str">
        <f>IFERROR(__xludf.DUMMYFUNCTION("query(RecCats,""Select E, G, H , I, A where C = false and G contains 'D' order by I desc limit 7"")"),"PLAYER")</f>
        <v>PLAYER</v>
      </c>
      <c r="F23" s="62" t="str">
        <f>IFERROR(__xludf.DUMMYFUNCTION("""COMPUTED_VALUE"""),"POS")</f>
        <v>POS</v>
      </c>
      <c r="G23" s="62" t="str">
        <f>IFERROR(__xludf.DUMMYFUNCTION("""COMPUTED_VALUE"""),"VAL")</f>
        <v>VAL</v>
      </c>
      <c r="H23" s="62" t="str">
        <f>IFERROR(__xludf.DUMMYFUNCTION("""COMPUTED_VALUE"""),"VORP")</f>
        <v>VORP</v>
      </c>
      <c r="I23" s="63" t="str">
        <f>IFERROR(__xludf.DUMMYFUNCTION("""COMPUTED_VALUE"""),"New ranking")</f>
        <v>New ranking</v>
      </c>
      <c r="K23" s="61" t="str">
        <f>IFERROR(__xludf.DUMMYFUNCTION("query(RecCats,""Select E, G, H , I, A where C = false and G contains 'G' order by I desc limit 7"")"),"PLAYER")</f>
        <v>PLAYER</v>
      </c>
      <c r="L23" s="62" t="str">
        <f>IFERROR(__xludf.DUMMYFUNCTION("""COMPUTED_VALUE"""),"POS")</f>
        <v>POS</v>
      </c>
      <c r="M23" s="62" t="str">
        <f>IFERROR(__xludf.DUMMYFUNCTION("""COMPUTED_VALUE"""),"VAL")</f>
        <v>VAL</v>
      </c>
      <c r="N23" s="62" t="str">
        <f>IFERROR(__xludf.DUMMYFUNCTION("""COMPUTED_VALUE"""),"VORP")</f>
        <v>VORP</v>
      </c>
      <c r="O23" s="63" t="str">
        <f>IFERROR(__xludf.DUMMYFUNCTION("""COMPUTED_VALUE"""),"New ranking")</f>
        <v>New ranking</v>
      </c>
    </row>
    <row r="24">
      <c r="A24" s="55">
        <f>IFERROR(__xludf.DUMMYFUNCTION("""COMPUTED_VALUE"""),2.5)</f>
        <v>2.5</v>
      </c>
      <c r="B24" s="56" t="str">
        <f>IFERROR(__xludf.DUMMYFUNCTION("""COMPUTED_VALUE"""),"Roman Kantserov")</f>
        <v>Roman Kantserov</v>
      </c>
      <c r="C24" s="57" t="str">
        <f>IFERROR(__xludf.DUMMYFUNCTION("""COMPUTED_VALUE"""),"CHI")</f>
        <v>CHI</v>
      </c>
      <c r="E24" s="64" t="str">
        <f>IFERROR(__xludf.DUMMYFUNCTION("""COMPUTED_VALUE"""),"Charle-Edouard D'Astous")</f>
        <v>Charle-Edouard D'Astous</v>
      </c>
      <c r="F24" s="65" t="str">
        <f>IFERROR(__xludf.DUMMYFUNCTION("""COMPUTED_VALUE"""),"D")</f>
        <v>D</v>
      </c>
      <c r="G24" s="66">
        <f>IFERROR(__xludf.DUMMYFUNCTION("""COMPUTED_VALUE"""),-2.746716701945034)</f>
        <v>-2.746716702</v>
      </c>
      <c r="H24" s="66">
        <f>IFERROR(__xludf.DUMMYFUNCTION("""COMPUTED_VALUE"""),2.7831420699838674)</f>
        <v>2.78314207</v>
      </c>
      <c r="I24" s="67">
        <f>IFERROR(__xludf.DUMMYFUNCTION("""COMPUTED_VALUE"""),2.4285714285714284)</f>
        <v>2.428571429</v>
      </c>
      <c r="K24" s="64" t="str">
        <f>IFERROR(__xludf.DUMMYFUNCTION("""COMPUTED_VALUE"""),"Casey DeSmith")</f>
        <v>Casey DeSmith</v>
      </c>
      <c r="L24" s="65" t="str">
        <f>IFERROR(__xludf.DUMMYFUNCTION("""COMPUTED_VALUE"""),"G")</f>
        <v>G</v>
      </c>
      <c r="M24" s="66">
        <f>IFERROR(__xludf.DUMMYFUNCTION("""COMPUTED_VALUE"""),0.268173288498306)</f>
        <v>0.2681732885</v>
      </c>
      <c r="N24" s="66">
        <f>IFERROR(__xludf.DUMMYFUNCTION("""COMPUTED_VALUE"""),4.60639626696842)</f>
        <v>4.606396267</v>
      </c>
      <c r="O24" s="67">
        <f>IFERROR(__xludf.DUMMYFUNCTION("""COMPUTED_VALUE"""),2.642857142857143)</f>
        <v>2.642857143</v>
      </c>
    </row>
    <row r="25">
      <c r="A25" s="55">
        <f>IFERROR(__xludf.DUMMYFUNCTION("""COMPUTED_VALUE"""),2.5)</f>
        <v>2.5</v>
      </c>
      <c r="B25" s="56" t="str">
        <f>IFERROR(__xludf.DUMMYFUNCTION("""COMPUTED_VALUE"""),"Noah Cates")</f>
        <v>Noah Cates</v>
      </c>
      <c r="C25" s="57" t="str">
        <f>IFERROR(__xludf.DUMMYFUNCTION("""COMPUTED_VALUE"""),"PHI")</f>
        <v>PHI</v>
      </c>
      <c r="E25" s="68" t="str">
        <f>IFERROR(__xludf.DUMMYFUNCTION("""COMPUTED_VALUE"""),"Isaak Phillips")</f>
        <v>Isaak Phillips</v>
      </c>
      <c r="F25" s="69" t="str">
        <f>IFERROR(__xludf.DUMMYFUNCTION("""COMPUTED_VALUE"""),"D")</f>
        <v>D</v>
      </c>
      <c r="G25" s="70">
        <f>IFERROR(__xludf.DUMMYFUNCTION("""COMPUTED_VALUE"""),-3.257442424380822)</f>
        <v>-3.257442424</v>
      </c>
      <c r="H25" s="70">
        <f>IFERROR(__xludf.DUMMYFUNCTION("""COMPUTED_VALUE"""),2.272416347548079)</f>
        <v>2.272416348</v>
      </c>
      <c r="I25" s="71">
        <f>IFERROR(__xludf.DUMMYFUNCTION("""COMPUTED_VALUE"""),2.5714285714285716)</f>
        <v>2.571428571</v>
      </c>
      <c r="K25" s="68" t="str">
        <f>IFERROR(__xludf.DUMMYFUNCTION("""COMPUTED_VALUE"""),"Joey Daccord")</f>
        <v>Joey Daccord</v>
      </c>
      <c r="L25" s="69" t="str">
        <f>IFERROR(__xludf.DUMMYFUNCTION("""COMPUTED_VALUE"""),"G")</f>
        <v>G</v>
      </c>
      <c r="M25" s="70">
        <f>IFERROR(__xludf.DUMMYFUNCTION("""COMPUTED_VALUE"""),-0.34429122152950653)</f>
        <v>-0.3442912215</v>
      </c>
      <c r="N25" s="70">
        <f>IFERROR(__xludf.DUMMYFUNCTION("""COMPUTED_VALUE"""),3.9939317569406074)</f>
        <v>3.993931757</v>
      </c>
      <c r="O25" s="71">
        <f>IFERROR(__xludf.DUMMYFUNCTION("""COMPUTED_VALUE"""),2.5)</f>
        <v>2.5</v>
      </c>
    </row>
    <row r="26">
      <c r="A26" s="55">
        <f>IFERROR(__xludf.DUMMYFUNCTION("""COMPUTED_VALUE"""),2.5)</f>
        <v>2.5</v>
      </c>
      <c r="B26" s="56" t="str">
        <f>IFERROR(__xludf.DUMMYFUNCTION("""COMPUTED_VALUE"""),"Scott Laughton")</f>
        <v>Scott Laughton</v>
      </c>
      <c r="C26" s="57" t="str">
        <f>IFERROR(__xludf.DUMMYFUNCTION("""COMPUTED_VALUE"""),"LAK")</f>
        <v>LAK</v>
      </c>
      <c r="E26" s="68" t="str">
        <f>IFERROR(__xludf.DUMMYFUNCTION("""COMPUTED_VALUE"""),"Brayden McNabb")</f>
        <v>Brayden McNabb</v>
      </c>
      <c r="F26" s="69" t="str">
        <f>IFERROR(__xludf.DUMMYFUNCTION("""COMPUTED_VALUE"""),"D")</f>
        <v>D</v>
      </c>
      <c r="G26" s="70">
        <f>IFERROR(__xludf.DUMMYFUNCTION("""COMPUTED_VALUE"""),-3.507716567400954)</f>
        <v>-3.507716567</v>
      </c>
      <c r="H26" s="70">
        <f>IFERROR(__xludf.DUMMYFUNCTION("""COMPUTED_VALUE"""),2.022142204527947)</f>
        <v>2.022142205</v>
      </c>
      <c r="I26" s="71">
        <f>IFERROR(__xludf.DUMMYFUNCTION("""COMPUTED_VALUE"""),2.5)</f>
        <v>2.5</v>
      </c>
      <c r="K26" s="68" t="str">
        <f>IFERROR(__xludf.DUMMYFUNCTION("""COMPUTED_VALUE"""),"Anthony Stolarz")</f>
        <v>Anthony Stolarz</v>
      </c>
      <c r="L26" s="69" t="str">
        <f>IFERROR(__xludf.DUMMYFUNCTION("""COMPUTED_VALUE"""),"G")</f>
        <v>G</v>
      </c>
      <c r="M26" s="70">
        <f>IFERROR(__xludf.DUMMYFUNCTION("""COMPUTED_VALUE"""),-0.43031085138220604)</f>
        <v>-0.4303108514</v>
      </c>
      <c r="N26" s="70">
        <f>IFERROR(__xludf.DUMMYFUNCTION("""COMPUTED_VALUE"""),3.907912127087908)</f>
        <v>3.907912127</v>
      </c>
      <c r="O26" s="71">
        <f>IFERROR(__xludf.DUMMYFUNCTION("""COMPUTED_VALUE"""),2.5714285714285716)</f>
        <v>2.571428571</v>
      </c>
    </row>
    <row r="27">
      <c r="A27" s="55">
        <f>IFERROR(__xludf.DUMMYFUNCTION("""COMPUTED_VALUE"""),2.5)</f>
        <v>2.5</v>
      </c>
      <c r="B27" s="56" t="str">
        <f>IFERROR(__xludf.DUMMYFUNCTION("""COMPUTED_VALUE"""),"Parker Kelly")</f>
        <v>Parker Kelly</v>
      </c>
      <c r="C27" s="57" t="str">
        <f>IFERROR(__xludf.DUMMYFUNCTION("""COMPUTED_VALUE"""),"COL")</f>
        <v>COL</v>
      </c>
      <c r="E27" s="68" t="str">
        <f>IFERROR(__xludf.DUMMYFUNCTION("""COMPUTED_VALUE"""),"Radko Gudas")</f>
        <v>Radko Gudas</v>
      </c>
      <c r="F27" s="69" t="str">
        <f>IFERROR(__xludf.DUMMYFUNCTION("""COMPUTED_VALUE"""),"D")</f>
        <v>D</v>
      </c>
      <c r="G27" s="70">
        <f>IFERROR(__xludf.DUMMYFUNCTION("""COMPUTED_VALUE"""),-3.6747852514157957)</f>
        <v>-3.674785251</v>
      </c>
      <c r="H27" s="70">
        <f>IFERROR(__xludf.DUMMYFUNCTION("""COMPUTED_VALUE"""),1.8550735205131055)</f>
        <v>1.855073521</v>
      </c>
      <c r="I27" s="71">
        <f>IFERROR(__xludf.DUMMYFUNCTION("""COMPUTED_VALUE"""),2.642857142857143)</f>
        <v>2.642857143</v>
      </c>
      <c r="K27" s="68" t="str">
        <f>IFERROR(__xludf.DUMMYFUNCTION("""COMPUTED_VALUE"""),"Dustin Wolf")</f>
        <v>Dustin Wolf</v>
      </c>
      <c r="L27" s="69" t="str">
        <f>IFERROR(__xludf.DUMMYFUNCTION("""COMPUTED_VALUE"""),"G")</f>
        <v>G</v>
      </c>
      <c r="M27" s="70">
        <f>IFERROR(__xludf.DUMMYFUNCTION("""COMPUTED_VALUE"""),-2.544840459947686)</f>
        <v>-2.54484046</v>
      </c>
      <c r="N27" s="70">
        <f>IFERROR(__xludf.DUMMYFUNCTION("""COMPUTED_VALUE"""),1.793382518522428)</f>
        <v>1.793382519</v>
      </c>
      <c r="O27" s="71">
        <f>IFERROR(__xludf.DUMMYFUNCTION("""COMPUTED_VALUE"""),2.642857142857143)</f>
        <v>2.642857143</v>
      </c>
    </row>
    <row r="28">
      <c r="A28" s="55">
        <f>IFERROR(__xludf.DUMMYFUNCTION("""COMPUTED_VALUE"""),2.5)</f>
        <v>2.5</v>
      </c>
      <c r="B28" s="56" t="str">
        <f>IFERROR(__xludf.DUMMYFUNCTION("""COMPUTED_VALUE"""),"Connor McMichael")</f>
        <v>Connor McMichael</v>
      </c>
      <c r="C28" s="57" t="str">
        <f>IFERROR(__xludf.DUMMYFUNCTION("""COMPUTED_VALUE"""),"STL")</f>
        <v>STL</v>
      </c>
      <c r="E28" s="68" t="str">
        <f>IFERROR(__xludf.DUMMYFUNCTION("""COMPUTED_VALUE"""),"Brent Burns")</f>
        <v>Brent Burns</v>
      </c>
      <c r="F28" s="69" t="str">
        <f>IFERROR(__xludf.DUMMYFUNCTION("""COMPUTED_VALUE"""),"D")</f>
        <v>D</v>
      </c>
      <c r="G28" s="70">
        <f>IFERROR(__xludf.DUMMYFUNCTION("""COMPUTED_VALUE"""),-4.356859796201425)</f>
        <v>-4.356859796</v>
      </c>
      <c r="H28" s="70">
        <f>IFERROR(__xludf.DUMMYFUNCTION("""COMPUTED_VALUE"""),1.1729989757274764)</f>
        <v>1.172998976</v>
      </c>
      <c r="I28" s="71">
        <f>IFERROR(__xludf.DUMMYFUNCTION("""COMPUTED_VALUE"""),2.5714285714285716)</f>
        <v>2.571428571</v>
      </c>
      <c r="K28" s="68" t="str">
        <f>IFERROR(__xludf.DUMMYFUNCTION("""COMPUTED_VALUE"""),"Alex Lyon")</f>
        <v>Alex Lyon</v>
      </c>
      <c r="L28" s="69" t="str">
        <f>IFERROR(__xludf.DUMMYFUNCTION("""COMPUTED_VALUE"""),"G")</f>
        <v>G</v>
      </c>
      <c r="M28" s="70">
        <f>IFERROR(__xludf.DUMMYFUNCTION("""COMPUTED_VALUE"""),-2.6832513760936156)</f>
        <v>-2.683251376</v>
      </c>
      <c r="N28" s="70">
        <f>IFERROR(__xludf.DUMMYFUNCTION("""COMPUTED_VALUE"""),1.6549716023764982)</f>
        <v>1.654971602</v>
      </c>
      <c r="O28" s="71">
        <f>IFERROR(__xludf.DUMMYFUNCTION("""COMPUTED_VALUE"""),2.7142857142857144)</f>
        <v>2.714285714</v>
      </c>
    </row>
    <row r="29">
      <c r="A29" s="55">
        <f>IFERROR(__xludf.DUMMYFUNCTION("""COMPUTED_VALUE"""),2.5)</f>
        <v>2.5</v>
      </c>
      <c r="B29" s="56" t="str">
        <f>IFERROR(__xludf.DUMMYFUNCTION("""COMPUTED_VALUE"""),"Jaccob Slavin")</f>
        <v>Jaccob Slavin</v>
      </c>
      <c r="C29" s="57" t="str">
        <f>IFERROR(__xludf.DUMMYFUNCTION("""COMPUTED_VALUE"""),"CAR")</f>
        <v>CAR</v>
      </c>
      <c r="E29" s="68" t="str">
        <f>IFERROR(__xludf.DUMMYFUNCTION("""COMPUTED_VALUE"""),"Aaron Ekblad")</f>
        <v>Aaron Ekblad</v>
      </c>
      <c r="F29" s="69" t="str">
        <f>IFERROR(__xludf.DUMMYFUNCTION("""COMPUTED_VALUE"""),"D")</f>
        <v>D</v>
      </c>
      <c r="G29" s="70">
        <f>IFERROR(__xludf.DUMMYFUNCTION("""COMPUTED_VALUE"""),-4.394850185066916)</f>
        <v>-4.394850185</v>
      </c>
      <c r="H29" s="70">
        <f>IFERROR(__xludf.DUMMYFUNCTION("""COMPUTED_VALUE"""),1.1350085868619848)</f>
        <v>1.135008587</v>
      </c>
      <c r="I29" s="71">
        <f>IFERROR(__xludf.DUMMYFUNCTION("""COMPUTED_VALUE"""),2.5714285714285716)</f>
        <v>2.571428571</v>
      </c>
      <c r="K29" s="68" t="str">
        <f>IFERROR(__xludf.DUMMYFUNCTION("""COMPUTED_VALUE"""),"Michael DiPietro")</f>
        <v>Michael DiPietro</v>
      </c>
      <c r="L29" s="69" t="str">
        <f>IFERROR(__xludf.DUMMYFUNCTION("""COMPUTED_VALUE"""),"G")</f>
        <v>G</v>
      </c>
      <c r="M29" s="70">
        <f>IFERROR(__xludf.DUMMYFUNCTION("""COMPUTED_VALUE"""),-3.0201782632555108)</f>
        <v>-3.020178263</v>
      </c>
      <c r="N29" s="70">
        <f>IFERROR(__xludf.DUMMYFUNCTION("""COMPUTED_VALUE"""),1.318044715214603)</f>
        <v>1.318044715</v>
      </c>
      <c r="O29" s="71">
        <f>IFERROR(__xludf.DUMMYFUNCTION("""COMPUTED_VALUE"""),2.9285714285714284)</f>
        <v>2.928571429</v>
      </c>
    </row>
    <row r="30">
      <c r="A30" s="55">
        <f>IFERROR(__xludf.DUMMYFUNCTION("""COMPUTED_VALUE"""),2.5)</f>
        <v>2.5</v>
      </c>
      <c r="B30" s="56" t="str">
        <f>IFERROR(__xludf.DUMMYFUNCTION("""COMPUTED_VALUE"""),"Kyle Palmieri")</f>
        <v>Kyle Palmieri</v>
      </c>
      <c r="C30" s="57" t="str">
        <f>IFERROR(__xludf.DUMMYFUNCTION("""COMPUTED_VALUE"""),"NYI")</f>
        <v>NYI</v>
      </c>
      <c r="E30" s="72" t="str">
        <f>IFERROR(__xludf.DUMMYFUNCTION("""COMPUTED_VALUE"""),"Artem Zub")</f>
        <v>Artem Zub</v>
      </c>
      <c r="F30" s="73" t="str">
        <f>IFERROR(__xludf.DUMMYFUNCTION("""COMPUTED_VALUE"""),"D")</f>
        <v>D</v>
      </c>
      <c r="G30" s="74">
        <f>IFERROR(__xludf.DUMMYFUNCTION("""COMPUTED_VALUE"""),-4.581778879171698)</f>
        <v>-4.581778879</v>
      </c>
      <c r="H30" s="74">
        <f>IFERROR(__xludf.DUMMYFUNCTION("""COMPUTED_VALUE"""),0.9480798927572032)</f>
        <v>0.9480798928</v>
      </c>
      <c r="I30" s="75">
        <f>IFERROR(__xludf.DUMMYFUNCTION("""COMPUTED_VALUE"""),2.5)</f>
        <v>2.5</v>
      </c>
      <c r="K30" s="72" t="str">
        <f>IFERROR(__xludf.DUMMYFUNCTION("""COMPUTED_VALUE"""),"Thatcher Demko")</f>
        <v>Thatcher Demko</v>
      </c>
      <c r="L30" s="73" t="str">
        <f>IFERROR(__xludf.DUMMYFUNCTION("""COMPUTED_VALUE"""),"G")</f>
        <v>G</v>
      </c>
      <c r="M30" s="74">
        <f>IFERROR(__xludf.DUMMYFUNCTION("""COMPUTED_VALUE"""),-3.7015137796363367)</f>
        <v>-3.70151378</v>
      </c>
      <c r="N30" s="74">
        <f>IFERROR(__xludf.DUMMYFUNCTION("""COMPUTED_VALUE"""),0.6367091988337772)</f>
        <v>0.6367091988</v>
      </c>
      <c r="O30" s="75">
        <f>IFERROR(__xludf.DUMMYFUNCTION("""COMPUTED_VALUE"""),2.5714285714285716)</f>
        <v>2.571428571</v>
      </c>
    </row>
    <row r="31">
      <c r="A31" s="86">
        <f>IFERROR(__xludf.DUMMYFUNCTION("""COMPUTED_VALUE"""),2.5)</f>
        <v>2.5</v>
      </c>
      <c r="B31" s="87" t="str">
        <f>IFERROR(__xludf.DUMMYFUNCTION("""COMPUTED_VALUE"""),"Matt Roy")</f>
        <v>Matt Roy</v>
      </c>
      <c r="C31" s="88" t="str">
        <f>IFERROR(__xludf.DUMMYFUNCTION("""COMPUTED_VALUE"""),"WSH")</f>
        <v>WSH</v>
      </c>
    </row>
    <row r="32">
      <c r="A32" s="3"/>
    </row>
  </sheetData>
  <mergeCells count="6">
    <mergeCell ref="E2:I2"/>
    <mergeCell ref="K2:O2"/>
    <mergeCell ref="E12:I12"/>
    <mergeCell ref="K12:O12"/>
    <mergeCell ref="E22:I22"/>
    <mergeCell ref="K22:O22"/>
  </mergeCells>
  <conditionalFormatting sqref="I4:I10 O4:O10 O14:O20 I14:I20 I24:I30 O24:O30">
    <cfRule type="colorScale" priority="1">
      <colorScale>
        <cfvo type="min"/>
        <cfvo type="percentile" val="25"/>
        <cfvo type="max"/>
        <color rgb="FFF4CCCC"/>
        <color rgb="FFFFFFFF"/>
        <color rgb="FF4A86E8"/>
      </colorScale>
    </cfRule>
  </conditionalFormatting>
  <conditionalFormatting sqref="H4:H10 N4:N10 H14:H20 N14:N20 H24:H30 N24:N30">
    <cfRule type="colorScale" priority="2">
      <colorScale>
        <cfvo type="min"/>
        <cfvo type="percentile" val="50"/>
        <cfvo type="max"/>
        <color rgb="FFEA9999"/>
        <color rgb="FFFFFFFF"/>
        <color rgb="FF4A86E8"/>
      </colorScale>
    </cfRule>
  </conditionalFormatting>
  <conditionalFormatting sqref="G4:G10 M4:M10 G14:G20 M14:M20 G24:G30 M24:M30">
    <cfRule type="colorScale" priority="3">
      <colorScale>
        <cfvo type="min"/>
        <cfvo type="percentile" val="50"/>
        <cfvo type="max"/>
        <color rgb="FFEA9999"/>
        <color rgb="FFFFFFFF"/>
        <color rgb="FF4A86E8"/>
      </colorScale>
    </cfRule>
  </conditionalFormatting>
  <conditionalFormatting sqref="F4:F10 L4:L10 F14:F20 L14:L20">
    <cfRule type="containsText" dxfId="4" priority="4" operator="containsText" text=",">
      <formula>NOT(ISERROR(SEARCH((","),(F4))))</formula>
    </cfRule>
  </conditionalFormatting>
  <conditionalFormatting sqref="A2:C31">
    <cfRule type="expression" dxfId="5" priority="5">
      <formula>$C2="D"</formula>
    </cfRule>
  </conditionalFormatting>
  <conditionalFormatting sqref="A2:C31">
    <cfRule type="expression" dxfId="6" priority="6">
      <formula>$C2="G"</formula>
    </cfRule>
  </conditionalFormatting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6.88"/>
    <col customWidth="1" min="3" max="3" width="7.88"/>
    <col customWidth="1" min="5" max="5" width="15.88"/>
    <col customWidth="1" min="7" max="7" width="3.5"/>
    <col customWidth="1" min="8" max="8" width="9.13"/>
  </cols>
  <sheetData>
    <row r="1">
      <c r="A1" s="89" t="s">
        <v>858</v>
      </c>
      <c r="B1" s="90" t="s">
        <v>859</v>
      </c>
      <c r="C1" s="89" t="s">
        <v>860</v>
      </c>
      <c r="E1" s="1" t="s">
        <v>861</v>
      </c>
      <c r="G1" s="2" t="b">
        <v>0</v>
      </c>
      <c r="H1" s="91" t="s">
        <v>862</v>
      </c>
    </row>
    <row r="2">
      <c r="A2" s="1" t="s">
        <v>863</v>
      </c>
      <c r="B2" s="92">
        <v>2.357142857142857</v>
      </c>
      <c r="C2" s="1" t="s">
        <v>864</v>
      </c>
      <c r="E2" s="1" t="s">
        <v>865</v>
      </c>
    </row>
    <row r="3">
      <c r="A3" s="1" t="s">
        <v>866</v>
      </c>
      <c r="B3" s="92">
        <v>2.4285714285714284</v>
      </c>
      <c r="C3" s="1" t="s">
        <v>864</v>
      </c>
    </row>
    <row r="4">
      <c r="A4" s="1" t="s">
        <v>867</v>
      </c>
      <c r="B4" s="92">
        <v>2.4285714285714284</v>
      </c>
      <c r="C4" s="1" t="s">
        <v>864</v>
      </c>
    </row>
    <row r="5">
      <c r="A5" s="1" t="s">
        <v>868</v>
      </c>
      <c r="B5" s="92">
        <v>2.4285714285714284</v>
      </c>
      <c r="C5" s="1" t="s">
        <v>864</v>
      </c>
    </row>
    <row r="6">
      <c r="A6" s="1" t="s">
        <v>869</v>
      </c>
      <c r="B6" s="92">
        <v>2.4285714285714284</v>
      </c>
      <c r="C6" s="1" t="s">
        <v>864</v>
      </c>
    </row>
    <row r="7">
      <c r="A7" s="1" t="s">
        <v>870</v>
      </c>
      <c r="B7" s="92">
        <v>2.4285714285714284</v>
      </c>
      <c r="C7" s="1" t="s">
        <v>864</v>
      </c>
    </row>
    <row r="8">
      <c r="A8" s="1" t="s">
        <v>871</v>
      </c>
      <c r="B8" s="92">
        <v>2.4285714285714284</v>
      </c>
      <c r="C8" s="1" t="s">
        <v>864</v>
      </c>
    </row>
    <row r="9">
      <c r="A9" s="1" t="s">
        <v>872</v>
      </c>
      <c r="B9" s="92">
        <v>2.4285714285714284</v>
      </c>
      <c r="C9" s="1" t="s">
        <v>864</v>
      </c>
    </row>
    <row r="10">
      <c r="A10" s="1" t="s">
        <v>873</v>
      </c>
      <c r="B10" s="92">
        <v>2.4285714285714284</v>
      </c>
      <c r="C10" s="1" t="s">
        <v>864</v>
      </c>
    </row>
    <row r="11">
      <c r="A11" s="1" t="s">
        <v>874</v>
      </c>
      <c r="B11" s="92">
        <v>2.4285714285714284</v>
      </c>
      <c r="C11" s="1" t="s">
        <v>864</v>
      </c>
    </row>
    <row r="12">
      <c r="A12" s="1" t="s">
        <v>875</v>
      </c>
      <c r="B12" s="92">
        <v>2.4285714285714284</v>
      </c>
      <c r="C12" s="1" t="s">
        <v>864</v>
      </c>
    </row>
    <row r="13">
      <c r="A13" s="1" t="s">
        <v>876</v>
      </c>
      <c r="B13" s="92">
        <v>2.4285714285714284</v>
      </c>
      <c r="C13" s="1" t="s">
        <v>864</v>
      </c>
    </row>
    <row r="14">
      <c r="A14" s="1" t="s">
        <v>877</v>
      </c>
      <c r="B14" s="92">
        <v>2.5</v>
      </c>
      <c r="C14" s="1" t="s">
        <v>864</v>
      </c>
    </row>
    <row r="15">
      <c r="A15" s="1" t="s">
        <v>878</v>
      </c>
      <c r="B15" s="92">
        <v>2.5</v>
      </c>
      <c r="C15" s="1" t="s">
        <v>864</v>
      </c>
    </row>
    <row r="16">
      <c r="A16" s="1" t="s">
        <v>879</v>
      </c>
      <c r="B16" s="92">
        <v>2.5</v>
      </c>
      <c r="C16" s="1" t="s">
        <v>864</v>
      </c>
    </row>
    <row r="17">
      <c r="A17" s="1" t="s">
        <v>880</v>
      </c>
      <c r="B17" s="92">
        <v>2.5</v>
      </c>
      <c r="C17" s="1" t="s">
        <v>864</v>
      </c>
    </row>
    <row r="18">
      <c r="A18" s="1" t="s">
        <v>881</v>
      </c>
      <c r="B18" s="92">
        <v>2.5</v>
      </c>
      <c r="C18" s="1" t="s">
        <v>864</v>
      </c>
    </row>
    <row r="19">
      <c r="A19" s="1" t="s">
        <v>882</v>
      </c>
      <c r="B19" s="92">
        <v>2.5</v>
      </c>
      <c r="C19" s="1" t="s">
        <v>864</v>
      </c>
    </row>
    <row r="20">
      <c r="A20" s="1" t="s">
        <v>883</v>
      </c>
      <c r="B20" s="92">
        <v>2.5</v>
      </c>
      <c r="C20" s="1" t="s">
        <v>864</v>
      </c>
    </row>
    <row r="21">
      <c r="A21" s="1" t="s">
        <v>884</v>
      </c>
      <c r="B21" s="92">
        <v>2.5</v>
      </c>
      <c r="C21" s="1" t="s">
        <v>864</v>
      </c>
    </row>
    <row r="22">
      <c r="A22" s="1" t="s">
        <v>885</v>
      </c>
      <c r="B22" s="92">
        <v>2.5</v>
      </c>
      <c r="C22" s="1" t="s">
        <v>864</v>
      </c>
    </row>
    <row r="23">
      <c r="A23" s="1" t="s">
        <v>886</v>
      </c>
      <c r="B23" s="92">
        <v>2.5</v>
      </c>
      <c r="C23" s="1" t="s">
        <v>864</v>
      </c>
    </row>
    <row r="24">
      <c r="A24" s="1" t="s">
        <v>887</v>
      </c>
      <c r="B24" s="92">
        <v>2.5</v>
      </c>
      <c r="C24" s="1" t="s">
        <v>864</v>
      </c>
    </row>
    <row r="25">
      <c r="A25" s="1" t="s">
        <v>888</v>
      </c>
      <c r="B25" s="92">
        <v>2.5</v>
      </c>
      <c r="C25" s="1" t="s">
        <v>864</v>
      </c>
    </row>
    <row r="26">
      <c r="A26" s="1" t="s">
        <v>889</v>
      </c>
      <c r="B26" s="92">
        <v>2.5</v>
      </c>
      <c r="C26" s="1" t="s">
        <v>864</v>
      </c>
    </row>
    <row r="27">
      <c r="A27" s="1" t="s">
        <v>890</v>
      </c>
      <c r="B27" s="92">
        <v>2.5</v>
      </c>
      <c r="C27" s="1" t="s">
        <v>864</v>
      </c>
    </row>
    <row r="28">
      <c r="A28" s="1" t="s">
        <v>891</v>
      </c>
      <c r="B28" s="92">
        <v>2.5</v>
      </c>
      <c r="C28" s="1" t="s">
        <v>864</v>
      </c>
    </row>
    <row r="29">
      <c r="A29" s="1" t="s">
        <v>892</v>
      </c>
      <c r="B29" s="92">
        <v>2.5</v>
      </c>
      <c r="C29" s="1" t="s">
        <v>864</v>
      </c>
    </row>
    <row r="30">
      <c r="A30" s="1" t="s">
        <v>893</v>
      </c>
      <c r="B30" s="92">
        <v>2.5</v>
      </c>
      <c r="C30" s="1" t="s">
        <v>864</v>
      </c>
    </row>
    <row r="31">
      <c r="A31" s="1" t="s">
        <v>894</v>
      </c>
      <c r="B31" s="92">
        <v>2.5</v>
      </c>
      <c r="C31" s="1" t="s">
        <v>864</v>
      </c>
    </row>
    <row r="32">
      <c r="A32" s="1" t="s">
        <v>895</v>
      </c>
      <c r="B32" s="92">
        <v>2.5</v>
      </c>
      <c r="C32" s="1" t="s">
        <v>864</v>
      </c>
    </row>
    <row r="33">
      <c r="A33" s="1" t="s">
        <v>896</v>
      </c>
      <c r="B33" s="92">
        <v>2.5</v>
      </c>
      <c r="C33" s="1" t="s">
        <v>864</v>
      </c>
    </row>
    <row r="34">
      <c r="A34" s="1" t="s">
        <v>897</v>
      </c>
      <c r="B34" s="92">
        <v>2.5</v>
      </c>
      <c r="C34" s="1" t="s">
        <v>864</v>
      </c>
    </row>
    <row r="35">
      <c r="A35" s="1" t="s">
        <v>898</v>
      </c>
      <c r="B35" s="92">
        <v>2.5</v>
      </c>
      <c r="C35" s="1" t="s">
        <v>864</v>
      </c>
    </row>
    <row r="36">
      <c r="A36" s="1" t="s">
        <v>899</v>
      </c>
      <c r="B36" s="92">
        <v>2.5</v>
      </c>
      <c r="C36" s="1" t="s">
        <v>864</v>
      </c>
    </row>
    <row r="37">
      <c r="A37" s="1" t="s">
        <v>900</v>
      </c>
      <c r="B37" s="92">
        <v>2.5</v>
      </c>
      <c r="C37" s="1" t="s">
        <v>864</v>
      </c>
    </row>
    <row r="38">
      <c r="A38" s="1" t="s">
        <v>901</v>
      </c>
      <c r="B38" s="92">
        <v>2.5</v>
      </c>
      <c r="C38" s="1" t="s">
        <v>864</v>
      </c>
    </row>
    <row r="39">
      <c r="A39" s="1" t="s">
        <v>902</v>
      </c>
      <c r="B39" s="92">
        <v>2.5</v>
      </c>
      <c r="C39" s="1" t="s">
        <v>864</v>
      </c>
    </row>
    <row r="40">
      <c r="A40" s="1" t="s">
        <v>903</v>
      </c>
      <c r="B40" s="92">
        <v>2.5</v>
      </c>
      <c r="C40" s="1" t="s">
        <v>864</v>
      </c>
    </row>
    <row r="41">
      <c r="A41" s="1" t="s">
        <v>904</v>
      </c>
      <c r="B41" s="92">
        <v>2.5</v>
      </c>
      <c r="C41" s="1" t="s">
        <v>864</v>
      </c>
    </row>
    <row r="42">
      <c r="A42" s="1" t="s">
        <v>905</v>
      </c>
      <c r="B42" s="92">
        <v>2.5</v>
      </c>
      <c r="C42" s="1" t="s">
        <v>864</v>
      </c>
    </row>
    <row r="43">
      <c r="A43" s="1" t="s">
        <v>906</v>
      </c>
      <c r="B43" s="92">
        <v>2.5</v>
      </c>
      <c r="C43" s="1" t="s">
        <v>864</v>
      </c>
    </row>
    <row r="44">
      <c r="A44" s="1" t="s">
        <v>907</v>
      </c>
      <c r="B44" s="92">
        <v>2.5</v>
      </c>
      <c r="C44" s="1" t="s">
        <v>864</v>
      </c>
    </row>
    <row r="45">
      <c r="A45" s="1" t="s">
        <v>908</v>
      </c>
      <c r="B45" s="92">
        <v>2.5</v>
      </c>
      <c r="C45" s="1" t="s">
        <v>864</v>
      </c>
    </row>
    <row r="46">
      <c r="A46" s="1" t="s">
        <v>909</v>
      </c>
      <c r="B46" s="92">
        <v>2.5</v>
      </c>
      <c r="C46" s="1" t="s">
        <v>864</v>
      </c>
    </row>
    <row r="47">
      <c r="A47" s="1" t="s">
        <v>910</v>
      </c>
      <c r="B47" s="92">
        <v>2.5</v>
      </c>
      <c r="C47" s="1" t="s">
        <v>864</v>
      </c>
    </row>
    <row r="48">
      <c r="A48" s="1" t="s">
        <v>911</v>
      </c>
      <c r="B48" s="92">
        <v>2.5</v>
      </c>
      <c r="C48" s="1" t="s">
        <v>864</v>
      </c>
    </row>
    <row r="49">
      <c r="A49" s="1" t="s">
        <v>912</v>
      </c>
      <c r="B49" s="92">
        <v>2.5</v>
      </c>
      <c r="C49" s="1" t="s">
        <v>864</v>
      </c>
    </row>
    <row r="50">
      <c r="A50" s="1" t="s">
        <v>913</v>
      </c>
      <c r="B50" s="92">
        <v>2.5</v>
      </c>
      <c r="C50" s="1" t="s">
        <v>864</v>
      </c>
    </row>
    <row r="51">
      <c r="A51" s="1" t="s">
        <v>914</v>
      </c>
      <c r="B51" s="92">
        <v>2.5</v>
      </c>
      <c r="C51" s="1" t="s">
        <v>864</v>
      </c>
    </row>
    <row r="52">
      <c r="A52" s="1" t="s">
        <v>915</v>
      </c>
      <c r="B52" s="92">
        <v>2.5</v>
      </c>
      <c r="C52" s="1" t="s">
        <v>864</v>
      </c>
    </row>
    <row r="53">
      <c r="A53" s="1" t="s">
        <v>916</v>
      </c>
      <c r="B53" s="92">
        <v>2.5</v>
      </c>
      <c r="C53" s="1" t="s">
        <v>864</v>
      </c>
    </row>
    <row r="54">
      <c r="A54" s="1" t="s">
        <v>917</v>
      </c>
      <c r="B54" s="92">
        <v>2.5</v>
      </c>
      <c r="C54" s="1" t="s">
        <v>864</v>
      </c>
    </row>
    <row r="55">
      <c r="A55" s="1" t="s">
        <v>918</v>
      </c>
      <c r="B55" s="92">
        <v>2.5</v>
      </c>
      <c r="C55" s="1" t="s">
        <v>864</v>
      </c>
    </row>
    <row r="56">
      <c r="A56" s="1" t="s">
        <v>919</v>
      </c>
      <c r="B56" s="92">
        <v>2.5</v>
      </c>
      <c r="C56" s="1" t="s">
        <v>864</v>
      </c>
    </row>
    <row r="57">
      <c r="A57" s="1" t="s">
        <v>920</v>
      </c>
      <c r="B57" s="92">
        <v>2.5</v>
      </c>
      <c r="C57" s="1" t="s">
        <v>864</v>
      </c>
    </row>
    <row r="58">
      <c r="A58" s="1" t="s">
        <v>921</v>
      </c>
      <c r="B58" s="92">
        <v>2.5</v>
      </c>
      <c r="C58" s="1" t="s">
        <v>864</v>
      </c>
    </row>
    <row r="59">
      <c r="A59" s="1" t="s">
        <v>922</v>
      </c>
      <c r="B59" s="92">
        <v>2.5</v>
      </c>
      <c r="C59" s="1" t="s">
        <v>864</v>
      </c>
    </row>
    <row r="60">
      <c r="A60" s="1" t="s">
        <v>923</v>
      </c>
      <c r="B60" s="92">
        <v>2.5</v>
      </c>
      <c r="C60" s="1" t="s">
        <v>864</v>
      </c>
    </row>
    <row r="61">
      <c r="A61" s="1" t="s">
        <v>924</v>
      </c>
      <c r="B61" s="92">
        <v>2.5714285714285716</v>
      </c>
      <c r="C61" s="1" t="s">
        <v>864</v>
      </c>
    </row>
    <row r="62">
      <c r="A62" s="1" t="s">
        <v>925</v>
      </c>
      <c r="B62" s="92">
        <v>2.5714285714285716</v>
      </c>
      <c r="C62" s="1" t="s">
        <v>864</v>
      </c>
    </row>
    <row r="63">
      <c r="A63" s="1" t="s">
        <v>926</v>
      </c>
      <c r="B63" s="92">
        <v>2.5714285714285716</v>
      </c>
      <c r="C63" s="1" t="s">
        <v>864</v>
      </c>
    </row>
    <row r="64">
      <c r="A64" s="1" t="s">
        <v>927</v>
      </c>
      <c r="B64" s="92">
        <v>2.5714285714285716</v>
      </c>
      <c r="C64" s="1" t="s">
        <v>864</v>
      </c>
    </row>
    <row r="65">
      <c r="A65" s="1" t="s">
        <v>929</v>
      </c>
      <c r="B65" s="92">
        <v>2.5714285714285716</v>
      </c>
      <c r="C65" s="1" t="s">
        <v>864</v>
      </c>
    </row>
    <row r="66">
      <c r="A66" s="1" t="s">
        <v>931</v>
      </c>
      <c r="B66" s="92">
        <v>2.5714285714285716</v>
      </c>
      <c r="C66" s="1" t="s">
        <v>864</v>
      </c>
    </row>
    <row r="67">
      <c r="A67" s="1" t="s">
        <v>932</v>
      </c>
      <c r="B67" s="92">
        <v>2.5714285714285716</v>
      </c>
      <c r="C67" s="1" t="s">
        <v>864</v>
      </c>
    </row>
    <row r="68">
      <c r="A68" s="1" t="s">
        <v>933</v>
      </c>
      <c r="B68" s="92">
        <v>2.5714285714285716</v>
      </c>
      <c r="C68" s="1" t="s">
        <v>864</v>
      </c>
    </row>
    <row r="69">
      <c r="A69" s="1" t="s">
        <v>934</v>
      </c>
      <c r="B69" s="92">
        <v>2.5714285714285716</v>
      </c>
      <c r="C69" s="1" t="s">
        <v>864</v>
      </c>
    </row>
    <row r="70">
      <c r="A70" s="1" t="s">
        <v>936</v>
      </c>
      <c r="B70" s="92">
        <v>2.5714285714285716</v>
      </c>
      <c r="C70" s="1" t="s">
        <v>864</v>
      </c>
    </row>
    <row r="71">
      <c r="A71" s="1" t="s">
        <v>937</v>
      </c>
      <c r="B71" s="92">
        <v>2.5714285714285716</v>
      </c>
      <c r="C71" s="1" t="s">
        <v>864</v>
      </c>
    </row>
    <row r="72">
      <c r="A72" s="1" t="s">
        <v>938</v>
      </c>
      <c r="B72" s="92">
        <v>2.5714285714285716</v>
      </c>
      <c r="C72" s="1" t="s">
        <v>864</v>
      </c>
    </row>
    <row r="73">
      <c r="A73" s="1" t="s">
        <v>939</v>
      </c>
      <c r="B73" s="92">
        <v>2.5714285714285716</v>
      </c>
      <c r="C73" s="1" t="s">
        <v>864</v>
      </c>
    </row>
    <row r="74">
      <c r="A74" s="1" t="s">
        <v>940</v>
      </c>
      <c r="B74" s="92">
        <v>2.5714285714285716</v>
      </c>
      <c r="C74" s="1" t="s">
        <v>864</v>
      </c>
    </row>
    <row r="75">
      <c r="A75" s="1" t="s">
        <v>941</v>
      </c>
      <c r="B75" s="92">
        <v>2.5714285714285716</v>
      </c>
      <c r="C75" s="1" t="s">
        <v>864</v>
      </c>
    </row>
    <row r="76">
      <c r="A76" s="1" t="s">
        <v>942</v>
      </c>
      <c r="B76" s="92">
        <v>2.5714285714285716</v>
      </c>
      <c r="C76" s="1" t="s">
        <v>864</v>
      </c>
    </row>
    <row r="77">
      <c r="A77" s="1" t="s">
        <v>943</v>
      </c>
      <c r="B77" s="92">
        <v>2.5714285714285716</v>
      </c>
      <c r="C77" s="1" t="s">
        <v>864</v>
      </c>
    </row>
    <row r="78">
      <c r="A78" s="1" t="s">
        <v>944</v>
      </c>
      <c r="B78" s="92">
        <v>2.5714285714285716</v>
      </c>
      <c r="C78" s="1" t="s">
        <v>864</v>
      </c>
    </row>
    <row r="79">
      <c r="A79" s="1" t="s">
        <v>945</v>
      </c>
      <c r="B79" s="92">
        <v>2.5714285714285716</v>
      </c>
      <c r="C79" s="1" t="s">
        <v>864</v>
      </c>
    </row>
    <row r="80">
      <c r="A80" s="1" t="s">
        <v>946</v>
      </c>
      <c r="B80" s="92">
        <v>2.5714285714285716</v>
      </c>
      <c r="C80" s="1" t="s">
        <v>864</v>
      </c>
    </row>
    <row r="81">
      <c r="A81" s="1" t="s">
        <v>947</v>
      </c>
      <c r="B81" s="92">
        <v>2.5714285714285716</v>
      </c>
      <c r="C81" s="1" t="s">
        <v>864</v>
      </c>
    </row>
    <row r="82">
      <c r="A82" s="1" t="s">
        <v>948</v>
      </c>
      <c r="B82" s="92">
        <v>2.5714285714285716</v>
      </c>
      <c r="C82" s="1" t="s">
        <v>864</v>
      </c>
    </row>
    <row r="83">
      <c r="A83" s="1" t="s">
        <v>949</v>
      </c>
      <c r="B83" s="92">
        <v>2.5714285714285716</v>
      </c>
      <c r="C83" s="1" t="s">
        <v>864</v>
      </c>
    </row>
    <row r="84">
      <c r="A84" s="1" t="s">
        <v>950</v>
      </c>
      <c r="B84" s="92">
        <v>2.5714285714285716</v>
      </c>
      <c r="C84" s="1" t="s">
        <v>864</v>
      </c>
    </row>
    <row r="85">
      <c r="A85" s="1" t="s">
        <v>951</v>
      </c>
      <c r="B85" s="92">
        <v>2.5714285714285716</v>
      </c>
      <c r="C85" s="1" t="s">
        <v>864</v>
      </c>
    </row>
    <row r="86">
      <c r="A86" s="1" t="s">
        <v>952</v>
      </c>
      <c r="B86" s="92">
        <v>2.5714285714285716</v>
      </c>
      <c r="C86" s="1" t="s">
        <v>864</v>
      </c>
    </row>
    <row r="87">
      <c r="A87" s="1" t="s">
        <v>953</v>
      </c>
      <c r="B87" s="92">
        <v>2.5714285714285716</v>
      </c>
      <c r="C87" s="1" t="s">
        <v>864</v>
      </c>
    </row>
    <row r="88">
      <c r="A88" s="1" t="s">
        <v>954</v>
      </c>
      <c r="B88" s="92">
        <v>2.5714285714285716</v>
      </c>
      <c r="C88" s="1" t="s">
        <v>864</v>
      </c>
    </row>
    <row r="89">
      <c r="A89" s="1" t="s">
        <v>955</v>
      </c>
      <c r="B89" s="92">
        <v>2.5714285714285716</v>
      </c>
      <c r="C89" s="1" t="s">
        <v>864</v>
      </c>
    </row>
    <row r="90">
      <c r="A90" s="1" t="s">
        <v>956</v>
      </c>
      <c r="B90" s="92">
        <v>2.5714285714285716</v>
      </c>
      <c r="C90" s="1" t="s">
        <v>864</v>
      </c>
    </row>
    <row r="91">
      <c r="A91" s="1" t="s">
        <v>957</v>
      </c>
      <c r="B91" s="92">
        <v>2.5714285714285716</v>
      </c>
      <c r="C91" s="1" t="s">
        <v>864</v>
      </c>
    </row>
    <row r="92">
      <c r="A92" s="1" t="s">
        <v>958</v>
      </c>
      <c r="B92" s="92">
        <v>2.5714285714285716</v>
      </c>
      <c r="C92" s="1" t="s">
        <v>864</v>
      </c>
    </row>
    <row r="93">
      <c r="A93" s="1" t="s">
        <v>959</v>
      </c>
      <c r="B93" s="92">
        <v>2.5714285714285716</v>
      </c>
      <c r="C93" s="1" t="s">
        <v>864</v>
      </c>
    </row>
    <row r="94">
      <c r="A94" s="1" t="s">
        <v>960</v>
      </c>
      <c r="B94" s="92">
        <v>2.5714285714285716</v>
      </c>
      <c r="C94" s="1" t="s">
        <v>864</v>
      </c>
    </row>
    <row r="95">
      <c r="A95" s="1" t="s">
        <v>961</v>
      </c>
      <c r="B95" s="92">
        <v>2.5714285714285716</v>
      </c>
      <c r="C95" s="1" t="s">
        <v>864</v>
      </c>
    </row>
    <row r="96">
      <c r="A96" s="1" t="s">
        <v>962</v>
      </c>
      <c r="B96" s="92">
        <v>2.5714285714285716</v>
      </c>
      <c r="C96" s="1" t="s">
        <v>864</v>
      </c>
    </row>
    <row r="97">
      <c r="A97" s="1" t="s">
        <v>963</v>
      </c>
      <c r="B97" s="92">
        <v>2.5714285714285716</v>
      </c>
      <c r="C97" s="1" t="s">
        <v>864</v>
      </c>
    </row>
    <row r="98">
      <c r="A98" s="1" t="s">
        <v>964</v>
      </c>
      <c r="B98" s="92">
        <v>2.5714285714285716</v>
      </c>
      <c r="C98" s="1" t="s">
        <v>864</v>
      </c>
    </row>
    <row r="99">
      <c r="A99" s="1" t="s">
        <v>965</v>
      </c>
      <c r="B99" s="92">
        <v>2.5714285714285716</v>
      </c>
      <c r="C99" s="1" t="s">
        <v>864</v>
      </c>
    </row>
    <row r="100">
      <c r="A100" s="1" t="s">
        <v>966</v>
      </c>
      <c r="B100" s="92">
        <v>2.5714285714285716</v>
      </c>
      <c r="C100" s="1" t="s">
        <v>864</v>
      </c>
    </row>
    <row r="101">
      <c r="A101" s="1" t="s">
        <v>967</v>
      </c>
      <c r="B101" s="92">
        <v>2.5714285714285716</v>
      </c>
      <c r="C101" s="1" t="s">
        <v>864</v>
      </c>
    </row>
    <row r="102">
      <c r="A102" s="1" t="s">
        <v>968</v>
      </c>
      <c r="B102" s="92">
        <v>2.5714285714285716</v>
      </c>
      <c r="C102" s="1" t="s">
        <v>864</v>
      </c>
    </row>
    <row r="103">
      <c r="A103" s="1" t="s">
        <v>969</v>
      </c>
      <c r="B103" s="92">
        <v>2.5714285714285716</v>
      </c>
      <c r="C103" s="1" t="s">
        <v>864</v>
      </c>
    </row>
    <row r="104">
      <c r="A104" s="1" t="s">
        <v>970</v>
      </c>
      <c r="B104" s="92">
        <v>2.5714285714285716</v>
      </c>
      <c r="C104" s="1" t="s">
        <v>864</v>
      </c>
    </row>
    <row r="105">
      <c r="A105" s="1" t="s">
        <v>971</v>
      </c>
      <c r="B105" s="92">
        <v>2.5714285714285716</v>
      </c>
      <c r="C105" s="1" t="s">
        <v>864</v>
      </c>
    </row>
    <row r="106">
      <c r="A106" s="1" t="s">
        <v>972</v>
      </c>
      <c r="B106" s="92">
        <v>2.5714285714285716</v>
      </c>
      <c r="C106" s="1" t="s">
        <v>864</v>
      </c>
    </row>
    <row r="107">
      <c r="A107" s="1" t="s">
        <v>973</v>
      </c>
      <c r="B107" s="92">
        <v>2.5714285714285716</v>
      </c>
      <c r="C107" s="1" t="s">
        <v>864</v>
      </c>
    </row>
    <row r="108">
      <c r="A108" s="1" t="s">
        <v>974</v>
      </c>
      <c r="B108" s="92">
        <v>2.5714285714285716</v>
      </c>
      <c r="C108" s="1" t="s">
        <v>864</v>
      </c>
    </row>
    <row r="109">
      <c r="A109" s="1" t="s">
        <v>975</v>
      </c>
      <c r="B109" s="92">
        <v>2.5714285714285716</v>
      </c>
      <c r="C109" s="1" t="s">
        <v>864</v>
      </c>
    </row>
    <row r="110">
      <c r="A110" s="1" t="s">
        <v>976</v>
      </c>
      <c r="B110" s="92">
        <v>2.5714285714285716</v>
      </c>
      <c r="C110" s="1" t="s">
        <v>864</v>
      </c>
    </row>
    <row r="111">
      <c r="A111" s="1" t="s">
        <v>977</v>
      </c>
      <c r="B111" s="92">
        <v>2.5714285714285716</v>
      </c>
      <c r="C111" s="1" t="s">
        <v>864</v>
      </c>
    </row>
    <row r="112">
      <c r="A112" s="1" t="s">
        <v>978</v>
      </c>
      <c r="B112" s="92">
        <v>2.5714285714285716</v>
      </c>
      <c r="C112" s="1" t="s">
        <v>864</v>
      </c>
    </row>
    <row r="113">
      <c r="A113" s="1" t="s">
        <v>979</v>
      </c>
      <c r="B113" s="92">
        <v>2.5714285714285716</v>
      </c>
      <c r="C113" s="1" t="s">
        <v>864</v>
      </c>
    </row>
    <row r="114">
      <c r="A114" s="1" t="s">
        <v>980</v>
      </c>
      <c r="B114" s="92">
        <v>2.5714285714285716</v>
      </c>
      <c r="C114" s="1" t="s">
        <v>864</v>
      </c>
    </row>
    <row r="115">
      <c r="A115" s="1" t="s">
        <v>981</v>
      </c>
      <c r="B115" s="92">
        <v>2.5714285714285716</v>
      </c>
      <c r="C115" s="1" t="s">
        <v>864</v>
      </c>
    </row>
    <row r="116">
      <c r="A116" s="1" t="s">
        <v>982</v>
      </c>
      <c r="B116" s="92">
        <v>2.5714285714285716</v>
      </c>
      <c r="C116" s="1" t="s">
        <v>864</v>
      </c>
    </row>
    <row r="117">
      <c r="A117" s="1" t="s">
        <v>983</v>
      </c>
      <c r="B117" s="92">
        <v>2.5714285714285716</v>
      </c>
      <c r="C117" s="1" t="s">
        <v>864</v>
      </c>
    </row>
    <row r="118">
      <c r="A118" s="1" t="s">
        <v>984</v>
      </c>
      <c r="B118" s="92">
        <v>2.5714285714285716</v>
      </c>
      <c r="C118" s="1" t="s">
        <v>864</v>
      </c>
    </row>
    <row r="119">
      <c r="A119" s="1" t="s">
        <v>985</v>
      </c>
      <c r="B119" s="92">
        <v>2.5714285714285716</v>
      </c>
      <c r="C119" s="1" t="s">
        <v>864</v>
      </c>
    </row>
    <row r="120">
      <c r="A120" s="1" t="s">
        <v>986</v>
      </c>
      <c r="B120" s="92">
        <v>2.5714285714285716</v>
      </c>
      <c r="C120" s="1" t="s">
        <v>864</v>
      </c>
    </row>
    <row r="121">
      <c r="A121" s="1" t="s">
        <v>987</v>
      </c>
      <c r="B121" s="92">
        <v>2.5714285714285716</v>
      </c>
      <c r="C121" s="1" t="s">
        <v>864</v>
      </c>
    </row>
    <row r="122">
      <c r="A122" s="1" t="s">
        <v>988</v>
      </c>
      <c r="B122" s="92">
        <v>2.5714285714285716</v>
      </c>
      <c r="C122" s="1" t="s">
        <v>864</v>
      </c>
    </row>
    <row r="123">
      <c r="A123" s="1" t="s">
        <v>989</v>
      </c>
      <c r="B123" s="92">
        <v>2.5714285714285716</v>
      </c>
      <c r="C123" s="1" t="s">
        <v>864</v>
      </c>
    </row>
    <row r="124">
      <c r="A124" s="1" t="s">
        <v>990</v>
      </c>
      <c r="B124" s="92">
        <v>2.5714285714285716</v>
      </c>
      <c r="C124" s="1" t="s">
        <v>864</v>
      </c>
    </row>
    <row r="125">
      <c r="A125" s="1" t="s">
        <v>991</v>
      </c>
      <c r="B125" s="92">
        <v>2.5714285714285716</v>
      </c>
      <c r="C125" s="1" t="s">
        <v>864</v>
      </c>
    </row>
    <row r="126">
      <c r="A126" s="1" t="s">
        <v>992</v>
      </c>
      <c r="B126" s="92">
        <v>2.5714285714285716</v>
      </c>
      <c r="C126" s="1" t="s">
        <v>864</v>
      </c>
    </row>
    <row r="127">
      <c r="A127" s="1" t="s">
        <v>993</v>
      </c>
      <c r="B127" s="92">
        <v>2.5714285714285716</v>
      </c>
      <c r="C127" s="1" t="s">
        <v>864</v>
      </c>
    </row>
    <row r="128">
      <c r="A128" s="1" t="s">
        <v>994</v>
      </c>
      <c r="B128" s="92">
        <v>2.5714285714285716</v>
      </c>
      <c r="C128" s="1" t="s">
        <v>864</v>
      </c>
    </row>
    <row r="129">
      <c r="A129" s="1" t="s">
        <v>995</v>
      </c>
      <c r="B129" s="92">
        <v>2.5714285714285716</v>
      </c>
      <c r="C129" s="1" t="s">
        <v>864</v>
      </c>
    </row>
    <row r="130">
      <c r="A130" s="1" t="s">
        <v>996</v>
      </c>
      <c r="B130" s="92">
        <v>2.5714285714285716</v>
      </c>
      <c r="C130" s="1" t="s">
        <v>864</v>
      </c>
    </row>
    <row r="131">
      <c r="A131" s="1" t="s">
        <v>997</v>
      </c>
      <c r="B131" s="92">
        <v>2.5714285714285716</v>
      </c>
      <c r="C131" s="1" t="s">
        <v>864</v>
      </c>
    </row>
    <row r="132">
      <c r="A132" s="1" t="s">
        <v>998</v>
      </c>
      <c r="B132" s="92">
        <v>2.5714285714285716</v>
      </c>
      <c r="C132" s="1" t="s">
        <v>864</v>
      </c>
    </row>
    <row r="133">
      <c r="A133" s="1" t="s">
        <v>999</v>
      </c>
      <c r="B133" s="92">
        <v>2.5714285714285716</v>
      </c>
      <c r="C133" s="1" t="s">
        <v>864</v>
      </c>
    </row>
    <row r="134">
      <c r="A134" s="1" t="s">
        <v>1000</v>
      </c>
      <c r="B134" s="92">
        <v>2.5714285714285716</v>
      </c>
      <c r="C134" s="1" t="s">
        <v>864</v>
      </c>
    </row>
    <row r="135">
      <c r="A135" s="1" t="s">
        <v>1001</v>
      </c>
      <c r="B135" s="92">
        <v>2.5714285714285716</v>
      </c>
      <c r="C135" s="1" t="s">
        <v>864</v>
      </c>
    </row>
    <row r="136">
      <c r="A136" s="1" t="s">
        <v>1002</v>
      </c>
      <c r="B136" s="92">
        <v>2.5714285714285716</v>
      </c>
      <c r="C136" s="1" t="s">
        <v>864</v>
      </c>
    </row>
    <row r="137">
      <c r="A137" s="1" t="s">
        <v>1003</v>
      </c>
      <c r="B137" s="92">
        <v>2.5714285714285716</v>
      </c>
      <c r="C137" s="1" t="s">
        <v>864</v>
      </c>
    </row>
    <row r="138">
      <c r="A138" s="1" t="s">
        <v>1004</v>
      </c>
      <c r="B138" s="92">
        <v>2.5714285714285716</v>
      </c>
      <c r="C138" s="1" t="s">
        <v>864</v>
      </c>
    </row>
    <row r="139">
      <c r="A139" s="1" t="s">
        <v>1005</v>
      </c>
      <c r="B139" s="92">
        <v>2.5714285714285716</v>
      </c>
      <c r="C139" s="1" t="s">
        <v>864</v>
      </c>
    </row>
    <row r="140">
      <c r="A140" s="1" t="s">
        <v>1006</v>
      </c>
      <c r="B140" s="92">
        <v>2.5714285714285716</v>
      </c>
      <c r="C140" s="1" t="s">
        <v>864</v>
      </c>
    </row>
    <row r="141">
      <c r="A141" s="1" t="s">
        <v>1007</v>
      </c>
      <c r="B141" s="92">
        <v>2.5714285714285716</v>
      </c>
      <c r="C141" s="1" t="s">
        <v>864</v>
      </c>
    </row>
    <row r="142">
      <c r="A142" s="1" t="s">
        <v>1008</v>
      </c>
      <c r="B142" s="92">
        <v>2.5714285714285716</v>
      </c>
      <c r="C142" s="1" t="s">
        <v>864</v>
      </c>
    </row>
    <row r="143">
      <c r="A143" s="1" t="s">
        <v>1009</v>
      </c>
      <c r="B143" s="92">
        <v>2.5714285714285716</v>
      </c>
      <c r="C143" s="1" t="s">
        <v>864</v>
      </c>
    </row>
    <row r="144">
      <c r="A144" s="1" t="s">
        <v>1010</v>
      </c>
      <c r="B144" s="92">
        <v>2.5714285714285716</v>
      </c>
      <c r="C144" s="1" t="s">
        <v>864</v>
      </c>
    </row>
    <row r="145">
      <c r="A145" s="1" t="s">
        <v>1011</v>
      </c>
      <c r="B145" s="92">
        <v>2.5714285714285716</v>
      </c>
      <c r="C145" s="1" t="s">
        <v>864</v>
      </c>
    </row>
    <row r="146">
      <c r="A146" s="1" t="s">
        <v>1012</v>
      </c>
      <c r="B146" s="92">
        <v>2.5714285714285716</v>
      </c>
      <c r="C146" s="1" t="s">
        <v>864</v>
      </c>
    </row>
    <row r="147">
      <c r="A147" s="1" t="s">
        <v>1013</v>
      </c>
      <c r="B147" s="92">
        <v>2.5714285714285716</v>
      </c>
      <c r="C147" s="1" t="s">
        <v>864</v>
      </c>
    </row>
    <row r="148">
      <c r="A148" s="1" t="s">
        <v>1014</v>
      </c>
      <c r="B148" s="92">
        <v>2.5714285714285716</v>
      </c>
      <c r="C148" s="1" t="s">
        <v>864</v>
      </c>
    </row>
    <row r="149">
      <c r="A149" s="1" t="s">
        <v>1015</v>
      </c>
      <c r="B149" s="92">
        <v>2.5714285714285716</v>
      </c>
      <c r="C149" s="1" t="s">
        <v>864</v>
      </c>
    </row>
    <row r="150">
      <c r="A150" s="1" t="s">
        <v>1016</v>
      </c>
      <c r="B150" s="92">
        <v>2.5714285714285716</v>
      </c>
      <c r="C150" s="1" t="s">
        <v>864</v>
      </c>
    </row>
    <row r="151">
      <c r="A151" s="1" t="s">
        <v>1017</v>
      </c>
      <c r="B151" s="92">
        <v>2.5714285714285716</v>
      </c>
      <c r="C151" s="1" t="s">
        <v>864</v>
      </c>
    </row>
    <row r="152">
      <c r="A152" s="1" t="s">
        <v>1018</v>
      </c>
      <c r="B152" s="92">
        <v>2.5714285714285716</v>
      </c>
      <c r="C152" s="1" t="s">
        <v>864</v>
      </c>
    </row>
    <row r="153">
      <c r="A153" s="1" t="s">
        <v>1019</v>
      </c>
      <c r="B153" s="92">
        <v>2.5714285714285716</v>
      </c>
      <c r="C153" s="1" t="s">
        <v>864</v>
      </c>
    </row>
    <row r="154">
      <c r="A154" s="1" t="s">
        <v>1020</v>
      </c>
      <c r="B154" s="92">
        <v>2.5714285714285716</v>
      </c>
      <c r="C154" s="1" t="s">
        <v>864</v>
      </c>
    </row>
    <row r="155">
      <c r="A155" s="1" t="s">
        <v>1021</v>
      </c>
      <c r="B155" s="92">
        <v>2.5714285714285716</v>
      </c>
      <c r="C155" s="1" t="s">
        <v>864</v>
      </c>
    </row>
    <row r="156">
      <c r="A156" s="1" t="s">
        <v>1022</v>
      </c>
      <c r="B156" s="92">
        <v>2.5714285714285716</v>
      </c>
      <c r="C156" s="1" t="s">
        <v>864</v>
      </c>
    </row>
    <row r="157">
      <c r="A157" s="1" t="s">
        <v>1023</v>
      </c>
      <c r="B157" s="92">
        <v>2.5714285714285716</v>
      </c>
      <c r="C157" s="1" t="s">
        <v>864</v>
      </c>
    </row>
    <row r="158">
      <c r="A158" s="1" t="s">
        <v>1024</v>
      </c>
      <c r="B158" s="92">
        <v>2.5714285714285716</v>
      </c>
      <c r="C158" s="1" t="s">
        <v>864</v>
      </c>
    </row>
    <row r="159">
      <c r="A159" s="1" t="s">
        <v>1025</v>
      </c>
      <c r="B159" s="92">
        <v>2.5714285714285716</v>
      </c>
      <c r="C159" s="1" t="s">
        <v>864</v>
      </c>
    </row>
    <row r="160">
      <c r="A160" s="1" t="s">
        <v>1026</v>
      </c>
      <c r="B160" s="92">
        <v>2.5714285714285716</v>
      </c>
      <c r="C160" s="1" t="s">
        <v>864</v>
      </c>
    </row>
    <row r="161">
      <c r="A161" s="1" t="s">
        <v>1027</v>
      </c>
      <c r="B161" s="92">
        <v>2.5714285714285716</v>
      </c>
      <c r="C161" s="1" t="s">
        <v>864</v>
      </c>
    </row>
    <row r="162">
      <c r="A162" s="1" t="s">
        <v>1028</v>
      </c>
      <c r="B162" s="92">
        <v>2.5714285714285716</v>
      </c>
      <c r="C162" s="1" t="s">
        <v>864</v>
      </c>
    </row>
    <row r="163">
      <c r="A163" s="1" t="s">
        <v>1029</v>
      </c>
      <c r="B163" s="92">
        <v>2.5714285714285716</v>
      </c>
      <c r="C163" s="1" t="s">
        <v>864</v>
      </c>
    </row>
    <row r="164">
      <c r="A164" s="1" t="s">
        <v>1030</v>
      </c>
      <c r="B164" s="92">
        <v>2.5714285714285716</v>
      </c>
      <c r="C164" s="1" t="s">
        <v>864</v>
      </c>
    </row>
    <row r="165">
      <c r="A165" s="1" t="s">
        <v>1031</v>
      </c>
      <c r="B165" s="92">
        <v>2.5714285714285716</v>
      </c>
      <c r="C165" s="1" t="s">
        <v>864</v>
      </c>
    </row>
    <row r="166">
      <c r="A166" s="1" t="s">
        <v>1032</v>
      </c>
      <c r="B166" s="92">
        <v>2.5714285714285716</v>
      </c>
      <c r="C166" s="1" t="s">
        <v>864</v>
      </c>
    </row>
    <row r="167">
      <c r="A167" s="1" t="s">
        <v>1033</v>
      </c>
      <c r="B167" s="92">
        <v>2.5714285714285716</v>
      </c>
      <c r="C167" s="1" t="s">
        <v>864</v>
      </c>
    </row>
    <row r="168">
      <c r="A168" s="1" t="s">
        <v>1034</v>
      </c>
      <c r="B168" s="92">
        <v>2.5714285714285716</v>
      </c>
      <c r="C168" s="1" t="s">
        <v>864</v>
      </c>
    </row>
    <row r="169">
      <c r="A169" s="1" t="s">
        <v>1035</v>
      </c>
      <c r="B169" s="92">
        <v>2.5714285714285716</v>
      </c>
      <c r="C169" s="1" t="s">
        <v>864</v>
      </c>
    </row>
    <row r="170">
      <c r="A170" s="1" t="s">
        <v>1036</v>
      </c>
      <c r="B170" s="92">
        <v>2.5714285714285716</v>
      </c>
      <c r="C170" s="1" t="s">
        <v>864</v>
      </c>
    </row>
    <row r="171">
      <c r="A171" s="1" t="s">
        <v>1037</v>
      </c>
      <c r="B171" s="92">
        <v>2.5714285714285716</v>
      </c>
      <c r="C171" s="1" t="s">
        <v>864</v>
      </c>
    </row>
    <row r="172">
      <c r="A172" s="1" t="s">
        <v>1038</v>
      </c>
      <c r="B172" s="92">
        <v>2.5714285714285716</v>
      </c>
      <c r="C172" s="1" t="s">
        <v>864</v>
      </c>
    </row>
    <row r="173">
      <c r="A173" s="1" t="s">
        <v>1039</v>
      </c>
      <c r="B173" s="92">
        <v>2.5714285714285716</v>
      </c>
      <c r="C173" s="1" t="s">
        <v>864</v>
      </c>
    </row>
    <row r="174">
      <c r="A174" s="1" t="s">
        <v>1040</v>
      </c>
      <c r="B174" s="92">
        <v>2.5714285714285716</v>
      </c>
      <c r="C174" s="1" t="s">
        <v>864</v>
      </c>
    </row>
    <row r="175">
      <c r="A175" s="1" t="s">
        <v>1042</v>
      </c>
      <c r="B175" s="92">
        <v>2.5714285714285716</v>
      </c>
      <c r="C175" s="1" t="s">
        <v>864</v>
      </c>
    </row>
    <row r="176">
      <c r="A176" s="1" t="s">
        <v>1044</v>
      </c>
      <c r="B176" s="92">
        <v>2.5714285714285716</v>
      </c>
      <c r="C176" s="1" t="s">
        <v>864</v>
      </c>
    </row>
    <row r="177">
      <c r="A177" s="1" t="s">
        <v>1045</v>
      </c>
      <c r="B177" s="92">
        <v>2.5714285714285716</v>
      </c>
      <c r="C177" s="1" t="s">
        <v>864</v>
      </c>
    </row>
    <row r="178">
      <c r="A178" s="1" t="s">
        <v>1046</v>
      </c>
      <c r="B178" s="92">
        <v>2.5714285714285716</v>
      </c>
      <c r="C178" s="1" t="s">
        <v>864</v>
      </c>
    </row>
    <row r="179">
      <c r="A179" s="1" t="s">
        <v>1047</v>
      </c>
      <c r="B179" s="92">
        <v>2.5714285714285716</v>
      </c>
      <c r="C179" s="1" t="s">
        <v>864</v>
      </c>
    </row>
    <row r="180">
      <c r="A180" s="1" t="s">
        <v>1049</v>
      </c>
      <c r="B180" s="92">
        <v>2.5714285714285716</v>
      </c>
      <c r="C180" s="1" t="s">
        <v>864</v>
      </c>
    </row>
    <row r="181">
      <c r="A181" s="1" t="s">
        <v>1050</v>
      </c>
      <c r="B181" s="92">
        <v>2.5714285714285716</v>
      </c>
      <c r="C181" s="1" t="s">
        <v>864</v>
      </c>
    </row>
    <row r="182">
      <c r="A182" s="1" t="s">
        <v>1051</v>
      </c>
      <c r="B182" s="92">
        <v>2.5714285714285716</v>
      </c>
      <c r="C182" s="1" t="s">
        <v>864</v>
      </c>
    </row>
    <row r="183">
      <c r="A183" s="1" t="s">
        <v>1052</v>
      </c>
      <c r="B183" s="92">
        <v>2.5714285714285716</v>
      </c>
      <c r="C183" s="1" t="s">
        <v>864</v>
      </c>
    </row>
    <row r="184">
      <c r="A184" s="1" t="s">
        <v>1053</v>
      </c>
      <c r="B184" s="92">
        <v>2.5714285714285716</v>
      </c>
      <c r="C184" s="1" t="s">
        <v>864</v>
      </c>
    </row>
    <row r="185">
      <c r="A185" s="1" t="s">
        <v>1054</v>
      </c>
      <c r="B185" s="92">
        <v>2.5714285714285716</v>
      </c>
      <c r="C185" s="1" t="s">
        <v>864</v>
      </c>
    </row>
    <row r="186">
      <c r="A186" s="1" t="s">
        <v>1055</v>
      </c>
      <c r="B186" s="92">
        <v>2.5714285714285716</v>
      </c>
      <c r="C186" s="1" t="s">
        <v>864</v>
      </c>
    </row>
    <row r="187">
      <c r="A187" s="1" t="s">
        <v>1056</v>
      </c>
      <c r="B187" s="92">
        <v>2.5714285714285716</v>
      </c>
      <c r="C187" s="1" t="s">
        <v>864</v>
      </c>
    </row>
    <row r="188">
      <c r="A188" s="1" t="s">
        <v>1057</v>
      </c>
      <c r="B188" s="92">
        <v>2.5714285714285716</v>
      </c>
      <c r="C188" s="1" t="s">
        <v>864</v>
      </c>
    </row>
    <row r="189">
      <c r="A189" s="1" t="s">
        <v>1058</v>
      </c>
      <c r="B189" s="92">
        <v>2.5714285714285716</v>
      </c>
      <c r="C189" s="1" t="s">
        <v>864</v>
      </c>
    </row>
    <row r="190">
      <c r="A190" s="1" t="s">
        <v>1059</v>
      </c>
      <c r="B190" s="92">
        <v>2.5714285714285716</v>
      </c>
      <c r="C190" s="1" t="s">
        <v>864</v>
      </c>
    </row>
    <row r="191">
      <c r="A191" s="1" t="s">
        <v>1060</v>
      </c>
      <c r="B191" s="92">
        <v>2.5714285714285716</v>
      </c>
      <c r="C191" s="1" t="s">
        <v>864</v>
      </c>
    </row>
    <row r="192">
      <c r="A192" s="1" t="s">
        <v>1061</v>
      </c>
      <c r="B192" s="92">
        <v>2.5714285714285716</v>
      </c>
      <c r="C192" s="1" t="s">
        <v>864</v>
      </c>
    </row>
    <row r="193">
      <c r="A193" s="1" t="s">
        <v>1062</v>
      </c>
      <c r="B193" s="92">
        <v>2.5714285714285716</v>
      </c>
      <c r="C193" s="1" t="s">
        <v>864</v>
      </c>
    </row>
    <row r="194">
      <c r="A194" s="1" t="s">
        <v>1063</v>
      </c>
      <c r="B194" s="92">
        <v>2.5714285714285716</v>
      </c>
      <c r="C194" s="1" t="s">
        <v>864</v>
      </c>
    </row>
    <row r="195">
      <c r="A195" s="1" t="s">
        <v>1064</v>
      </c>
      <c r="B195" s="92">
        <v>2.5714285714285716</v>
      </c>
      <c r="C195" s="1" t="s">
        <v>864</v>
      </c>
    </row>
    <row r="196">
      <c r="A196" s="1" t="s">
        <v>1065</v>
      </c>
      <c r="B196" s="92">
        <v>2.5714285714285716</v>
      </c>
      <c r="C196" s="1" t="s">
        <v>864</v>
      </c>
    </row>
    <row r="197">
      <c r="A197" s="1" t="s">
        <v>1066</v>
      </c>
      <c r="B197" s="92">
        <v>2.5714285714285716</v>
      </c>
      <c r="C197" s="1" t="s">
        <v>864</v>
      </c>
    </row>
    <row r="198">
      <c r="A198" s="1" t="s">
        <v>1067</v>
      </c>
      <c r="B198" s="92">
        <v>2.5714285714285716</v>
      </c>
      <c r="C198" s="1" t="s">
        <v>864</v>
      </c>
    </row>
    <row r="199">
      <c r="A199" s="1" t="s">
        <v>1068</v>
      </c>
      <c r="B199" s="92">
        <v>2.5714285714285716</v>
      </c>
      <c r="C199" s="1" t="s">
        <v>864</v>
      </c>
    </row>
    <row r="200">
      <c r="A200" s="1" t="s">
        <v>1069</v>
      </c>
      <c r="B200" s="92">
        <v>2.5714285714285716</v>
      </c>
      <c r="C200" s="1" t="s">
        <v>864</v>
      </c>
    </row>
    <row r="201">
      <c r="A201" s="1" t="s">
        <v>1070</v>
      </c>
      <c r="B201" s="92">
        <v>2.5714285714285716</v>
      </c>
      <c r="C201" s="1" t="s">
        <v>864</v>
      </c>
    </row>
    <row r="202">
      <c r="A202" s="1" t="s">
        <v>1071</v>
      </c>
      <c r="B202" s="92">
        <v>2.5714285714285716</v>
      </c>
      <c r="C202" s="1" t="s">
        <v>864</v>
      </c>
    </row>
    <row r="203">
      <c r="A203" s="1" t="s">
        <v>1072</v>
      </c>
      <c r="B203" s="92">
        <v>2.5714285714285716</v>
      </c>
      <c r="C203" s="1" t="s">
        <v>864</v>
      </c>
    </row>
    <row r="204">
      <c r="A204" s="1" t="s">
        <v>1073</v>
      </c>
      <c r="B204" s="92">
        <v>2.5714285714285716</v>
      </c>
      <c r="C204" s="1" t="s">
        <v>864</v>
      </c>
    </row>
    <row r="205">
      <c r="A205" s="1" t="s">
        <v>1074</v>
      </c>
      <c r="B205" s="92">
        <v>2.5714285714285716</v>
      </c>
      <c r="C205" s="1" t="s">
        <v>864</v>
      </c>
    </row>
    <row r="206">
      <c r="A206" s="1" t="s">
        <v>1075</v>
      </c>
      <c r="B206" s="92">
        <v>2.5714285714285716</v>
      </c>
      <c r="C206" s="1" t="s">
        <v>864</v>
      </c>
    </row>
    <row r="207">
      <c r="A207" s="1" t="s">
        <v>1076</v>
      </c>
      <c r="B207" s="92">
        <v>2.5714285714285716</v>
      </c>
      <c r="C207" s="1" t="s">
        <v>864</v>
      </c>
    </row>
    <row r="208">
      <c r="A208" s="1" t="s">
        <v>1077</v>
      </c>
      <c r="B208" s="92">
        <v>2.5714285714285716</v>
      </c>
      <c r="C208" s="1" t="s">
        <v>864</v>
      </c>
    </row>
    <row r="209">
      <c r="A209" s="1" t="s">
        <v>1078</v>
      </c>
      <c r="B209" s="92">
        <v>2.5714285714285716</v>
      </c>
      <c r="C209" s="1" t="s">
        <v>864</v>
      </c>
    </row>
    <row r="210">
      <c r="A210" s="1" t="s">
        <v>1079</v>
      </c>
      <c r="B210" s="92">
        <v>2.5714285714285716</v>
      </c>
      <c r="C210" s="1" t="s">
        <v>864</v>
      </c>
    </row>
    <row r="211">
      <c r="A211" s="1" t="s">
        <v>1080</v>
      </c>
      <c r="B211" s="92">
        <v>2.5714285714285716</v>
      </c>
      <c r="C211" s="1" t="s">
        <v>864</v>
      </c>
    </row>
    <row r="212">
      <c r="A212" s="1" t="s">
        <v>1081</v>
      </c>
      <c r="B212" s="92">
        <v>2.5714285714285716</v>
      </c>
      <c r="C212" s="1" t="s">
        <v>864</v>
      </c>
    </row>
    <row r="213">
      <c r="A213" s="1" t="s">
        <v>1082</v>
      </c>
      <c r="B213" s="92">
        <v>2.5714285714285716</v>
      </c>
      <c r="C213" s="1" t="s">
        <v>864</v>
      </c>
    </row>
    <row r="214">
      <c r="A214" s="1" t="s">
        <v>1083</v>
      </c>
      <c r="B214" s="92">
        <v>2.5714285714285716</v>
      </c>
      <c r="C214" s="1" t="s">
        <v>864</v>
      </c>
    </row>
    <row r="215">
      <c r="A215" s="1" t="s">
        <v>1084</v>
      </c>
      <c r="B215" s="92">
        <v>2.5714285714285716</v>
      </c>
      <c r="C215" s="1" t="s">
        <v>864</v>
      </c>
    </row>
    <row r="216">
      <c r="A216" s="1" t="s">
        <v>1085</v>
      </c>
      <c r="B216" s="92">
        <v>2.5714285714285716</v>
      </c>
      <c r="C216" s="1" t="s">
        <v>864</v>
      </c>
    </row>
    <row r="217">
      <c r="A217" s="1" t="s">
        <v>1086</v>
      </c>
      <c r="B217" s="92">
        <v>2.5714285714285716</v>
      </c>
      <c r="C217" s="1" t="s">
        <v>864</v>
      </c>
    </row>
    <row r="218">
      <c r="A218" s="1" t="s">
        <v>1087</v>
      </c>
      <c r="B218" s="92">
        <v>2.5714285714285716</v>
      </c>
      <c r="C218" s="1" t="s">
        <v>864</v>
      </c>
    </row>
    <row r="219">
      <c r="A219" s="1" t="s">
        <v>1088</v>
      </c>
      <c r="B219" s="92">
        <v>2.5714285714285716</v>
      </c>
      <c r="C219" s="1" t="s">
        <v>864</v>
      </c>
    </row>
    <row r="220">
      <c r="A220" s="1" t="s">
        <v>1089</v>
      </c>
      <c r="B220" s="92">
        <v>2.5714285714285716</v>
      </c>
      <c r="C220" s="1" t="s">
        <v>864</v>
      </c>
    </row>
    <row r="221">
      <c r="A221" s="1" t="s">
        <v>1090</v>
      </c>
      <c r="B221" s="92">
        <v>2.5714285714285716</v>
      </c>
      <c r="C221" s="1" t="s">
        <v>864</v>
      </c>
    </row>
    <row r="222">
      <c r="A222" s="1" t="s">
        <v>1091</v>
      </c>
      <c r="B222" s="92">
        <v>2.5714285714285716</v>
      </c>
      <c r="C222" s="1" t="s">
        <v>864</v>
      </c>
    </row>
    <row r="223">
      <c r="A223" s="1" t="s">
        <v>1092</v>
      </c>
      <c r="B223" s="92">
        <v>2.5714285714285716</v>
      </c>
      <c r="C223" s="1" t="s">
        <v>864</v>
      </c>
    </row>
    <row r="224">
      <c r="A224" s="1" t="s">
        <v>1093</v>
      </c>
      <c r="B224" s="92">
        <v>2.5714285714285716</v>
      </c>
      <c r="C224" s="1" t="s">
        <v>864</v>
      </c>
    </row>
    <row r="225">
      <c r="A225" s="1" t="s">
        <v>1094</v>
      </c>
      <c r="B225" s="92">
        <v>2.5714285714285716</v>
      </c>
      <c r="C225" s="1" t="s">
        <v>864</v>
      </c>
    </row>
    <row r="226">
      <c r="A226" s="1" t="s">
        <v>1095</v>
      </c>
      <c r="B226" s="92">
        <v>2.5714285714285716</v>
      </c>
      <c r="C226" s="1" t="s">
        <v>864</v>
      </c>
    </row>
    <row r="227">
      <c r="A227" s="1" t="s">
        <v>1096</v>
      </c>
      <c r="B227" s="92">
        <v>2.642857142857143</v>
      </c>
      <c r="C227" s="1" t="s">
        <v>864</v>
      </c>
    </row>
    <row r="228">
      <c r="A228" s="1" t="s">
        <v>1097</v>
      </c>
      <c r="B228" s="92">
        <v>2.642857142857143</v>
      </c>
      <c r="C228" s="1" t="s">
        <v>864</v>
      </c>
    </row>
    <row r="229">
      <c r="A229" s="1" t="s">
        <v>1098</v>
      </c>
      <c r="B229" s="92">
        <v>2.642857142857143</v>
      </c>
      <c r="C229" s="1" t="s">
        <v>864</v>
      </c>
    </row>
    <row r="230">
      <c r="A230" s="1" t="s">
        <v>1099</v>
      </c>
      <c r="B230" s="92">
        <v>2.642857142857143</v>
      </c>
      <c r="C230" s="1" t="s">
        <v>864</v>
      </c>
    </row>
    <row r="231">
      <c r="A231" s="1" t="s">
        <v>1100</v>
      </c>
      <c r="B231" s="92">
        <v>2.642857142857143</v>
      </c>
      <c r="C231" s="1" t="s">
        <v>864</v>
      </c>
    </row>
    <row r="232">
      <c r="A232" s="1" t="s">
        <v>1101</v>
      </c>
      <c r="B232" s="92">
        <v>2.642857142857143</v>
      </c>
      <c r="C232" s="1" t="s">
        <v>864</v>
      </c>
    </row>
    <row r="233">
      <c r="A233" s="1" t="s">
        <v>1102</v>
      </c>
      <c r="B233" s="92">
        <v>2.642857142857143</v>
      </c>
      <c r="C233" s="1" t="s">
        <v>864</v>
      </c>
    </row>
    <row r="234">
      <c r="A234" s="1" t="s">
        <v>1103</v>
      </c>
      <c r="B234" s="92">
        <v>2.642857142857143</v>
      </c>
      <c r="C234" s="1" t="s">
        <v>864</v>
      </c>
    </row>
    <row r="235">
      <c r="A235" s="1" t="s">
        <v>1104</v>
      </c>
      <c r="B235" s="92">
        <v>2.642857142857143</v>
      </c>
      <c r="C235" s="1" t="s">
        <v>864</v>
      </c>
    </row>
    <row r="236">
      <c r="A236" s="1" t="s">
        <v>1105</v>
      </c>
      <c r="B236" s="92">
        <v>2.642857142857143</v>
      </c>
      <c r="C236" s="1" t="s">
        <v>864</v>
      </c>
    </row>
    <row r="237">
      <c r="A237" s="1" t="s">
        <v>1106</v>
      </c>
      <c r="B237" s="92">
        <v>2.642857142857143</v>
      </c>
      <c r="C237" s="1" t="s">
        <v>864</v>
      </c>
    </row>
    <row r="238">
      <c r="A238" s="1" t="s">
        <v>1107</v>
      </c>
      <c r="B238" s="92">
        <v>2.642857142857143</v>
      </c>
      <c r="C238" s="1" t="s">
        <v>864</v>
      </c>
    </row>
    <row r="239">
      <c r="A239" s="1" t="s">
        <v>1108</v>
      </c>
      <c r="B239" s="92">
        <v>2.642857142857143</v>
      </c>
      <c r="C239" s="1" t="s">
        <v>864</v>
      </c>
    </row>
    <row r="240">
      <c r="A240" s="1" t="s">
        <v>1109</v>
      </c>
      <c r="B240" s="92">
        <v>2.642857142857143</v>
      </c>
      <c r="C240" s="1" t="s">
        <v>864</v>
      </c>
    </row>
    <row r="241">
      <c r="A241" s="1" t="s">
        <v>1110</v>
      </c>
      <c r="B241" s="92">
        <v>2.642857142857143</v>
      </c>
      <c r="C241" s="1" t="s">
        <v>864</v>
      </c>
    </row>
    <row r="242">
      <c r="A242" s="1" t="s">
        <v>1111</v>
      </c>
      <c r="B242" s="92">
        <v>2.642857142857143</v>
      </c>
      <c r="C242" s="1" t="s">
        <v>864</v>
      </c>
    </row>
    <row r="243">
      <c r="A243" s="1" t="s">
        <v>1112</v>
      </c>
      <c r="B243" s="92">
        <v>2.642857142857143</v>
      </c>
      <c r="C243" s="1" t="s">
        <v>864</v>
      </c>
    </row>
    <row r="244">
      <c r="A244" s="1" t="s">
        <v>1113</v>
      </c>
      <c r="B244" s="92">
        <v>2.642857142857143</v>
      </c>
      <c r="C244" s="1" t="s">
        <v>864</v>
      </c>
    </row>
    <row r="245">
      <c r="A245" s="1" t="s">
        <v>1114</v>
      </c>
      <c r="B245" s="92">
        <v>2.642857142857143</v>
      </c>
      <c r="C245" s="1" t="s">
        <v>864</v>
      </c>
    </row>
    <row r="246">
      <c r="A246" s="1" t="s">
        <v>1115</v>
      </c>
      <c r="B246" s="92">
        <v>2.642857142857143</v>
      </c>
      <c r="C246" s="1" t="s">
        <v>864</v>
      </c>
    </row>
    <row r="247">
      <c r="A247" s="1" t="s">
        <v>1116</v>
      </c>
      <c r="B247" s="92">
        <v>2.642857142857143</v>
      </c>
      <c r="C247" s="1" t="s">
        <v>864</v>
      </c>
    </row>
    <row r="248">
      <c r="A248" s="1" t="s">
        <v>1117</v>
      </c>
      <c r="B248" s="92">
        <v>2.642857142857143</v>
      </c>
      <c r="C248" s="1" t="s">
        <v>864</v>
      </c>
    </row>
    <row r="249">
      <c r="A249" s="1" t="s">
        <v>1118</v>
      </c>
      <c r="B249" s="92">
        <v>2.642857142857143</v>
      </c>
      <c r="C249" s="1" t="s">
        <v>864</v>
      </c>
    </row>
    <row r="250">
      <c r="A250" s="1" t="s">
        <v>1119</v>
      </c>
      <c r="B250" s="92">
        <v>2.642857142857143</v>
      </c>
      <c r="C250" s="1" t="s">
        <v>864</v>
      </c>
    </row>
    <row r="251">
      <c r="A251" s="1" t="s">
        <v>1120</v>
      </c>
      <c r="B251" s="92">
        <v>2.642857142857143</v>
      </c>
      <c r="C251" s="1" t="s">
        <v>864</v>
      </c>
    </row>
    <row r="252">
      <c r="A252" s="1" t="s">
        <v>1121</v>
      </c>
      <c r="B252" s="92">
        <v>2.642857142857143</v>
      </c>
      <c r="C252" s="1" t="s">
        <v>864</v>
      </c>
    </row>
    <row r="253">
      <c r="A253" s="1" t="s">
        <v>1122</v>
      </c>
      <c r="B253" s="92">
        <v>2.642857142857143</v>
      </c>
      <c r="C253" s="1" t="s">
        <v>864</v>
      </c>
    </row>
    <row r="254">
      <c r="A254" s="1" t="s">
        <v>1123</v>
      </c>
      <c r="B254" s="92">
        <v>2.642857142857143</v>
      </c>
      <c r="C254" s="1" t="s">
        <v>864</v>
      </c>
    </row>
    <row r="255">
      <c r="A255" s="1" t="s">
        <v>1124</v>
      </c>
      <c r="B255" s="92">
        <v>2.642857142857143</v>
      </c>
      <c r="C255" s="1" t="s">
        <v>864</v>
      </c>
    </row>
    <row r="256">
      <c r="A256" s="1" t="s">
        <v>1125</v>
      </c>
      <c r="B256" s="92">
        <v>2.642857142857143</v>
      </c>
      <c r="C256" s="1" t="s">
        <v>864</v>
      </c>
    </row>
    <row r="257">
      <c r="A257" s="1" t="s">
        <v>1126</v>
      </c>
      <c r="B257" s="92">
        <v>2.642857142857143</v>
      </c>
      <c r="C257" s="1" t="s">
        <v>864</v>
      </c>
    </row>
    <row r="258">
      <c r="A258" s="1" t="s">
        <v>1127</v>
      </c>
      <c r="B258" s="92">
        <v>2.642857142857143</v>
      </c>
      <c r="C258" s="1" t="s">
        <v>864</v>
      </c>
    </row>
    <row r="259">
      <c r="A259" s="1" t="s">
        <v>1128</v>
      </c>
      <c r="B259" s="92">
        <v>2.642857142857143</v>
      </c>
      <c r="C259" s="1" t="s">
        <v>864</v>
      </c>
    </row>
    <row r="260">
      <c r="A260" s="1" t="s">
        <v>1129</v>
      </c>
      <c r="B260" s="92">
        <v>2.642857142857143</v>
      </c>
      <c r="C260" s="1" t="s">
        <v>864</v>
      </c>
    </row>
    <row r="261">
      <c r="A261" s="1" t="s">
        <v>1130</v>
      </c>
      <c r="B261" s="92">
        <v>2.642857142857143</v>
      </c>
      <c r="C261" s="1" t="s">
        <v>864</v>
      </c>
    </row>
    <row r="262">
      <c r="A262" s="1" t="s">
        <v>1131</v>
      </c>
      <c r="B262" s="92">
        <v>2.642857142857143</v>
      </c>
      <c r="C262" s="1" t="s">
        <v>864</v>
      </c>
    </row>
    <row r="263">
      <c r="A263" s="1" t="s">
        <v>1132</v>
      </c>
      <c r="B263" s="92">
        <v>2.642857142857143</v>
      </c>
      <c r="C263" s="1" t="s">
        <v>864</v>
      </c>
    </row>
    <row r="264">
      <c r="A264" s="1" t="s">
        <v>1133</v>
      </c>
      <c r="B264" s="92">
        <v>2.642857142857143</v>
      </c>
      <c r="C264" s="1" t="s">
        <v>864</v>
      </c>
    </row>
    <row r="265">
      <c r="A265" s="1" t="s">
        <v>1134</v>
      </c>
      <c r="B265" s="92">
        <v>2.642857142857143</v>
      </c>
      <c r="C265" s="1" t="s">
        <v>864</v>
      </c>
    </row>
    <row r="266">
      <c r="A266" s="1" t="s">
        <v>1135</v>
      </c>
      <c r="B266" s="92">
        <v>2.642857142857143</v>
      </c>
      <c r="C266" s="1" t="s">
        <v>864</v>
      </c>
    </row>
    <row r="267">
      <c r="A267" s="1" t="s">
        <v>1136</v>
      </c>
      <c r="B267" s="92">
        <v>2.642857142857143</v>
      </c>
      <c r="C267" s="1" t="s">
        <v>864</v>
      </c>
    </row>
    <row r="268">
      <c r="A268" s="1" t="s">
        <v>1137</v>
      </c>
      <c r="B268" s="92">
        <v>2.642857142857143</v>
      </c>
      <c r="C268" s="1" t="s">
        <v>864</v>
      </c>
    </row>
    <row r="269">
      <c r="A269" s="1" t="s">
        <v>1138</v>
      </c>
      <c r="B269" s="92">
        <v>2.642857142857143</v>
      </c>
      <c r="C269" s="1" t="s">
        <v>864</v>
      </c>
    </row>
    <row r="270">
      <c r="A270" s="1" t="s">
        <v>1139</v>
      </c>
      <c r="B270" s="92">
        <v>2.642857142857143</v>
      </c>
      <c r="C270" s="1" t="s">
        <v>864</v>
      </c>
    </row>
    <row r="271">
      <c r="A271" s="1" t="s">
        <v>1140</v>
      </c>
      <c r="B271" s="92">
        <v>2.642857142857143</v>
      </c>
      <c r="C271" s="1" t="s">
        <v>864</v>
      </c>
    </row>
    <row r="272">
      <c r="A272" s="1" t="s">
        <v>1141</v>
      </c>
      <c r="B272" s="92">
        <v>2.642857142857143</v>
      </c>
      <c r="C272" s="1" t="s">
        <v>864</v>
      </c>
    </row>
    <row r="273">
      <c r="A273" s="1" t="s">
        <v>1142</v>
      </c>
      <c r="B273" s="92">
        <v>2.642857142857143</v>
      </c>
      <c r="C273" s="1" t="s">
        <v>864</v>
      </c>
    </row>
    <row r="274">
      <c r="A274" s="1" t="s">
        <v>1143</v>
      </c>
      <c r="B274" s="92">
        <v>2.642857142857143</v>
      </c>
      <c r="C274" s="1" t="s">
        <v>864</v>
      </c>
    </row>
    <row r="275">
      <c r="A275" s="1" t="s">
        <v>1144</v>
      </c>
      <c r="B275" s="92">
        <v>2.642857142857143</v>
      </c>
      <c r="C275" s="1" t="s">
        <v>864</v>
      </c>
    </row>
    <row r="276">
      <c r="A276" s="1" t="s">
        <v>1145</v>
      </c>
      <c r="B276" s="92">
        <v>2.642857142857143</v>
      </c>
      <c r="C276" s="1" t="s">
        <v>864</v>
      </c>
    </row>
    <row r="277">
      <c r="A277" s="1" t="s">
        <v>1146</v>
      </c>
      <c r="B277" s="92">
        <v>2.642857142857143</v>
      </c>
      <c r="C277" s="1" t="s">
        <v>864</v>
      </c>
    </row>
    <row r="278">
      <c r="A278" s="1" t="s">
        <v>1147</v>
      </c>
      <c r="B278" s="92">
        <v>2.642857142857143</v>
      </c>
      <c r="C278" s="1" t="s">
        <v>864</v>
      </c>
    </row>
    <row r="279">
      <c r="A279" s="1" t="s">
        <v>1148</v>
      </c>
      <c r="B279" s="92">
        <v>2.642857142857143</v>
      </c>
      <c r="C279" s="1" t="s">
        <v>864</v>
      </c>
    </row>
    <row r="280">
      <c r="A280" s="1" t="s">
        <v>1149</v>
      </c>
      <c r="B280" s="92">
        <v>2.642857142857143</v>
      </c>
      <c r="C280" s="1" t="s">
        <v>864</v>
      </c>
    </row>
    <row r="281">
      <c r="A281" s="1" t="s">
        <v>1150</v>
      </c>
      <c r="B281" s="92">
        <v>2.642857142857143</v>
      </c>
      <c r="C281" s="1" t="s">
        <v>864</v>
      </c>
    </row>
    <row r="282">
      <c r="A282" s="1" t="s">
        <v>1151</v>
      </c>
      <c r="B282" s="92">
        <v>2.642857142857143</v>
      </c>
      <c r="C282" s="1" t="s">
        <v>864</v>
      </c>
    </row>
    <row r="283">
      <c r="A283" s="1" t="s">
        <v>1152</v>
      </c>
      <c r="B283" s="92">
        <v>2.642857142857143</v>
      </c>
      <c r="C283" s="1" t="s">
        <v>864</v>
      </c>
    </row>
    <row r="284">
      <c r="A284" s="1" t="s">
        <v>1153</v>
      </c>
      <c r="B284" s="92">
        <v>2.642857142857143</v>
      </c>
      <c r="C284" s="1" t="s">
        <v>864</v>
      </c>
    </row>
    <row r="285">
      <c r="A285" s="1" t="s">
        <v>1154</v>
      </c>
      <c r="B285" s="92">
        <v>2.642857142857143</v>
      </c>
      <c r="C285" s="1" t="s">
        <v>864</v>
      </c>
    </row>
    <row r="286">
      <c r="A286" s="1" t="s">
        <v>1155</v>
      </c>
      <c r="B286" s="92">
        <v>2.642857142857143</v>
      </c>
      <c r="C286" s="1" t="s">
        <v>864</v>
      </c>
    </row>
    <row r="287">
      <c r="A287" s="1" t="s">
        <v>1156</v>
      </c>
      <c r="B287" s="92">
        <v>2.642857142857143</v>
      </c>
      <c r="C287" s="1" t="s">
        <v>864</v>
      </c>
    </row>
    <row r="288">
      <c r="A288" s="1" t="s">
        <v>1157</v>
      </c>
      <c r="B288" s="92">
        <v>2.642857142857143</v>
      </c>
      <c r="C288" s="1" t="s">
        <v>864</v>
      </c>
    </row>
    <row r="289">
      <c r="A289" s="1" t="s">
        <v>1158</v>
      </c>
      <c r="B289" s="92">
        <v>2.642857142857143</v>
      </c>
      <c r="C289" s="1" t="s">
        <v>864</v>
      </c>
    </row>
    <row r="290">
      <c r="A290" s="1" t="s">
        <v>1159</v>
      </c>
      <c r="B290" s="92">
        <v>2.642857142857143</v>
      </c>
      <c r="C290" s="1" t="s">
        <v>864</v>
      </c>
    </row>
    <row r="291">
      <c r="A291" s="1" t="s">
        <v>1160</v>
      </c>
      <c r="B291" s="92">
        <v>2.642857142857143</v>
      </c>
      <c r="C291" s="1" t="s">
        <v>864</v>
      </c>
    </row>
    <row r="292">
      <c r="A292" s="1" t="s">
        <v>1161</v>
      </c>
      <c r="B292" s="92">
        <v>2.642857142857143</v>
      </c>
      <c r="C292" s="1" t="s">
        <v>864</v>
      </c>
    </row>
    <row r="293">
      <c r="A293" s="1" t="s">
        <v>1162</v>
      </c>
      <c r="B293" s="92">
        <v>2.642857142857143</v>
      </c>
      <c r="C293" s="1" t="s">
        <v>864</v>
      </c>
    </row>
    <row r="294">
      <c r="A294" s="1" t="s">
        <v>1163</v>
      </c>
      <c r="B294" s="92">
        <v>2.642857142857143</v>
      </c>
      <c r="C294" s="1" t="s">
        <v>864</v>
      </c>
    </row>
    <row r="295">
      <c r="A295" s="1" t="s">
        <v>1164</v>
      </c>
      <c r="B295" s="92">
        <v>2.642857142857143</v>
      </c>
      <c r="C295" s="1" t="s">
        <v>864</v>
      </c>
    </row>
    <row r="296">
      <c r="A296" s="1" t="s">
        <v>1165</v>
      </c>
      <c r="B296" s="92">
        <v>2.642857142857143</v>
      </c>
      <c r="C296" s="1" t="s">
        <v>864</v>
      </c>
    </row>
    <row r="297">
      <c r="A297" s="1" t="s">
        <v>1166</v>
      </c>
      <c r="B297" s="92">
        <v>2.642857142857143</v>
      </c>
      <c r="C297" s="1" t="s">
        <v>864</v>
      </c>
    </row>
    <row r="298">
      <c r="A298" s="1" t="s">
        <v>1168</v>
      </c>
      <c r="B298" s="92">
        <v>2.642857142857143</v>
      </c>
      <c r="C298" s="1" t="s">
        <v>864</v>
      </c>
    </row>
    <row r="299">
      <c r="A299" s="1" t="s">
        <v>1169</v>
      </c>
      <c r="B299" s="92">
        <v>2.642857142857143</v>
      </c>
      <c r="C299" s="1" t="s">
        <v>864</v>
      </c>
    </row>
    <row r="300">
      <c r="A300" s="1" t="s">
        <v>1170</v>
      </c>
      <c r="B300" s="92">
        <v>2.642857142857143</v>
      </c>
      <c r="C300" s="1" t="s">
        <v>864</v>
      </c>
    </row>
    <row r="301">
      <c r="A301" s="1" t="s">
        <v>1171</v>
      </c>
      <c r="B301" s="92">
        <v>2.642857142857143</v>
      </c>
      <c r="C301" s="1" t="s">
        <v>864</v>
      </c>
    </row>
    <row r="302">
      <c r="A302" s="1" t="s">
        <v>1173</v>
      </c>
      <c r="B302" s="92">
        <v>2.642857142857143</v>
      </c>
      <c r="C302" s="1" t="s">
        <v>864</v>
      </c>
    </row>
    <row r="303">
      <c r="A303" s="1" t="s">
        <v>1174</v>
      </c>
      <c r="B303" s="92">
        <v>2.642857142857143</v>
      </c>
      <c r="C303" s="1" t="s">
        <v>864</v>
      </c>
    </row>
    <row r="304">
      <c r="A304" s="1" t="s">
        <v>1175</v>
      </c>
      <c r="B304" s="92">
        <v>2.642857142857143</v>
      </c>
      <c r="C304" s="1" t="s">
        <v>864</v>
      </c>
    </row>
    <row r="305">
      <c r="A305" s="1" t="s">
        <v>1176</v>
      </c>
      <c r="B305" s="92">
        <v>2.642857142857143</v>
      </c>
      <c r="C305" s="1" t="s">
        <v>864</v>
      </c>
    </row>
    <row r="306">
      <c r="A306" s="1" t="s">
        <v>1177</v>
      </c>
      <c r="B306" s="92">
        <v>2.642857142857143</v>
      </c>
      <c r="C306" s="1" t="s">
        <v>864</v>
      </c>
    </row>
    <row r="307">
      <c r="A307" s="1" t="s">
        <v>1178</v>
      </c>
      <c r="B307" s="92">
        <v>2.642857142857143</v>
      </c>
      <c r="C307" s="1" t="s">
        <v>864</v>
      </c>
    </row>
    <row r="308">
      <c r="A308" s="1" t="s">
        <v>1179</v>
      </c>
      <c r="B308" s="92">
        <v>2.642857142857143</v>
      </c>
      <c r="C308" s="1" t="s">
        <v>864</v>
      </c>
    </row>
    <row r="309">
      <c r="A309" s="1" t="s">
        <v>1180</v>
      </c>
      <c r="B309" s="92">
        <v>2.642857142857143</v>
      </c>
      <c r="C309" s="1" t="s">
        <v>864</v>
      </c>
    </row>
    <row r="310">
      <c r="A310" s="1" t="s">
        <v>1181</v>
      </c>
      <c r="B310" s="92">
        <v>2.642857142857143</v>
      </c>
      <c r="C310" s="1" t="s">
        <v>864</v>
      </c>
    </row>
    <row r="311">
      <c r="A311" s="1" t="s">
        <v>1182</v>
      </c>
      <c r="B311" s="92">
        <v>2.642857142857143</v>
      </c>
      <c r="C311" s="1" t="s">
        <v>864</v>
      </c>
    </row>
    <row r="312">
      <c r="A312" s="1" t="s">
        <v>1183</v>
      </c>
      <c r="B312" s="92">
        <v>2.642857142857143</v>
      </c>
      <c r="C312" s="1" t="s">
        <v>864</v>
      </c>
    </row>
    <row r="313">
      <c r="A313" s="1" t="s">
        <v>1184</v>
      </c>
      <c r="B313" s="92">
        <v>2.642857142857143</v>
      </c>
      <c r="C313" s="1" t="s">
        <v>864</v>
      </c>
    </row>
    <row r="314">
      <c r="A314" s="1" t="s">
        <v>1185</v>
      </c>
      <c r="B314" s="92">
        <v>2.642857142857143</v>
      </c>
      <c r="C314" s="1" t="s">
        <v>864</v>
      </c>
    </row>
    <row r="315">
      <c r="A315" s="1" t="s">
        <v>1186</v>
      </c>
      <c r="B315" s="92">
        <v>2.642857142857143</v>
      </c>
      <c r="C315" s="1" t="s">
        <v>864</v>
      </c>
    </row>
    <row r="316">
      <c r="A316" s="1" t="s">
        <v>1187</v>
      </c>
      <c r="B316" s="92">
        <v>2.642857142857143</v>
      </c>
      <c r="C316" s="1" t="s">
        <v>864</v>
      </c>
    </row>
    <row r="317">
      <c r="A317" s="1" t="s">
        <v>1188</v>
      </c>
      <c r="B317" s="92">
        <v>2.642857142857143</v>
      </c>
      <c r="C317" s="1" t="s">
        <v>864</v>
      </c>
    </row>
    <row r="318">
      <c r="A318" s="1" t="s">
        <v>1189</v>
      </c>
      <c r="B318" s="92">
        <v>2.642857142857143</v>
      </c>
      <c r="C318" s="1" t="s">
        <v>864</v>
      </c>
    </row>
    <row r="319">
      <c r="A319" s="1" t="s">
        <v>1190</v>
      </c>
      <c r="B319" s="92">
        <v>2.642857142857143</v>
      </c>
      <c r="C319" s="1" t="s">
        <v>864</v>
      </c>
    </row>
    <row r="320">
      <c r="A320" s="1" t="s">
        <v>1191</v>
      </c>
      <c r="B320" s="92">
        <v>2.642857142857143</v>
      </c>
      <c r="C320" s="1" t="s">
        <v>864</v>
      </c>
    </row>
    <row r="321">
      <c r="A321" s="1" t="s">
        <v>1192</v>
      </c>
      <c r="B321" s="92">
        <v>2.642857142857143</v>
      </c>
      <c r="C321" s="1" t="s">
        <v>864</v>
      </c>
    </row>
    <row r="322">
      <c r="A322" s="1" t="s">
        <v>1193</v>
      </c>
      <c r="B322" s="92">
        <v>2.642857142857143</v>
      </c>
      <c r="C322" s="1" t="s">
        <v>864</v>
      </c>
    </row>
    <row r="323">
      <c r="A323" s="1" t="s">
        <v>1194</v>
      </c>
      <c r="B323" s="92">
        <v>2.642857142857143</v>
      </c>
      <c r="C323" s="1" t="s">
        <v>864</v>
      </c>
    </row>
    <row r="324">
      <c r="A324" s="1" t="s">
        <v>1195</v>
      </c>
      <c r="B324" s="92">
        <v>2.642857142857143</v>
      </c>
      <c r="C324" s="1" t="s">
        <v>864</v>
      </c>
    </row>
    <row r="325">
      <c r="A325" s="1" t="s">
        <v>1196</v>
      </c>
      <c r="B325" s="92">
        <v>2.642857142857143</v>
      </c>
      <c r="C325" s="1" t="s">
        <v>864</v>
      </c>
    </row>
    <row r="326">
      <c r="A326" s="1" t="s">
        <v>1197</v>
      </c>
      <c r="B326" s="92">
        <v>2.642857142857143</v>
      </c>
      <c r="C326" s="1" t="s">
        <v>864</v>
      </c>
    </row>
    <row r="327">
      <c r="A327" s="1" t="s">
        <v>1198</v>
      </c>
      <c r="B327" s="92">
        <v>2.642857142857143</v>
      </c>
      <c r="C327" s="1" t="s">
        <v>864</v>
      </c>
    </row>
    <row r="328">
      <c r="A328" s="1" t="s">
        <v>1199</v>
      </c>
      <c r="B328" s="92">
        <v>2.642857142857143</v>
      </c>
      <c r="C328" s="1" t="s">
        <v>864</v>
      </c>
    </row>
    <row r="329">
      <c r="A329" s="1" t="s">
        <v>1200</v>
      </c>
      <c r="B329" s="92">
        <v>2.642857142857143</v>
      </c>
      <c r="C329" s="1" t="s">
        <v>864</v>
      </c>
    </row>
    <row r="330">
      <c r="A330" s="1" t="s">
        <v>1201</v>
      </c>
      <c r="B330" s="92">
        <v>2.642857142857143</v>
      </c>
      <c r="C330" s="1" t="s">
        <v>864</v>
      </c>
    </row>
    <row r="331">
      <c r="A331" s="1" t="s">
        <v>1202</v>
      </c>
      <c r="B331" s="92">
        <v>2.642857142857143</v>
      </c>
      <c r="C331" s="1" t="s">
        <v>864</v>
      </c>
    </row>
    <row r="332">
      <c r="A332" s="1" t="s">
        <v>1203</v>
      </c>
      <c r="B332" s="92">
        <v>2.642857142857143</v>
      </c>
      <c r="C332" s="1" t="s">
        <v>864</v>
      </c>
    </row>
    <row r="333">
      <c r="A333" s="1" t="s">
        <v>1204</v>
      </c>
      <c r="B333" s="92">
        <v>2.642857142857143</v>
      </c>
      <c r="C333" s="1" t="s">
        <v>864</v>
      </c>
    </row>
    <row r="334">
      <c r="A334" s="1" t="s">
        <v>1205</v>
      </c>
      <c r="B334" s="92">
        <v>2.642857142857143</v>
      </c>
      <c r="C334" s="1" t="s">
        <v>864</v>
      </c>
    </row>
    <row r="335">
      <c r="A335" s="1" t="s">
        <v>1206</v>
      </c>
      <c r="B335" s="92">
        <v>2.642857142857143</v>
      </c>
      <c r="C335" s="1" t="s">
        <v>864</v>
      </c>
    </row>
    <row r="336">
      <c r="A336" s="1" t="s">
        <v>1207</v>
      </c>
      <c r="B336" s="92">
        <v>2.642857142857143</v>
      </c>
      <c r="C336" s="1" t="s">
        <v>864</v>
      </c>
    </row>
    <row r="337">
      <c r="A337" s="1" t="s">
        <v>1208</v>
      </c>
      <c r="B337" s="92">
        <v>2.642857142857143</v>
      </c>
      <c r="C337" s="1" t="s">
        <v>864</v>
      </c>
    </row>
    <row r="338">
      <c r="A338" s="1" t="s">
        <v>1209</v>
      </c>
      <c r="B338" s="92">
        <v>2.642857142857143</v>
      </c>
      <c r="C338" s="1" t="s">
        <v>864</v>
      </c>
    </row>
    <row r="339">
      <c r="A339" s="1" t="s">
        <v>1210</v>
      </c>
      <c r="B339" s="92">
        <v>2.642857142857143</v>
      </c>
      <c r="C339" s="1" t="s">
        <v>864</v>
      </c>
    </row>
    <row r="340">
      <c r="A340" s="1" t="s">
        <v>1211</v>
      </c>
      <c r="B340" s="92">
        <v>2.642857142857143</v>
      </c>
      <c r="C340" s="1" t="s">
        <v>864</v>
      </c>
    </row>
    <row r="341">
      <c r="A341" s="1" t="s">
        <v>1212</v>
      </c>
      <c r="B341" s="92">
        <v>2.642857142857143</v>
      </c>
      <c r="C341" s="1" t="s">
        <v>864</v>
      </c>
    </row>
    <row r="342">
      <c r="A342" s="1" t="s">
        <v>1213</v>
      </c>
      <c r="B342" s="92">
        <v>2.642857142857143</v>
      </c>
      <c r="C342" s="1" t="s">
        <v>864</v>
      </c>
    </row>
    <row r="343">
      <c r="A343" s="1" t="s">
        <v>1214</v>
      </c>
      <c r="B343" s="92">
        <v>2.642857142857143</v>
      </c>
      <c r="C343" s="1" t="s">
        <v>864</v>
      </c>
    </row>
    <row r="344">
      <c r="A344" s="1" t="s">
        <v>1215</v>
      </c>
      <c r="B344" s="92">
        <v>2.642857142857143</v>
      </c>
      <c r="C344" s="1" t="s">
        <v>864</v>
      </c>
    </row>
    <row r="345">
      <c r="A345" s="1" t="s">
        <v>1216</v>
      </c>
      <c r="B345" s="92">
        <v>2.642857142857143</v>
      </c>
      <c r="C345" s="1" t="s">
        <v>864</v>
      </c>
    </row>
    <row r="346">
      <c r="A346" s="1" t="s">
        <v>1217</v>
      </c>
      <c r="B346" s="92">
        <v>2.642857142857143</v>
      </c>
      <c r="C346" s="1" t="s">
        <v>864</v>
      </c>
    </row>
    <row r="347">
      <c r="A347" s="1" t="s">
        <v>1218</v>
      </c>
      <c r="B347" s="92">
        <v>2.642857142857143</v>
      </c>
      <c r="C347" s="1" t="s">
        <v>864</v>
      </c>
    </row>
    <row r="348">
      <c r="A348" s="1" t="s">
        <v>1219</v>
      </c>
      <c r="B348" s="92">
        <v>2.642857142857143</v>
      </c>
      <c r="C348" s="1" t="s">
        <v>864</v>
      </c>
    </row>
    <row r="349">
      <c r="A349" s="1" t="s">
        <v>1220</v>
      </c>
      <c r="B349" s="92">
        <v>2.642857142857143</v>
      </c>
      <c r="C349" s="1" t="s">
        <v>864</v>
      </c>
    </row>
    <row r="350">
      <c r="A350" s="1" t="s">
        <v>1221</v>
      </c>
      <c r="B350" s="92">
        <v>2.642857142857143</v>
      </c>
      <c r="C350" s="1" t="s">
        <v>864</v>
      </c>
    </row>
    <row r="351">
      <c r="A351" s="1" t="s">
        <v>1222</v>
      </c>
      <c r="B351" s="92">
        <v>2.642857142857143</v>
      </c>
      <c r="C351" s="1" t="s">
        <v>864</v>
      </c>
    </row>
    <row r="352">
      <c r="A352" s="1" t="s">
        <v>1223</v>
      </c>
      <c r="B352" s="92">
        <v>2.642857142857143</v>
      </c>
      <c r="C352" s="1" t="s">
        <v>864</v>
      </c>
    </row>
    <row r="353">
      <c r="A353" s="1" t="s">
        <v>1224</v>
      </c>
      <c r="B353" s="92">
        <v>2.642857142857143</v>
      </c>
      <c r="C353" s="1" t="s">
        <v>864</v>
      </c>
    </row>
    <row r="354">
      <c r="A354" s="1" t="s">
        <v>1225</v>
      </c>
      <c r="B354" s="92">
        <v>2.642857142857143</v>
      </c>
      <c r="C354" s="1" t="s">
        <v>864</v>
      </c>
    </row>
    <row r="355">
      <c r="A355" s="1" t="s">
        <v>1226</v>
      </c>
      <c r="B355" s="92">
        <v>2.642857142857143</v>
      </c>
      <c r="C355" s="1" t="s">
        <v>864</v>
      </c>
    </row>
    <row r="356">
      <c r="A356" s="1" t="s">
        <v>1227</v>
      </c>
      <c r="B356" s="92">
        <v>2.642857142857143</v>
      </c>
      <c r="C356" s="1" t="s">
        <v>864</v>
      </c>
    </row>
    <row r="357">
      <c r="A357" s="1" t="s">
        <v>1228</v>
      </c>
      <c r="B357" s="92">
        <v>2.642857142857143</v>
      </c>
      <c r="C357" s="1" t="s">
        <v>864</v>
      </c>
    </row>
    <row r="358">
      <c r="A358" s="1" t="s">
        <v>1229</v>
      </c>
      <c r="B358" s="92">
        <v>2.642857142857143</v>
      </c>
      <c r="C358" s="1" t="s">
        <v>864</v>
      </c>
    </row>
    <row r="359">
      <c r="A359" s="1" t="s">
        <v>1230</v>
      </c>
      <c r="B359" s="92">
        <v>2.642857142857143</v>
      </c>
      <c r="C359" s="1" t="s">
        <v>864</v>
      </c>
    </row>
    <row r="360">
      <c r="A360" s="1" t="s">
        <v>1231</v>
      </c>
      <c r="B360" s="92">
        <v>2.642857142857143</v>
      </c>
      <c r="C360" s="1" t="s">
        <v>864</v>
      </c>
    </row>
    <row r="361">
      <c r="A361" s="1" t="s">
        <v>1232</v>
      </c>
      <c r="B361" s="92">
        <v>2.642857142857143</v>
      </c>
      <c r="C361" s="1" t="s">
        <v>864</v>
      </c>
    </row>
    <row r="362">
      <c r="A362" s="1" t="s">
        <v>1233</v>
      </c>
      <c r="B362" s="92">
        <v>2.642857142857143</v>
      </c>
      <c r="C362" s="1" t="s">
        <v>864</v>
      </c>
    </row>
    <row r="363">
      <c r="A363" s="1" t="s">
        <v>1234</v>
      </c>
      <c r="B363" s="92">
        <v>2.642857142857143</v>
      </c>
      <c r="C363" s="1" t="s">
        <v>864</v>
      </c>
    </row>
    <row r="364">
      <c r="A364" s="1" t="s">
        <v>1235</v>
      </c>
      <c r="B364" s="92">
        <v>2.642857142857143</v>
      </c>
      <c r="C364" s="1" t="s">
        <v>864</v>
      </c>
    </row>
    <row r="365">
      <c r="A365" s="1" t="s">
        <v>1236</v>
      </c>
      <c r="B365" s="92">
        <v>2.642857142857143</v>
      </c>
      <c r="C365" s="1" t="s">
        <v>864</v>
      </c>
    </row>
    <row r="366">
      <c r="A366" s="1" t="s">
        <v>1237</v>
      </c>
      <c r="B366" s="92">
        <v>2.642857142857143</v>
      </c>
      <c r="C366" s="1" t="s">
        <v>864</v>
      </c>
    </row>
    <row r="367">
      <c r="A367" s="1" t="s">
        <v>1238</v>
      </c>
      <c r="B367" s="92">
        <v>2.642857142857143</v>
      </c>
      <c r="C367" s="1" t="s">
        <v>864</v>
      </c>
    </row>
    <row r="368">
      <c r="A368" s="1" t="s">
        <v>1239</v>
      </c>
      <c r="B368" s="92">
        <v>2.642857142857143</v>
      </c>
      <c r="C368" s="1" t="s">
        <v>864</v>
      </c>
    </row>
    <row r="369">
      <c r="A369" s="1" t="s">
        <v>1240</v>
      </c>
      <c r="B369" s="92">
        <v>2.642857142857143</v>
      </c>
      <c r="C369" s="1" t="s">
        <v>864</v>
      </c>
    </row>
    <row r="370">
      <c r="A370" s="1" t="s">
        <v>1241</v>
      </c>
      <c r="B370" s="92">
        <v>2.642857142857143</v>
      </c>
      <c r="C370" s="1" t="s">
        <v>864</v>
      </c>
    </row>
    <row r="371">
      <c r="A371" s="1" t="s">
        <v>1242</v>
      </c>
      <c r="B371" s="92">
        <v>2.642857142857143</v>
      </c>
      <c r="C371" s="1" t="s">
        <v>864</v>
      </c>
    </row>
    <row r="372">
      <c r="A372" s="1" t="s">
        <v>1243</v>
      </c>
      <c r="B372" s="92">
        <v>2.642857142857143</v>
      </c>
      <c r="C372" s="1" t="s">
        <v>864</v>
      </c>
    </row>
    <row r="373">
      <c r="A373" s="1" t="s">
        <v>1244</v>
      </c>
      <c r="B373" s="92">
        <v>2.642857142857143</v>
      </c>
      <c r="C373" s="1" t="s">
        <v>864</v>
      </c>
    </row>
    <row r="374">
      <c r="A374" s="1" t="s">
        <v>1245</v>
      </c>
      <c r="B374" s="92">
        <v>2.642857142857143</v>
      </c>
      <c r="C374" s="1" t="s">
        <v>864</v>
      </c>
    </row>
    <row r="375">
      <c r="A375" s="1" t="s">
        <v>1246</v>
      </c>
      <c r="B375" s="92">
        <v>2.642857142857143</v>
      </c>
      <c r="C375" s="1" t="s">
        <v>864</v>
      </c>
    </row>
    <row r="376">
      <c r="A376" s="1" t="s">
        <v>1247</v>
      </c>
      <c r="B376" s="92">
        <v>2.642857142857143</v>
      </c>
      <c r="C376" s="1" t="s">
        <v>864</v>
      </c>
    </row>
    <row r="377">
      <c r="A377" s="1" t="s">
        <v>1248</v>
      </c>
      <c r="B377" s="92">
        <v>2.642857142857143</v>
      </c>
      <c r="C377" s="1" t="s">
        <v>864</v>
      </c>
    </row>
    <row r="378">
      <c r="A378" s="1" t="s">
        <v>1249</v>
      </c>
      <c r="B378" s="92">
        <v>2.642857142857143</v>
      </c>
      <c r="C378" s="1" t="s">
        <v>864</v>
      </c>
    </row>
    <row r="379">
      <c r="A379" s="1" t="s">
        <v>1250</v>
      </c>
      <c r="B379" s="92">
        <v>2.642857142857143</v>
      </c>
      <c r="C379" s="1" t="s">
        <v>864</v>
      </c>
    </row>
    <row r="380">
      <c r="A380" s="1" t="s">
        <v>1251</v>
      </c>
      <c r="B380" s="92">
        <v>2.642857142857143</v>
      </c>
      <c r="C380" s="1" t="s">
        <v>864</v>
      </c>
    </row>
    <row r="381">
      <c r="A381" s="1" t="s">
        <v>1252</v>
      </c>
      <c r="B381" s="92">
        <v>2.642857142857143</v>
      </c>
      <c r="C381" s="1" t="s">
        <v>864</v>
      </c>
    </row>
    <row r="382">
      <c r="A382" s="1" t="s">
        <v>1253</v>
      </c>
      <c r="B382" s="92">
        <v>2.642857142857143</v>
      </c>
      <c r="C382" s="1" t="s">
        <v>864</v>
      </c>
    </row>
    <row r="383">
      <c r="A383" s="1" t="s">
        <v>1254</v>
      </c>
      <c r="B383" s="92">
        <v>2.642857142857143</v>
      </c>
      <c r="C383" s="1" t="s">
        <v>864</v>
      </c>
    </row>
    <row r="384">
      <c r="A384" s="1" t="s">
        <v>1255</v>
      </c>
      <c r="B384" s="92">
        <v>2.642857142857143</v>
      </c>
      <c r="C384" s="1" t="s">
        <v>864</v>
      </c>
    </row>
    <row r="385">
      <c r="A385" s="1" t="s">
        <v>1256</v>
      </c>
      <c r="B385" s="92">
        <v>2.642857142857143</v>
      </c>
      <c r="C385" s="1" t="s">
        <v>864</v>
      </c>
    </row>
    <row r="386">
      <c r="A386" s="1" t="s">
        <v>1257</v>
      </c>
      <c r="B386" s="92">
        <v>2.642857142857143</v>
      </c>
      <c r="C386" s="1" t="s">
        <v>864</v>
      </c>
    </row>
    <row r="387">
      <c r="A387" s="1" t="s">
        <v>1258</v>
      </c>
      <c r="B387" s="92">
        <v>2.642857142857143</v>
      </c>
      <c r="C387" s="1" t="s">
        <v>864</v>
      </c>
    </row>
    <row r="388">
      <c r="A388" s="1" t="s">
        <v>1259</v>
      </c>
      <c r="B388" s="92">
        <v>2.642857142857143</v>
      </c>
      <c r="C388" s="1" t="s">
        <v>864</v>
      </c>
    </row>
    <row r="389">
      <c r="A389" s="1" t="s">
        <v>1260</v>
      </c>
      <c r="B389" s="92">
        <v>2.642857142857143</v>
      </c>
      <c r="C389" s="1" t="s">
        <v>864</v>
      </c>
    </row>
    <row r="390">
      <c r="A390" s="1" t="s">
        <v>1261</v>
      </c>
      <c r="B390" s="92">
        <v>2.642857142857143</v>
      </c>
      <c r="C390" s="1" t="s">
        <v>864</v>
      </c>
    </row>
    <row r="391">
      <c r="A391" s="1" t="s">
        <v>1262</v>
      </c>
      <c r="B391" s="92">
        <v>2.642857142857143</v>
      </c>
      <c r="C391" s="1" t="s">
        <v>864</v>
      </c>
    </row>
    <row r="392">
      <c r="A392" s="1" t="s">
        <v>1263</v>
      </c>
      <c r="B392" s="92">
        <v>2.642857142857143</v>
      </c>
      <c r="C392" s="1" t="s">
        <v>864</v>
      </c>
    </row>
    <row r="393">
      <c r="A393" s="1" t="s">
        <v>1264</v>
      </c>
      <c r="B393" s="92">
        <v>2.642857142857143</v>
      </c>
      <c r="C393" s="1" t="s">
        <v>864</v>
      </c>
    </row>
    <row r="394">
      <c r="A394" s="1" t="s">
        <v>1265</v>
      </c>
      <c r="B394" s="92">
        <v>2.642857142857143</v>
      </c>
      <c r="C394" s="1" t="s">
        <v>864</v>
      </c>
    </row>
    <row r="395">
      <c r="A395" s="1" t="s">
        <v>1266</v>
      </c>
      <c r="B395" s="92">
        <v>2.642857142857143</v>
      </c>
      <c r="C395" s="1" t="s">
        <v>864</v>
      </c>
    </row>
    <row r="396">
      <c r="A396" s="1" t="s">
        <v>1267</v>
      </c>
      <c r="B396" s="92">
        <v>2.642857142857143</v>
      </c>
      <c r="C396" s="1" t="s">
        <v>864</v>
      </c>
    </row>
    <row r="397">
      <c r="A397" s="1" t="s">
        <v>1268</v>
      </c>
      <c r="B397" s="92">
        <v>2.642857142857143</v>
      </c>
      <c r="C397" s="1" t="s">
        <v>864</v>
      </c>
    </row>
    <row r="398">
      <c r="A398" s="1" t="s">
        <v>1269</v>
      </c>
      <c r="B398" s="92">
        <v>2.642857142857143</v>
      </c>
      <c r="C398" s="1" t="s">
        <v>864</v>
      </c>
    </row>
    <row r="399">
      <c r="A399" s="1" t="s">
        <v>1270</v>
      </c>
      <c r="B399" s="92">
        <v>2.642857142857143</v>
      </c>
      <c r="C399" s="1" t="s">
        <v>864</v>
      </c>
    </row>
    <row r="400">
      <c r="A400" s="1" t="s">
        <v>1271</v>
      </c>
      <c r="B400" s="92">
        <v>2.642857142857143</v>
      </c>
      <c r="C400" s="1" t="s">
        <v>864</v>
      </c>
    </row>
    <row r="401">
      <c r="A401" s="1" t="s">
        <v>1272</v>
      </c>
      <c r="B401" s="92">
        <v>2.642857142857143</v>
      </c>
      <c r="C401" s="1" t="s">
        <v>864</v>
      </c>
    </row>
    <row r="402">
      <c r="A402" s="1" t="s">
        <v>1273</v>
      </c>
      <c r="B402" s="92">
        <v>2.642857142857143</v>
      </c>
      <c r="C402" s="1" t="s">
        <v>864</v>
      </c>
    </row>
    <row r="403">
      <c r="A403" s="1" t="s">
        <v>1274</v>
      </c>
      <c r="B403" s="92">
        <v>2.642857142857143</v>
      </c>
      <c r="C403" s="1" t="s">
        <v>864</v>
      </c>
    </row>
    <row r="404">
      <c r="A404" s="1" t="s">
        <v>1275</v>
      </c>
      <c r="B404" s="92">
        <v>2.642857142857143</v>
      </c>
      <c r="C404" s="1" t="s">
        <v>864</v>
      </c>
    </row>
    <row r="405">
      <c r="A405" s="1" t="s">
        <v>1276</v>
      </c>
      <c r="B405" s="92">
        <v>2.642857142857143</v>
      </c>
      <c r="C405" s="1" t="s">
        <v>864</v>
      </c>
    </row>
    <row r="406">
      <c r="A406" s="1" t="s">
        <v>1277</v>
      </c>
      <c r="B406" s="92">
        <v>2.642857142857143</v>
      </c>
      <c r="C406" s="1" t="s">
        <v>864</v>
      </c>
    </row>
    <row r="407">
      <c r="A407" s="1" t="s">
        <v>1278</v>
      </c>
      <c r="B407" s="92">
        <v>2.642857142857143</v>
      </c>
      <c r="C407" s="1" t="s">
        <v>864</v>
      </c>
    </row>
    <row r="408">
      <c r="A408" s="1" t="s">
        <v>1279</v>
      </c>
      <c r="B408" s="92">
        <v>2.642857142857143</v>
      </c>
      <c r="C408" s="1" t="s">
        <v>864</v>
      </c>
    </row>
    <row r="409">
      <c r="A409" s="1" t="s">
        <v>1280</v>
      </c>
      <c r="B409" s="92">
        <v>2.642857142857143</v>
      </c>
      <c r="C409" s="1" t="s">
        <v>864</v>
      </c>
    </row>
    <row r="410">
      <c r="A410" s="1" t="s">
        <v>1281</v>
      </c>
      <c r="B410" s="92">
        <v>2.642857142857143</v>
      </c>
      <c r="C410" s="1" t="s">
        <v>864</v>
      </c>
    </row>
    <row r="411">
      <c r="A411" s="1" t="s">
        <v>1282</v>
      </c>
      <c r="B411" s="92">
        <v>2.642857142857143</v>
      </c>
      <c r="C411" s="1" t="s">
        <v>864</v>
      </c>
    </row>
    <row r="412">
      <c r="A412" s="1" t="s">
        <v>1283</v>
      </c>
      <c r="B412" s="92">
        <v>2.642857142857143</v>
      </c>
      <c r="C412" s="1" t="s">
        <v>864</v>
      </c>
    </row>
    <row r="413">
      <c r="A413" s="1" t="s">
        <v>1284</v>
      </c>
      <c r="B413" s="92">
        <v>2.642857142857143</v>
      </c>
      <c r="C413" s="1" t="s">
        <v>864</v>
      </c>
    </row>
    <row r="414">
      <c r="A414" s="1" t="s">
        <v>1285</v>
      </c>
      <c r="B414" s="92">
        <v>2.642857142857143</v>
      </c>
      <c r="C414" s="1" t="s">
        <v>864</v>
      </c>
    </row>
    <row r="415">
      <c r="A415" s="1" t="s">
        <v>1286</v>
      </c>
      <c r="B415" s="92">
        <v>2.642857142857143</v>
      </c>
      <c r="C415" s="1" t="s">
        <v>864</v>
      </c>
    </row>
    <row r="416">
      <c r="A416" s="1" t="s">
        <v>1287</v>
      </c>
      <c r="B416" s="92">
        <v>2.642857142857143</v>
      </c>
      <c r="C416" s="1" t="s">
        <v>864</v>
      </c>
    </row>
    <row r="417">
      <c r="A417" s="1" t="s">
        <v>1288</v>
      </c>
      <c r="B417" s="92">
        <v>2.642857142857143</v>
      </c>
      <c r="C417" s="1" t="s">
        <v>864</v>
      </c>
    </row>
    <row r="418">
      <c r="A418" s="1" t="s">
        <v>1289</v>
      </c>
      <c r="B418" s="92">
        <v>2.642857142857143</v>
      </c>
      <c r="C418" s="1" t="s">
        <v>864</v>
      </c>
    </row>
    <row r="419">
      <c r="A419" s="1" t="s">
        <v>1290</v>
      </c>
      <c r="B419" s="92">
        <v>2.642857142857143</v>
      </c>
      <c r="C419" s="1" t="s">
        <v>864</v>
      </c>
    </row>
    <row r="420">
      <c r="A420" s="1" t="s">
        <v>1291</v>
      </c>
      <c r="B420" s="92">
        <v>2.642857142857143</v>
      </c>
      <c r="C420" s="1" t="s">
        <v>864</v>
      </c>
    </row>
    <row r="421">
      <c r="A421" s="1" t="s">
        <v>1292</v>
      </c>
      <c r="B421" s="92">
        <v>2.642857142857143</v>
      </c>
      <c r="C421" s="1" t="s">
        <v>864</v>
      </c>
    </row>
    <row r="422">
      <c r="A422" s="1" t="s">
        <v>1293</v>
      </c>
      <c r="B422" s="92">
        <v>2.642857142857143</v>
      </c>
      <c r="C422" s="1" t="s">
        <v>864</v>
      </c>
    </row>
    <row r="423">
      <c r="A423" s="1" t="s">
        <v>1294</v>
      </c>
      <c r="B423" s="92">
        <v>2.642857142857143</v>
      </c>
      <c r="C423" s="1" t="s">
        <v>864</v>
      </c>
    </row>
    <row r="424">
      <c r="A424" s="1" t="s">
        <v>1295</v>
      </c>
      <c r="B424" s="92">
        <v>2.642857142857143</v>
      </c>
      <c r="C424" s="1" t="s">
        <v>864</v>
      </c>
    </row>
    <row r="425">
      <c r="A425" s="1" t="s">
        <v>1296</v>
      </c>
      <c r="B425" s="92">
        <v>2.642857142857143</v>
      </c>
      <c r="C425" s="1" t="s">
        <v>864</v>
      </c>
    </row>
    <row r="426">
      <c r="A426" s="1" t="s">
        <v>1298</v>
      </c>
      <c r="B426" s="92">
        <v>2.642857142857143</v>
      </c>
      <c r="C426" s="1" t="s">
        <v>864</v>
      </c>
    </row>
    <row r="427">
      <c r="A427" s="1" t="s">
        <v>1300</v>
      </c>
      <c r="B427" s="92">
        <v>2.642857142857143</v>
      </c>
      <c r="C427" s="1" t="s">
        <v>864</v>
      </c>
    </row>
    <row r="428">
      <c r="A428" s="1" t="s">
        <v>1301</v>
      </c>
      <c r="B428" s="92">
        <v>2.642857142857143</v>
      </c>
      <c r="C428" s="1" t="s">
        <v>864</v>
      </c>
    </row>
    <row r="429">
      <c r="A429" s="1" t="s">
        <v>1302</v>
      </c>
      <c r="B429" s="92">
        <v>2.642857142857143</v>
      </c>
      <c r="C429" s="1" t="s">
        <v>864</v>
      </c>
    </row>
    <row r="430">
      <c r="A430" s="1" t="s">
        <v>1303</v>
      </c>
      <c r="B430" s="92">
        <v>2.7142857142857144</v>
      </c>
      <c r="C430" s="1" t="s">
        <v>864</v>
      </c>
    </row>
    <row r="431">
      <c r="A431" s="1" t="s">
        <v>1305</v>
      </c>
      <c r="B431" s="92">
        <v>2.7142857142857144</v>
      </c>
      <c r="C431" s="1" t="s">
        <v>864</v>
      </c>
    </row>
    <row r="432">
      <c r="A432" s="1" t="s">
        <v>1306</v>
      </c>
      <c r="B432" s="92">
        <v>2.7142857142857144</v>
      </c>
      <c r="C432" s="1" t="s">
        <v>864</v>
      </c>
    </row>
    <row r="433">
      <c r="A433" s="1" t="s">
        <v>1307</v>
      </c>
      <c r="B433" s="92">
        <v>2.7142857142857144</v>
      </c>
      <c r="C433" s="1" t="s">
        <v>864</v>
      </c>
    </row>
    <row r="434">
      <c r="A434" s="1" t="s">
        <v>1308</v>
      </c>
      <c r="B434" s="92">
        <v>2.7142857142857144</v>
      </c>
      <c r="C434" s="1" t="s">
        <v>864</v>
      </c>
    </row>
    <row r="435">
      <c r="A435" s="1" t="s">
        <v>1309</v>
      </c>
      <c r="B435" s="92">
        <v>2.7142857142857144</v>
      </c>
      <c r="C435" s="1" t="s">
        <v>864</v>
      </c>
    </row>
    <row r="436">
      <c r="A436" s="1" t="s">
        <v>1310</v>
      </c>
      <c r="B436" s="92">
        <v>2.7142857142857144</v>
      </c>
      <c r="C436" s="1" t="s">
        <v>864</v>
      </c>
    </row>
    <row r="437">
      <c r="A437" s="1" t="s">
        <v>1311</v>
      </c>
      <c r="B437" s="92">
        <v>2.7142857142857144</v>
      </c>
      <c r="C437" s="1" t="s">
        <v>864</v>
      </c>
    </row>
    <row r="438">
      <c r="A438" s="1" t="s">
        <v>1312</v>
      </c>
      <c r="B438" s="92">
        <v>2.7142857142857144</v>
      </c>
      <c r="C438" s="1" t="s">
        <v>864</v>
      </c>
    </row>
    <row r="439">
      <c r="A439" s="1" t="s">
        <v>1313</v>
      </c>
      <c r="B439" s="92">
        <v>2.7142857142857144</v>
      </c>
      <c r="C439" s="1" t="s">
        <v>864</v>
      </c>
    </row>
    <row r="440">
      <c r="A440" s="1" t="s">
        <v>1314</v>
      </c>
      <c r="B440" s="92">
        <v>2.7142857142857144</v>
      </c>
      <c r="C440" s="1" t="s">
        <v>864</v>
      </c>
    </row>
    <row r="441">
      <c r="A441" s="1" t="s">
        <v>1315</v>
      </c>
      <c r="B441" s="92">
        <v>2.7142857142857144</v>
      </c>
      <c r="C441" s="1" t="s">
        <v>864</v>
      </c>
    </row>
    <row r="442">
      <c r="A442" s="1" t="s">
        <v>1316</v>
      </c>
      <c r="B442" s="92">
        <v>2.7142857142857144</v>
      </c>
      <c r="C442" s="1" t="s">
        <v>864</v>
      </c>
    </row>
    <row r="443">
      <c r="A443" s="1" t="s">
        <v>1317</v>
      </c>
      <c r="B443" s="92">
        <v>2.7142857142857144</v>
      </c>
      <c r="C443" s="1" t="s">
        <v>864</v>
      </c>
    </row>
    <row r="444">
      <c r="A444" s="1" t="s">
        <v>1318</v>
      </c>
      <c r="B444" s="92">
        <v>2.7142857142857144</v>
      </c>
      <c r="C444" s="1" t="s">
        <v>864</v>
      </c>
    </row>
    <row r="445">
      <c r="A445" s="1" t="s">
        <v>1319</v>
      </c>
      <c r="B445" s="92">
        <v>2.7142857142857144</v>
      </c>
      <c r="C445" s="1" t="s">
        <v>864</v>
      </c>
    </row>
    <row r="446">
      <c r="A446" s="1" t="s">
        <v>1320</v>
      </c>
      <c r="B446" s="92">
        <v>2.7142857142857144</v>
      </c>
      <c r="C446" s="1" t="s">
        <v>864</v>
      </c>
    </row>
    <row r="447">
      <c r="A447" s="1" t="s">
        <v>1321</v>
      </c>
      <c r="B447" s="92">
        <v>2.7142857142857144</v>
      </c>
      <c r="C447" s="1" t="s">
        <v>864</v>
      </c>
    </row>
    <row r="448">
      <c r="A448" s="1" t="s">
        <v>1322</v>
      </c>
      <c r="B448" s="92">
        <v>2.7142857142857144</v>
      </c>
      <c r="C448" s="1" t="s">
        <v>864</v>
      </c>
    </row>
    <row r="449">
      <c r="A449" s="1" t="s">
        <v>1323</v>
      </c>
      <c r="B449" s="92">
        <v>2.7142857142857144</v>
      </c>
      <c r="C449" s="1" t="s">
        <v>864</v>
      </c>
    </row>
    <row r="450">
      <c r="A450" s="1" t="s">
        <v>1324</v>
      </c>
      <c r="B450" s="92">
        <v>2.7142857142857144</v>
      </c>
      <c r="C450" s="1" t="s">
        <v>864</v>
      </c>
    </row>
    <row r="451">
      <c r="A451" s="1" t="s">
        <v>1325</v>
      </c>
      <c r="B451" s="92">
        <v>2.7142857142857144</v>
      </c>
      <c r="C451" s="1" t="s">
        <v>864</v>
      </c>
    </row>
    <row r="452">
      <c r="A452" s="1" t="s">
        <v>1326</v>
      </c>
      <c r="B452" s="92">
        <v>2.7142857142857144</v>
      </c>
      <c r="C452" s="1" t="s">
        <v>864</v>
      </c>
    </row>
    <row r="453">
      <c r="A453" s="1" t="s">
        <v>1327</v>
      </c>
      <c r="B453" s="92">
        <v>2.7142857142857144</v>
      </c>
      <c r="C453" s="1" t="s">
        <v>864</v>
      </c>
    </row>
    <row r="454">
      <c r="A454" s="1" t="s">
        <v>1328</v>
      </c>
      <c r="B454" s="92">
        <v>2.7142857142857144</v>
      </c>
      <c r="C454" s="1" t="s">
        <v>864</v>
      </c>
    </row>
    <row r="455">
      <c r="A455" s="1" t="s">
        <v>1329</v>
      </c>
      <c r="B455" s="92">
        <v>2.7142857142857144</v>
      </c>
      <c r="C455" s="1" t="s">
        <v>864</v>
      </c>
    </row>
    <row r="456">
      <c r="A456" s="1" t="s">
        <v>1330</v>
      </c>
      <c r="B456" s="92">
        <v>2.7142857142857144</v>
      </c>
      <c r="C456" s="1" t="s">
        <v>864</v>
      </c>
    </row>
    <row r="457">
      <c r="A457" s="1" t="s">
        <v>1331</v>
      </c>
      <c r="B457" s="92">
        <v>2.7142857142857144</v>
      </c>
      <c r="C457" s="1" t="s">
        <v>864</v>
      </c>
    </row>
    <row r="458">
      <c r="A458" s="1" t="s">
        <v>1332</v>
      </c>
      <c r="B458" s="92">
        <v>2.7142857142857144</v>
      </c>
      <c r="C458" s="1" t="s">
        <v>864</v>
      </c>
    </row>
    <row r="459">
      <c r="A459" s="1" t="s">
        <v>1333</v>
      </c>
      <c r="B459" s="92">
        <v>2.7142857142857144</v>
      </c>
      <c r="C459" s="1" t="s">
        <v>864</v>
      </c>
    </row>
    <row r="460">
      <c r="A460" s="1" t="s">
        <v>1334</v>
      </c>
      <c r="B460" s="92">
        <v>2.7142857142857144</v>
      </c>
      <c r="C460" s="1" t="s">
        <v>864</v>
      </c>
    </row>
    <row r="461">
      <c r="A461" s="1" t="s">
        <v>1335</v>
      </c>
      <c r="B461" s="92">
        <v>2.7142857142857144</v>
      </c>
      <c r="C461" s="1" t="s">
        <v>864</v>
      </c>
    </row>
    <row r="462">
      <c r="A462" s="1" t="s">
        <v>1336</v>
      </c>
      <c r="B462" s="92">
        <v>2.7142857142857144</v>
      </c>
      <c r="C462" s="1" t="s">
        <v>864</v>
      </c>
    </row>
    <row r="463">
      <c r="A463" s="1" t="s">
        <v>1337</v>
      </c>
      <c r="B463" s="92">
        <v>2.7142857142857144</v>
      </c>
      <c r="C463" s="1" t="s">
        <v>864</v>
      </c>
    </row>
    <row r="464">
      <c r="A464" s="1" t="s">
        <v>1338</v>
      </c>
      <c r="B464" s="92">
        <v>2.7142857142857144</v>
      </c>
      <c r="C464" s="1" t="s">
        <v>864</v>
      </c>
    </row>
    <row r="465">
      <c r="A465" s="1" t="s">
        <v>1339</v>
      </c>
      <c r="B465" s="92">
        <v>2.7142857142857144</v>
      </c>
      <c r="C465" s="1" t="s">
        <v>864</v>
      </c>
    </row>
    <row r="466">
      <c r="A466" s="1" t="s">
        <v>1340</v>
      </c>
      <c r="B466" s="92">
        <v>2.7142857142857144</v>
      </c>
      <c r="C466" s="1" t="s">
        <v>864</v>
      </c>
    </row>
    <row r="467">
      <c r="A467" s="1" t="s">
        <v>1341</v>
      </c>
      <c r="B467" s="92">
        <v>2.7142857142857144</v>
      </c>
      <c r="C467" s="1" t="s">
        <v>864</v>
      </c>
    </row>
    <row r="468">
      <c r="A468" s="1" t="s">
        <v>1342</v>
      </c>
      <c r="B468" s="92">
        <v>2.7142857142857144</v>
      </c>
      <c r="C468" s="1" t="s">
        <v>864</v>
      </c>
    </row>
    <row r="469">
      <c r="A469" s="1" t="s">
        <v>1343</v>
      </c>
      <c r="B469" s="92">
        <v>2.7142857142857144</v>
      </c>
      <c r="C469" s="1" t="s">
        <v>864</v>
      </c>
    </row>
    <row r="470">
      <c r="A470" s="1" t="s">
        <v>1344</v>
      </c>
      <c r="B470" s="92">
        <v>2.7142857142857144</v>
      </c>
      <c r="C470" s="1" t="s">
        <v>864</v>
      </c>
    </row>
    <row r="471">
      <c r="A471" s="1" t="s">
        <v>1345</v>
      </c>
      <c r="B471" s="92">
        <v>2.7142857142857144</v>
      </c>
      <c r="C471" s="1" t="s">
        <v>864</v>
      </c>
    </row>
    <row r="472">
      <c r="A472" s="1" t="s">
        <v>1346</v>
      </c>
      <c r="B472" s="92">
        <v>2.7142857142857144</v>
      </c>
      <c r="C472" s="1" t="s">
        <v>864</v>
      </c>
    </row>
    <row r="473">
      <c r="A473" s="1" t="s">
        <v>1347</v>
      </c>
      <c r="B473" s="92">
        <v>2.7142857142857144</v>
      </c>
      <c r="C473" s="1" t="s">
        <v>864</v>
      </c>
    </row>
    <row r="474">
      <c r="A474" s="1" t="s">
        <v>1348</v>
      </c>
      <c r="B474" s="92">
        <v>2.7142857142857144</v>
      </c>
      <c r="C474" s="1" t="s">
        <v>864</v>
      </c>
    </row>
    <row r="475">
      <c r="A475" s="1" t="s">
        <v>1349</v>
      </c>
      <c r="B475" s="92">
        <v>2.7142857142857144</v>
      </c>
      <c r="C475" s="1" t="s">
        <v>864</v>
      </c>
    </row>
    <row r="476">
      <c r="A476" s="1" t="s">
        <v>1350</v>
      </c>
      <c r="B476" s="92">
        <v>2.7142857142857144</v>
      </c>
      <c r="C476" s="1" t="s">
        <v>864</v>
      </c>
    </row>
    <row r="477">
      <c r="A477" s="1" t="s">
        <v>1351</v>
      </c>
      <c r="B477" s="92">
        <v>2.7142857142857144</v>
      </c>
      <c r="C477" s="1" t="s">
        <v>864</v>
      </c>
    </row>
    <row r="478">
      <c r="A478" s="1" t="s">
        <v>1352</v>
      </c>
      <c r="B478" s="92">
        <v>2.7142857142857144</v>
      </c>
      <c r="C478" s="1" t="s">
        <v>864</v>
      </c>
    </row>
    <row r="479">
      <c r="A479" s="1" t="s">
        <v>1353</v>
      </c>
      <c r="B479" s="92">
        <v>2.7142857142857144</v>
      </c>
      <c r="C479" s="1" t="s">
        <v>864</v>
      </c>
    </row>
    <row r="480">
      <c r="A480" s="1" t="s">
        <v>1354</v>
      </c>
      <c r="B480" s="92">
        <v>2.7142857142857144</v>
      </c>
      <c r="C480" s="1" t="s">
        <v>864</v>
      </c>
    </row>
    <row r="481">
      <c r="A481" s="1" t="s">
        <v>1355</v>
      </c>
      <c r="B481" s="92">
        <v>2.7142857142857144</v>
      </c>
      <c r="C481" s="1" t="s">
        <v>864</v>
      </c>
    </row>
    <row r="482">
      <c r="A482" s="1" t="s">
        <v>1356</v>
      </c>
      <c r="B482" s="92">
        <v>2.7142857142857144</v>
      </c>
      <c r="C482" s="1" t="s">
        <v>864</v>
      </c>
    </row>
    <row r="483">
      <c r="A483" s="1" t="s">
        <v>1357</v>
      </c>
      <c r="B483" s="92">
        <v>2.7142857142857144</v>
      </c>
      <c r="C483" s="1" t="s">
        <v>864</v>
      </c>
    </row>
    <row r="484">
      <c r="A484" s="1" t="s">
        <v>1358</v>
      </c>
      <c r="B484" s="92">
        <v>2.7142857142857144</v>
      </c>
      <c r="C484" s="1" t="s">
        <v>864</v>
      </c>
    </row>
    <row r="485">
      <c r="A485" s="1" t="s">
        <v>1359</v>
      </c>
      <c r="B485" s="92">
        <v>2.7142857142857144</v>
      </c>
      <c r="C485" s="1" t="s">
        <v>864</v>
      </c>
    </row>
    <row r="486">
      <c r="A486" s="1" t="s">
        <v>1360</v>
      </c>
      <c r="B486" s="92">
        <v>2.7142857142857144</v>
      </c>
      <c r="C486" s="1" t="s">
        <v>864</v>
      </c>
    </row>
    <row r="487">
      <c r="A487" s="1" t="s">
        <v>1361</v>
      </c>
      <c r="B487" s="92">
        <v>2.7142857142857144</v>
      </c>
      <c r="C487" s="1" t="s">
        <v>864</v>
      </c>
    </row>
    <row r="488">
      <c r="A488" s="1" t="s">
        <v>1362</v>
      </c>
      <c r="B488" s="92">
        <v>2.7142857142857144</v>
      </c>
      <c r="C488" s="1" t="s">
        <v>864</v>
      </c>
    </row>
    <row r="489">
      <c r="A489" s="1" t="s">
        <v>1363</v>
      </c>
      <c r="B489" s="92">
        <v>2.7142857142857144</v>
      </c>
      <c r="C489" s="1" t="s">
        <v>864</v>
      </c>
    </row>
    <row r="490">
      <c r="A490" s="1" t="s">
        <v>1364</v>
      </c>
      <c r="B490" s="92">
        <v>2.7142857142857144</v>
      </c>
      <c r="C490" s="1" t="s">
        <v>864</v>
      </c>
    </row>
    <row r="491">
      <c r="A491" s="1" t="s">
        <v>1365</v>
      </c>
      <c r="B491" s="92">
        <v>2.7142857142857144</v>
      </c>
      <c r="C491" s="1" t="s">
        <v>864</v>
      </c>
    </row>
    <row r="492">
      <c r="A492" s="1" t="s">
        <v>1366</v>
      </c>
      <c r="B492" s="92">
        <v>2.7142857142857144</v>
      </c>
      <c r="C492" s="1" t="s">
        <v>864</v>
      </c>
    </row>
    <row r="493">
      <c r="A493" s="1" t="s">
        <v>1367</v>
      </c>
      <c r="B493" s="92">
        <v>2.7142857142857144</v>
      </c>
      <c r="C493" s="1" t="s">
        <v>864</v>
      </c>
    </row>
    <row r="494">
      <c r="A494" s="1" t="s">
        <v>1368</v>
      </c>
      <c r="B494" s="92">
        <v>2.7857142857142856</v>
      </c>
      <c r="C494" s="1" t="s">
        <v>864</v>
      </c>
    </row>
    <row r="495">
      <c r="A495" s="1" t="s">
        <v>1369</v>
      </c>
      <c r="B495" s="92">
        <v>2.7857142857142856</v>
      </c>
      <c r="C495" s="1" t="s">
        <v>864</v>
      </c>
    </row>
    <row r="496">
      <c r="A496" s="1" t="s">
        <v>1370</v>
      </c>
      <c r="B496" s="92">
        <v>2.7857142857142856</v>
      </c>
      <c r="C496" s="1" t="s">
        <v>864</v>
      </c>
    </row>
    <row r="497">
      <c r="A497" s="1" t="s">
        <v>1371</v>
      </c>
      <c r="B497" s="92">
        <v>2.7857142857142856</v>
      </c>
      <c r="C497" s="1" t="s">
        <v>864</v>
      </c>
    </row>
    <row r="498">
      <c r="A498" s="1" t="s">
        <v>1372</v>
      </c>
      <c r="B498" s="92">
        <v>2.7857142857142856</v>
      </c>
      <c r="C498" s="1" t="s">
        <v>864</v>
      </c>
    </row>
    <row r="499">
      <c r="A499" s="1" t="s">
        <v>1373</v>
      </c>
      <c r="B499" s="92">
        <v>2.7857142857142856</v>
      </c>
      <c r="C499" s="1" t="s">
        <v>864</v>
      </c>
    </row>
    <row r="500">
      <c r="A500" s="1" t="s">
        <v>1374</v>
      </c>
      <c r="B500" s="92">
        <v>2.7857142857142856</v>
      </c>
      <c r="C500" s="1" t="s">
        <v>864</v>
      </c>
    </row>
    <row r="501">
      <c r="A501" s="1" t="s">
        <v>1375</v>
      </c>
      <c r="B501" s="92">
        <v>2.7857142857142856</v>
      </c>
      <c r="C501" s="1" t="s">
        <v>864</v>
      </c>
    </row>
    <row r="502">
      <c r="A502" s="1" t="s">
        <v>1376</v>
      </c>
      <c r="B502" s="92">
        <v>2.857142857142857</v>
      </c>
      <c r="C502" s="1" t="s">
        <v>864</v>
      </c>
    </row>
    <row r="503">
      <c r="A503" s="1" t="s">
        <v>1377</v>
      </c>
      <c r="B503" s="92">
        <v>2.857142857142857</v>
      </c>
      <c r="C503" s="1" t="s">
        <v>864</v>
      </c>
    </row>
    <row r="504">
      <c r="A504" s="1" t="s">
        <v>1378</v>
      </c>
      <c r="B504" s="92">
        <v>2.857142857142857</v>
      </c>
      <c r="C504" s="1" t="s">
        <v>864</v>
      </c>
    </row>
    <row r="505">
      <c r="A505" s="1" t="s">
        <v>1379</v>
      </c>
      <c r="B505" s="92">
        <v>2.857142857142857</v>
      </c>
      <c r="C505" s="1" t="s">
        <v>864</v>
      </c>
    </row>
    <row r="506">
      <c r="A506" s="1" t="s">
        <v>1380</v>
      </c>
      <c r="B506" s="92">
        <v>2.857142857142857</v>
      </c>
      <c r="C506" s="1" t="s">
        <v>864</v>
      </c>
    </row>
    <row r="507">
      <c r="A507" s="1" t="s">
        <v>1381</v>
      </c>
      <c r="B507" s="92">
        <v>2.857142857142857</v>
      </c>
      <c r="C507" s="1" t="s">
        <v>864</v>
      </c>
    </row>
    <row r="508">
      <c r="A508" s="1" t="s">
        <v>1382</v>
      </c>
      <c r="B508" s="92">
        <v>2.9285714285714284</v>
      </c>
      <c r="C508" s="1" t="s">
        <v>864</v>
      </c>
    </row>
    <row r="509">
      <c r="A509" s="1" t="s">
        <v>1383</v>
      </c>
      <c r="B509" s="92">
        <v>2.9285714285714284</v>
      </c>
      <c r="C509" s="1" t="s">
        <v>864</v>
      </c>
    </row>
    <row r="510">
      <c r="A510" s="1" t="s">
        <v>1384</v>
      </c>
      <c r="B510" s="92">
        <v>2.9285714285714284</v>
      </c>
      <c r="C510" s="1" t="s">
        <v>864</v>
      </c>
    </row>
    <row r="511">
      <c r="A511" s="1" t="s">
        <v>1385</v>
      </c>
      <c r="B511" s="92">
        <v>3.0</v>
      </c>
      <c r="C511" s="1" t="s">
        <v>864</v>
      </c>
    </row>
    <row r="512">
      <c r="A512" s="1" t="s">
        <v>1386</v>
      </c>
      <c r="B512" s="92">
        <v>3.0</v>
      </c>
      <c r="C512" s="1" t="s">
        <v>864</v>
      </c>
    </row>
    <row r="513">
      <c r="A513" s="1" t="s">
        <v>1387</v>
      </c>
      <c r="B513" s="92">
        <v>3.0</v>
      </c>
      <c r="C513" s="1" t="s">
        <v>864</v>
      </c>
    </row>
    <row r="514">
      <c r="A514" s="1" t="s">
        <v>1388</v>
      </c>
      <c r="B514" s="92">
        <v>3.0</v>
      </c>
      <c r="C514" s="1" t="s">
        <v>864</v>
      </c>
    </row>
    <row r="515">
      <c r="A515" s="1" t="s">
        <v>1389</v>
      </c>
      <c r="B515" s="92">
        <v>3.0714285714285716</v>
      </c>
      <c r="C515" s="1" t="s">
        <v>864</v>
      </c>
    </row>
    <row r="516">
      <c r="A516" s="1" t="s">
        <v>1390</v>
      </c>
      <c r="B516" s="92">
        <v>3.0714285714285716</v>
      </c>
      <c r="C516" s="1" t="s">
        <v>864</v>
      </c>
    </row>
    <row r="517">
      <c r="A517" s="1" t="s">
        <v>1391</v>
      </c>
      <c r="B517" s="92">
        <v>3.0714285714285716</v>
      </c>
      <c r="C517" s="1" t="s">
        <v>864</v>
      </c>
    </row>
    <row r="518">
      <c r="A518" s="1" t="s">
        <v>1392</v>
      </c>
      <c r="B518" s="92">
        <v>3.0714285714285716</v>
      </c>
      <c r="C518" s="1" t="s">
        <v>864</v>
      </c>
    </row>
    <row r="519">
      <c r="A519" s="1" t="s">
        <v>1393</v>
      </c>
      <c r="B519" s="92">
        <v>3.0714285714285716</v>
      </c>
      <c r="C519" s="1" t="s">
        <v>864</v>
      </c>
    </row>
    <row r="520">
      <c r="A520" s="1" t="s">
        <v>1394</v>
      </c>
      <c r="B520" s="92">
        <v>3.0714285714285716</v>
      </c>
      <c r="C520" s="1" t="s">
        <v>864</v>
      </c>
    </row>
    <row r="521">
      <c r="A521" s="1" t="s">
        <v>1395</v>
      </c>
      <c r="B521" s="92">
        <v>3.0714285714285716</v>
      </c>
      <c r="C521" s="1" t="s">
        <v>864</v>
      </c>
    </row>
    <row r="522">
      <c r="A522" s="1" t="s">
        <v>1396</v>
      </c>
      <c r="B522" s="92">
        <v>3.0714285714285716</v>
      </c>
      <c r="C522" s="1" t="s">
        <v>864</v>
      </c>
    </row>
    <row r="523">
      <c r="A523" s="1" t="s">
        <v>1397</v>
      </c>
      <c r="B523" s="92">
        <v>3.142857142857143</v>
      </c>
      <c r="C523" s="1" t="s">
        <v>864</v>
      </c>
    </row>
    <row r="524">
      <c r="A524" s="1" t="s">
        <v>1398</v>
      </c>
      <c r="B524" s="92">
        <v>3.2857142857142856</v>
      </c>
      <c r="C524" s="1" t="s">
        <v>864</v>
      </c>
    </row>
    <row r="525">
      <c r="A525" s="1" t="s">
        <v>1399</v>
      </c>
      <c r="B525" s="92">
        <v>3.4285714285714284</v>
      </c>
      <c r="C525" s="1" t="s">
        <v>864</v>
      </c>
    </row>
    <row r="526">
      <c r="A526" s="1"/>
      <c r="B526" s="92"/>
      <c r="C526" s="1"/>
    </row>
    <row r="527">
      <c r="A527" s="1"/>
      <c r="B527" s="92"/>
      <c r="C527" s="1"/>
    </row>
    <row r="528">
      <c r="A528" s="1"/>
      <c r="B528" s="92"/>
      <c r="C528" s="1"/>
    </row>
    <row r="529">
      <c r="A529" s="1"/>
      <c r="B529" s="92"/>
      <c r="C529" s="1"/>
    </row>
    <row r="530">
      <c r="A530" s="1"/>
      <c r="B530" s="92"/>
      <c r="C530" s="1"/>
    </row>
    <row r="531">
      <c r="A531" s="1"/>
      <c r="B531" s="92"/>
      <c r="C531" s="1"/>
    </row>
    <row r="532">
      <c r="A532" s="1"/>
      <c r="B532" s="92"/>
      <c r="C532" s="1"/>
    </row>
    <row r="533">
      <c r="A533" s="1"/>
      <c r="B533" s="92"/>
      <c r="C533" s="1"/>
    </row>
    <row r="534">
      <c r="A534" s="1"/>
      <c r="B534" s="92"/>
      <c r="C534" s="1"/>
    </row>
    <row r="535">
      <c r="A535" s="1"/>
      <c r="B535" s="92"/>
      <c r="C535" s="1"/>
    </row>
    <row r="536">
      <c r="A536" s="1"/>
      <c r="B536" s="92"/>
      <c r="C536" s="1"/>
    </row>
    <row r="537">
      <c r="A537" s="1"/>
      <c r="B537" s="92"/>
      <c r="C537" s="1"/>
    </row>
    <row r="538">
      <c r="A538" s="1"/>
      <c r="B538" s="92"/>
      <c r="C538" s="1"/>
    </row>
    <row r="539">
      <c r="A539" s="1"/>
      <c r="B539" s="92"/>
      <c r="C539" s="1"/>
    </row>
    <row r="540">
      <c r="A540" s="1"/>
      <c r="B540" s="92"/>
      <c r="C540" s="1"/>
    </row>
    <row r="541">
      <c r="A541" s="1"/>
      <c r="B541" s="92"/>
      <c r="C541" s="1"/>
    </row>
    <row r="542">
      <c r="A542" s="1"/>
      <c r="B542" s="92"/>
      <c r="C542" s="1"/>
    </row>
    <row r="543">
      <c r="A543" s="1"/>
      <c r="B543" s="92"/>
      <c r="C543" s="1"/>
    </row>
    <row r="544">
      <c r="A544" s="1"/>
      <c r="B544" s="92"/>
      <c r="C544" s="1"/>
    </row>
    <row r="545">
      <c r="A545" s="1"/>
      <c r="B545" s="92"/>
      <c r="C545" s="1"/>
    </row>
    <row r="546">
      <c r="A546" s="1"/>
      <c r="B546" s="92"/>
      <c r="C546" s="1"/>
    </row>
    <row r="547">
      <c r="A547" s="1"/>
      <c r="B547" s="92"/>
      <c r="C547" s="1"/>
    </row>
    <row r="548">
      <c r="A548" s="1"/>
      <c r="B548" s="92"/>
      <c r="C548" s="1"/>
    </row>
    <row r="549">
      <c r="A549" s="1"/>
      <c r="B549" s="92"/>
      <c r="C549" s="1"/>
    </row>
    <row r="550">
      <c r="A550" s="1"/>
      <c r="B550" s="92"/>
      <c r="C550" s="1"/>
    </row>
    <row r="551">
      <c r="A551" s="1"/>
      <c r="B551" s="92"/>
      <c r="C551" s="1"/>
    </row>
    <row r="552">
      <c r="A552" s="1"/>
      <c r="B552" s="92"/>
      <c r="C552" s="1"/>
    </row>
    <row r="553">
      <c r="A553" s="1"/>
      <c r="B553" s="92"/>
      <c r="C553" s="1"/>
    </row>
    <row r="554">
      <c r="A554" s="1"/>
      <c r="B554" s="92"/>
      <c r="C554" s="1"/>
    </row>
    <row r="555">
      <c r="A555" s="1"/>
      <c r="B555" s="92"/>
      <c r="C555" s="1"/>
    </row>
    <row r="556">
      <c r="A556" s="1"/>
      <c r="B556" s="92"/>
      <c r="C556" s="1"/>
    </row>
    <row r="557">
      <c r="A557" s="1"/>
      <c r="B557" s="92"/>
      <c r="C557" s="1"/>
    </row>
    <row r="558">
      <c r="A558" s="1"/>
      <c r="B558" s="92"/>
      <c r="C558" s="1"/>
    </row>
    <row r="559">
      <c r="A559" s="1"/>
      <c r="B559" s="92"/>
      <c r="C559" s="1"/>
    </row>
    <row r="560">
      <c r="A560" s="1"/>
      <c r="B560" s="92"/>
      <c r="C560" s="1"/>
    </row>
    <row r="561">
      <c r="A561" s="1"/>
      <c r="B561" s="92"/>
      <c r="C561" s="1"/>
    </row>
    <row r="562">
      <c r="A562" s="1"/>
      <c r="B562" s="92"/>
      <c r="C562" s="1"/>
    </row>
    <row r="563">
      <c r="A563" s="1"/>
      <c r="B563" s="92"/>
      <c r="C563" s="1"/>
    </row>
    <row r="564">
      <c r="A564" s="1"/>
      <c r="B564" s="92"/>
      <c r="C564" s="1"/>
    </row>
    <row r="565">
      <c r="A565" s="1"/>
      <c r="B565" s="92"/>
      <c r="C565" s="1"/>
    </row>
    <row r="566">
      <c r="A566" s="1"/>
      <c r="B566" s="92"/>
      <c r="C566" s="1"/>
    </row>
    <row r="567">
      <c r="A567" s="1"/>
      <c r="B567" s="92"/>
      <c r="C567" s="1"/>
    </row>
    <row r="568">
      <c r="A568" s="1"/>
      <c r="B568" s="92"/>
      <c r="C568" s="1"/>
    </row>
    <row r="569">
      <c r="A569" s="1"/>
      <c r="B569" s="92"/>
      <c r="C569" s="1"/>
    </row>
    <row r="570">
      <c r="A570" s="1"/>
      <c r="B570" s="92"/>
      <c r="C570" s="1"/>
    </row>
    <row r="571">
      <c r="A571" s="1"/>
      <c r="B571" s="92"/>
      <c r="C571" s="1"/>
    </row>
    <row r="572">
      <c r="A572" s="1"/>
      <c r="B572" s="92"/>
      <c r="C572" s="1"/>
    </row>
    <row r="573">
      <c r="A573" s="1"/>
      <c r="B573" s="92"/>
      <c r="C573" s="1"/>
    </row>
    <row r="574">
      <c r="A574" s="1"/>
      <c r="B574" s="92"/>
      <c r="C574" s="1"/>
    </row>
    <row r="575">
      <c r="A575" s="1"/>
      <c r="B575" s="92"/>
      <c r="C575" s="1"/>
    </row>
    <row r="576">
      <c r="A576" s="1"/>
      <c r="B576" s="92"/>
      <c r="C576" s="1"/>
    </row>
    <row r="577">
      <c r="A577" s="1"/>
      <c r="B577" s="92"/>
      <c r="C577" s="1"/>
    </row>
    <row r="578">
      <c r="A578" s="1"/>
      <c r="B578" s="92"/>
      <c r="C578" s="1"/>
    </row>
    <row r="579">
      <c r="A579" s="1"/>
      <c r="B579" s="92"/>
      <c r="C579" s="1"/>
    </row>
    <row r="580">
      <c r="A580" s="1"/>
      <c r="B580" s="92"/>
      <c r="C580" s="1"/>
    </row>
    <row r="581">
      <c r="A581" s="1"/>
      <c r="B581" s="92"/>
      <c r="C581" s="1"/>
    </row>
    <row r="582">
      <c r="A582" s="1"/>
      <c r="B582" s="92"/>
      <c r="C582" s="1"/>
    </row>
    <row r="583">
      <c r="A583" s="1"/>
      <c r="B583" s="92"/>
      <c r="C583" s="1"/>
    </row>
    <row r="584">
      <c r="A584" s="1"/>
      <c r="B584" s="92"/>
      <c r="C584" s="1"/>
    </row>
    <row r="585">
      <c r="A585" s="1"/>
      <c r="B585" s="92"/>
      <c r="C585" s="1"/>
    </row>
    <row r="586">
      <c r="A586" s="1"/>
      <c r="B586" s="92"/>
      <c r="C586" s="1"/>
    </row>
    <row r="587">
      <c r="A587" s="1"/>
      <c r="B587" s="92"/>
      <c r="C587" s="1"/>
    </row>
    <row r="588">
      <c r="A588" s="1"/>
      <c r="B588" s="92"/>
      <c r="C588" s="1"/>
    </row>
    <row r="589">
      <c r="A589" s="1"/>
      <c r="B589" s="92"/>
      <c r="C589" s="1"/>
    </row>
    <row r="590">
      <c r="A590" s="1"/>
      <c r="B590" s="92"/>
      <c r="C590" s="1"/>
    </row>
    <row r="591">
      <c r="A591" s="1"/>
      <c r="B591" s="92"/>
      <c r="C591" s="1"/>
    </row>
    <row r="592">
      <c r="A592" s="1"/>
      <c r="B592" s="92"/>
      <c r="C592" s="1"/>
    </row>
    <row r="593">
      <c r="A593" s="1"/>
      <c r="B593" s="92"/>
      <c r="C593" s="1"/>
    </row>
    <row r="594">
      <c r="A594" s="1"/>
      <c r="B594" s="92"/>
      <c r="C594" s="1"/>
    </row>
    <row r="595">
      <c r="A595" s="1"/>
      <c r="B595" s="92"/>
      <c r="C595" s="1"/>
    </row>
    <row r="596">
      <c r="A596" s="1"/>
      <c r="B596" s="92"/>
      <c r="C596" s="1"/>
    </row>
    <row r="597">
      <c r="A597" s="1"/>
      <c r="B597" s="92"/>
      <c r="C597" s="1"/>
    </row>
    <row r="598">
      <c r="A598" s="1"/>
      <c r="B598" s="92"/>
      <c r="C598" s="1"/>
    </row>
    <row r="599">
      <c r="A599" s="1"/>
      <c r="B599" s="92"/>
      <c r="C599" s="1"/>
    </row>
    <row r="600">
      <c r="A600" s="1"/>
      <c r="B600" s="92"/>
      <c r="C600" s="1"/>
    </row>
    <row r="601">
      <c r="A601" s="1"/>
      <c r="B601" s="92"/>
      <c r="C601" s="1"/>
    </row>
    <row r="602">
      <c r="A602" s="1"/>
      <c r="B602" s="92"/>
      <c r="C602" s="1"/>
    </row>
    <row r="603">
      <c r="A603" s="1"/>
      <c r="B603" s="92"/>
      <c r="C603" s="1"/>
    </row>
    <row r="604">
      <c r="A604" s="1"/>
      <c r="B604" s="92"/>
      <c r="C604" s="1"/>
    </row>
    <row r="605">
      <c r="A605" s="1"/>
      <c r="B605" s="92"/>
      <c r="C605" s="1"/>
    </row>
    <row r="606">
      <c r="A606" s="1"/>
      <c r="B606" s="92"/>
      <c r="C606" s="1"/>
    </row>
    <row r="607">
      <c r="A607" s="1"/>
      <c r="B607" s="92"/>
      <c r="C607" s="1"/>
    </row>
    <row r="608">
      <c r="A608" s="1"/>
      <c r="B608" s="92"/>
      <c r="C608" s="1"/>
    </row>
    <row r="609">
      <c r="A609" s="1"/>
      <c r="B609" s="92"/>
      <c r="C609" s="1"/>
    </row>
    <row r="610">
      <c r="A610" s="1"/>
      <c r="B610" s="92"/>
      <c r="C610" s="1"/>
    </row>
    <row r="611">
      <c r="A611" s="1"/>
      <c r="B611" s="92"/>
      <c r="C611" s="1"/>
    </row>
    <row r="612">
      <c r="A612" s="1"/>
      <c r="B612" s="92"/>
      <c r="C612" s="1"/>
    </row>
    <row r="613">
      <c r="A613" s="1"/>
      <c r="B613" s="92"/>
      <c r="C613" s="1"/>
    </row>
    <row r="614">
      <c r="A614" s="1"/>
      <c r="B614" s="92"/>
      <c r="C614" s="1"/>
    </row>
    <row r="615">
      <c r="A615" s="1"/>
      <c r="B615" s="92"/>
      <c r="C615" s="1"/>
    </row>
    <row r="616">
      <c r="A616" s="1"/>
      <c r="B616" s="92"/>
      <c r="C616" s="1"/>
    </row>
    <row r="617">
      <c r="A617" s="1"/>
      <c r="B617" s="92"/>
      <c r="C617" s="1"/>
    </row>
    <row r="618">
      <c r="A618" s="1"/>
      <c r="B618" s="92"/>
      <c r="C618" s="1"/>
    </row>
    <row r="619">
      <c r="A619" s="1"/>
      <c r="B619" s="92"/>
      <c r="C619" s="1"/>
    </row>
    <row r="620">
      <c r="A620" s="1"/>
      <c r="B620" s="92"/>
      <c r="C620" s="1"/>
    </row>
    <row r="621">
      <c r="A621" s="1"/>
      <c r="B621" s="92"/>
      <c r="C621" s="1"/>
    </row>
    <row r="622">
      <c r="A622" s="1"/>
      <c r="B622" s="92"/>
      <c r="C622" s="1"/>
    </row>
    <row r="623">
      <c r="A623" s="1"/>
      <c r="B623" s="92"/>
      <c r="C623" s="1"/>
    </row>
    <row r="624">
      <c r="A624" s="1"/>
      <c r="B624" s="92"/>
      <c r="C624" s="1"/>
    </row>
    <row r="625">
      <c r="A625" s="1"/>
      <c r="B625" s="92"/>
      <c r="C625" s="1"/>
    </row>
    <row r="626">
      <c r="A626" s="1"/>
      <c r="B626" s="92"/>
      <c r="C626" s="1"/>
    </row>
    <row r="627">
      <c r="A627" s="1"/>
      <c r="B627" s="92"/>
      <c r="C627" s="1"/>
    </row>
    <row r="628">
      <c r="A628" s="1"/>
      <c r="B628" s="92"/>
      <c r="C628" s="1"/>
    </row>
    <row r="629">
      <c r="A629" s="1"/>
      <c r="B629" s="92"/>
      <c r="C629" s="1"/>
    </row>
    <row r="630">
      <c r="A630" s="1"/>
      <c r="B630" s="92"/>
      <c r="C630" s="1"/>
    </row>
    <row r="631">
      <c r="A631" s="1"/>
      <c r="B631" s="92"/>
      <c r="C631" s="1"/>
    </row>
    <row r="632">
      <c r="A632" s="1"/>
      <c r="B632" s="92"/>
      <c r="C632" s="1"/>
    </row>
    <row r="633">
      <c r="A633" s="1"/>
      <c r="B633" s="92"/>
      <c r="C633" s="1"/>
    </row>
    <row r="634">
      <c r="A634" s="1"/>
      <c r="B634" s="92"/>
      <c r="C634" s="1"/>
    </row>
    <row r="635">
      <c r="A635" s="1"/>
      <c r="B635" s="92"/>
      <c r="C635" s="1"/>
    </row>
    <row r="636">
      <c r="A636" s="1"/>
      <c r="B636" s="92"/>
      <c r="C636" s="1"/>
    </row>
    <row r="637">
      <c r="A637" s="1"/>
      <c r="B637" s="92"/>
      <c r="C637" s="1"/>
    </row>
    <row r="638">
      <c r="A638" s="1"/>
      <c r="B638" s="92"/>
      <c r="C638" s="1"/>
    </row>
    <row r="639">
      <c r="A639" s="1"/>
      <c r="B639" s="92"/>
      <c r="C639" s="1"/>
    </row>
    <row r="640">
      <c r="A640" s="1"/>
      <c r="B640" s="92"/>
      <c r="C640" s="1"/>
    </row>
    <row r="641">
      <c r="A641" s="1"/>
      <c r="B641" s="92"/>
      <c r="C641" s="1"/>
    </row>
    <row r="642">
      <c r="A642" s="1"/>
      <c r="B642" s="92"/>
      <c r="C642" s="1"/>
    </row>
    <row r="643">
      <c r="A643" s="1"/>
      <c r="B643" s="92"/>
      <c r="C643" s="1"/>
    </row>
    <row r="644">
      <c r="A644" s="1"/>
      <c r="B644" s="92"/>
      <c r="C644" s="1"/>
    </row>
    <row r="645">
      <c r="A645" s="1"/>
      <c r="B645" s="92"/>
      <c r="C645" s="1"/>
    </row>
    <row r="646">
      <c r="A646" s="1"/>
      <c r="B646" s="92"/>
      <c r="C646" s="1"/>
    </row>
    <row r="647">
      <c r="A647" s="1"/>
      <c r="B647" s="92"/>
      <c r="C647" s="1"/>
    </row>
    <row r="648">
      <c r="A648" s="1"/>
      <c r="B648" s="92"/>
      <c r="C648" s="1"/>
    </row>
    <row r="649">
      <c r="A649" s="1"/>
      <c r="B649" s="92"/>
      <c r="C649" s="1"/>
    </row>
    <row r="650">
      <c r="A650" s="1"/>
      <c r="B650" s="92"/>
      <c r="C650" s="1"/>
    </row>
    <row r="651">
      <c r="A651" s="1"/>
      <c r="B651" s="92"/>
      <c r="C651" s="1"/>
    </row>
    <row r="652">
      <c r="A652" s="1"/>
      <c r="B652" s="92"/>
      <c r="C652" s="1"/>
    </row>
    <row r="653">
      <c r="A653" s="1"/>
      <c r="B653" s="92"/>
      <c r="C653" s="1"/>
    </row>
    <row r="654">
      <c r="A654" s="1"/>
      <c r="B654" s="92"/>
      <c r="C654" s="1"/>
    </row>
    <row r="655">
      <c r="A655" s="1"/>
      <c r="B655" s="92"/>
      <c r="C655" s="1"/>
    </row>
    <row r="656">
      <c r="A656" s="1"/>
      <c r="B656" s="92"/>
      <c r="C656" s="1"/>
    </row>
    <row r="657">
      <c r="A657" s="1"/>
      <c r="B657" s="92"/>
      <c r="C657" s="1"/>
    </row>
    <row r="658">
      <c r="A658" s="1"/>
      <c r="B658" s="92"/>
      <c r="C658" s="1"/>
    </row>
    <row r="659">
      <c r="A659" s="1"/>
      <c r="B659" s="92"/>
      <c r="C659" s="1"/>
    </row>
    <row r="660">
      <c r="A660" s="1"/>
      <c r="B660" s="92"/>
      <c r="C660" s="1"/>
    </row>
    <row r="661">
      <c r="A661" s="1"/>
      <c r="B661" s="92"/>
      <c r="C661" s="1"/>
    </row>
    <row r="662">
      <c r="A662" s="1"/>
      <c r="B662" s="92"/>
      <c r="C662" s="1"/>
    </row>
    <row r="663">
      <c r="A663" s="1"/>
      <c r="B663" s="92"/>
      <c r="C663" s="1"/>
    </row>
    <row r="664">
      <c r="A664" s="1"/>
      <c r="B664" s="92"/>
      <c r="C664" s="1"/>
    </row>
    <row r="665">
      <c r="A665" s="1"/>
      <c r="B665" s="92"/>
      <c r="C665" s="1"/>
    </row>
    <row r="666">
      <c r="A666" s="1"/>
      <c r="B666" s="92"/>
      <c r="C666" s="1"/>
    </row>
    <row r="667">
      <c r="A667" s="1"/>
      <c r="B667" s="92"/>
      <c r="C667" s="1"/>
    </row>
    <row r="668">
      <c r="A668" s="1"/>
      <c r="B668" s="92"/>
      <c r="C668" s="1"/>
    </row>
    <row r="669">
      <c r="A669" s="1"/>
      <c r="B669" s="92"/>
      <c r="C669" s="1"/>
    </row>
    <row r="670">
      <c r="A670" s="1"/>
      <c r="B670" s="92"/>
      <c r="C670" s="1"/>
    </row>
    <row r="671">
      <c r="A671" s="1"/>
      <c r="B671" s="92"/>
      <c r="C671" s="1"/>
    </row>
    <row r="672">
      <c r="A672" s="1"/>
      <c r="B672" s="92"/>
      <c r="C672" s="1"/>
    </row>
    <row r="673">
      <c r="A673" s="1"/>
      <c r="B673" s="92"/>
      <c r="C673" s="1"/>
    </row>
    <row r="674">
      <c r="A674" s="1"/>
      <c r="B674" s="92"/>
      <c r="C674" s="1"/>
    </row>
    <row r="675">
      <c r="A675" s="1"/>
      <c r="B675" s="92"/>
      <c r="C675" s="1"/>
    </row>
    <row r="676">
      <c r="A676" s="1"/>
      <c r="B676" s="92"/>
      <c r="C676" s="1"/>
    </row>
    <row r="677">
      <c r="A677" s="1"/>
      <c r="B677" s="92"/>
      <c r="C677" s="1"/>
    </row>
    <row r="678">
      <c r="A678" s="1"/>
      <c r="B678" s="92"/>
      <c r="C678" s="1"/>
    </row>
    <row r="679">
      <c r="A679" s="1"/>
      <c r="B679" s="92"/>
      <c r="C679" s="1"/>
    </row>
    <row r="680">
      <c r="A680" s="1"/>
      <c r="B680" s="92"/>
      <c r="C680" s="1"/>
    </row>
    <row r="681">
      <c r="A681" s="1"/>
      <c r="B681" s="92"/>
      <c r="C681" s="1"/>
    </row>
    <row r="682">
      <c r="A682" s="1"/>
      <c r="B682" s="92"/>
      <c r="C682" s="1"/>
    </row>
    <row r="683">
      <c r="A683" s="1"/>
      <c r="B683" s="92"/>
      <c r="C683" s="1"/>
    </row>
    <row r="684">
      <c r="A684" s="1"/>
      <c r="B684" s="92"/>
      <c r="C684" s="1"/>
    </row>
    <row r="685">
      <c r="A685" s="1"/>
      <c r="B685" s="92"/>
      <c r="C685" s="1"/>
    </row>
    <row r="686">
      <c r="A686" s="1"/>
      <c r="B686" s="92"/>
      <c r="C686" s="1"/>
    </row>
    <row r="687">
      <c r="A687" s="1"/>
      <c r="B687" s="92"/>
      <c r="C687" s="1"/>
    </row>
    <row r="688">
      <c r="A688" s="1"/>
      <c r="B688" s="92"/>
      <c r="C688" s="1"/>
    </row>
    <row r="689">
      <c r="A689" s="1"/>
      <c r="B689" s="92"/>
      <c r="C689" s="1"/>
    </row>
    <row r="690">
      <c r="A690" s="1"/>
      <c r="B690" s="92"/>
      <c r="C690" s="1"/>
    </row>
    <row r="691">
      <c r="A691" s="1"/>
      <c r="B691" s="92"/>
      <c r="C691" s="1"/>
    </row>
    <row r="692">
      <c r="A692" s="1"/>
      <c r="B692" s="92"/>
      <c r="C692" s="1"/>
    </row>
    <row r="693">
      <c r="A693" s="1"/>
      <c r="B693" s="92"/>
      <c r="C693" s="1"/>
    </row>
    <row r="694">
      <c r="A694" s="1"/>
      <c r="B694" s="92"/>
      <c r="C694" s="1"/>
    </row>
    <row r="695">
      <c r="A695" s="1"/>
      <c r="B695" s="92"/>
      <c r="C695" s="1"/>
    </row>
    <row r="696">
      <c r="A696" s="1"/>
      <c r="B696" s="92"/>
      <c r="C696" s="1"/>
    </row>
    <row r="697">
      <c r="A697" s="1"/>
      <c r="B697" s="92"/>
      <c r="C697" s="1"/>
    </row>
    <row r="698">
      <c r="A698" s="1"/>
      <c r="B698" s="92"/>
      <c r="C698" s="1"/>
    </row>
    <row r="699">
      <c r="A699" s="1"/>
      <c r="B699" s="92"/>
      <c r="C699" s="1"/>
    </row>
    <row r="700">
      <c r="A700" s="1"/>
      <c r="B700" s="92"/>
      <c r="C700" s="1"/>
    </row>
    <row r="701">
      <c r="A701" s="1"/>
      <c r="B701" s="92"/>
      <c r="C701" s="1"/>
    </row>
    <row r="702">
      <c r="A702" s="1"/>
      <c r="B702" s="92"/>
      <c r="C702" s="1"/>
    </row>
    <row r="703">
      <c r="B703" s="93"/>
    </row>
    <row r="704">
      <c r="B704" s="93"/>
    </row>
    <row r="705">
      <c r="B705" s="93"/>
    </row>
    <row r="706">
      <c r="B706" s="93"/>
    </row>
    <row r="707">
      <c r="B707" s="93"/>
    </row>
    <row r="708">
      <c r="B708" s="93"/>
    </row>
    <row r="709">
      <c r="B709" s="93"/>
    </row>
    <row r="710">
      <c r="B710" s="93"/>
    </row>
    <row r="711">
      <c r="B711" s="93"/>
    </row>
    <row r="712">
      <c r="B712" s="93"/>
    </row>
    <row r="713">
      <c r="B713" s="93"/>
    </row>
    <row r="714">
      <c r="B714" s="93"/>
    </row>
    <row r="715">
      <c r="B715" s="93"/>
    </row>
    <row r="716">
      <c r="B716" s="93"/>
    </row>
    <row r="717">
      <c r="B717" s="93"/>
    </row>
    <row r="718">
      <c r="B718" s="93"/>
    </row>
    <row r="719">
      <c r="B719" s="93"/>
    </row>
    <row r="720">
      <c r="B720" s="93"/>
    </row>
    <row r="721">
      <c r="B721" s="93"/>
    </row>
    <row r="722">
      <c r="B722" s="93"/>
    </row>
    <row r="723">
      <c r="B723" s="93"/>
    </row>
    <row r="724">
      <c r="B724" s="93"/>
    </row>
    <row r="725">
      <c r="B725" s="93"/>
    </row>
    <row r="726">
      <c r="B726" s="93"/>
    </row>
    <row r="727">
      <c r="B727" s="93"/>
    </row>
    <row r="728">
      <c r="B728" s="93"/>
    </row>
    <row r="729">
      <c r="B729" s="93"/>
    </row>
    <row r="730">
      <c r="B730" s="93"/>
    </row>
    <row r="731">
      <c r="B731" s="93"/>
    </row>
    <row r="732">
      <c r="B732" s="93"/>
    </row>
    <row r="733">
      <c r="B733" s="93"/>
    </row>
    <row r="734">
      <c r="B734" s="93"/>
    </row>
    <row r="735">
      <c r="B735" s="93"/>
    </row>
    <row r="736">
      <c r="B736" s="93"/>
    </row>
    <row r="737">
      <c r="B737" s="93"/>
    </row>
    <row r="738">
      <c r="B738" s="93"/>
    </row>
    <row r="739">
      <c r="B739" s="93"/>
    </row>
    <row r="740">
      <c r="B740" s="93"/>
    </row>
    <row r="741">
      <c r="B741" s="93"/>
    </row>
    <row r="742">
      <c r="B742" s="93"/>
    </row>
    <row r="743">
      <c r="B743" s="93"/>
    </row>
    <row r="744">
      <c r="B744" s="93"/>
    </row>
    <row r="745">
      <c r="B745" s="93"/>
    </row>
    <row r="746">
      <c r="B746" s="93"/>
    </row>
    <row r="747">
      <c r="B747" s="93"/>
    </row>
    <row r="748">
      <c r="B748" s="93"/>
    </row>
    <row r="749">
      <c r="B749" s="93"/>
    </row>
    <row r="750">
      <c r="B750" s="93"/>
    </row>
    <row r="751">
      <c r="B751" s="93"/>
    </row>
    <row r="752">
      <c r="B752" s="93"/>
    </row>
    <row r="753">
      <c r="B753" s="93"/>
    </row>
    <row r="754">
      <c r="B754" s="93"/>
    </row>
    <row r="755">
      <c r="B755" s="93"/>
    </row>
    <row r="756">
      <c r="B756" s="93"/>
    </row>
    <row r="757">
      <c r="B757" s="93"/>
    </row>
    <row r="758">
      <c r="B758" s="93"/>
    </row>
    <row r="759">
      <c r="B759" s="93"/>
    </row>
    <row r="760">
      <c r="B760" s="93"/>
    </row>
    <row r="761">
      <c r="B761" s="93"/>
    </row>
    <row r="762">
      <c r="B762" s="93"/>
    </row>
    <row r="763">
      <c r="B763" s="93"/>
    </row>
    <row r="764">
      <c r="B764" s="93"/>
    </row>
    <row r="765">
      <c r="B765" s="93"/>
    </row>
    <row r="766">
      <c r="B766" s="93"/>
    </row>
    <row r="767">
      <c r="B767" s="93"/>
    </row>
    <row r="768">
      <c r="B768" s="93"/>
    </row>
    <row r="769">
      <c r="B769" s="93"/>
    </row>
    <row r="770">
      <c r="B770" s="93"/>
    </row>
    <row r="771">
      <c r="B771" s="93"/>
    </row>
    <row r="772">
      <c r="B772" s="93"/>
    </row>
    <row r="773">
      <c r="B773" s="93"/>
    </row>
    <row r="774">
      <c r="B774" s="93"/>
    </row>
    <row r="775">
      <c r="B775" s="93"/>
    </row>
    <row r="776">
      <c r="B776" s="93"/>
    </row>
    <row r="777">
      <c r="B777" s="93"/>
    </row>
    <row r="778">
      <c r="B778" s="93"/>
    </row>
    <row r="779">
      <c r="B779" s="93"/>
    </row>
    <row r="780">
      <c r="B780" s="93"/>
    </row>
    <row r="781">
      <c r="B781" s="93"/>
    </row>
    <row r="782">
      <c r="B782" s="93"/>
    </row>
    <row r="783">
      <c r="B783" s="93"/>
    </row>
    <row r="784">
      <c r="B784" s="93"/>
    </row>
    <row r="785">
      <c r="B785" s="93"/>
    </row>
    <row r="786">
      <c r="B786" s="93"/>
    </row>
    <row r="787">
      <c r="B787" s="93"/>
    </row>
    <row r="788">
      <c r="B788" s="93"/>
    </row>
    <row r="789">
      <c r="B789" s="93"/>
    </row>
    <row r="790">
      <c r="B790" s="93"/>
    </row>
    <row r="791">
      <c r="B791" s="93"/>
    </row>
    <row r="792">
      <c r="B792" s="93"/>
    </row>
    <row r="793">
      <c r="B793" s="93"/>
    </row>
    <row r="794">
      <c r="B794" s="93"/>
    </row>
    <row r="795">
      <c r="B795" s="93"/>
    </row>
    <row r="796">
      <c r="B796" s="93"/>
    </row>
    <row r="797">
      <c r="B797" s="93"/>
    </row>
    <row r="798">
      <c r="B798" s="93"/>
    </row>
    <row r="799">
      <c r="B799" s="93"/>
    </row>
    <row r="800">
      <c r="B800" s="93"/>
    </row>
    <row r="801">
      <c r="B801" s="93"/>
    </row>
    <row r="802">
      <c r="B802" s="93"/>
    </row>
    <row r="803">
      <c r="B803" s="93"/>
    </row>
    <row r="804">
      <c r="B804" s="93"/>
    </row>
    <row r="805">
      <c r="B805" s="93"/>
    </row>
    <row r="806">
      <c r="B806" s="93"/>
    </row>
    <row r="807">
      <c r="B807" s="93"/>
    </row>
    <row r="808">
      <c r="B808" s="93"/>
    </row>
    <row r="809">
      <c r="B809" s="93"/>
    </row>
    <row r="810">
      <c r="B810" s="93"/>
    </row>
    <row r="811">
      <c r="B811" s="93"/>
    </row>
    <row r="812">
      <c r="B812" s="93"/>
    </row>
    <row r="813">
      <c r="B813" s="93"/>
    </row>
    <row r="814">
      <c r="B814" s="93"/>
    </row>
    <row r="815">
      <c r="B815" s="93"/>
    </row>
    <row r="816">
      <c r="B816" s="93"/>
    </row>
    <row r="817">
      <c r="B817" s="93"/>
    </row>
    <row r="818">
      <c r="B818" s="93"/>
    </row>
    <row r="819">
      <c r="B819" s="93"/>
    </row>
    <row r="820">
      <c r="B820" s="93"/>
    </row>
    <row r="821">
      <c r="B821" s="93"/>
    </row>
    <row r="822">
      <c r="B822" s="93"/>
    </row>
    <row r="823">
      <c r="B823" s="93"/>
    </row>
    <row r="824">
      <c r="B824" s="93"/>
    </row>
    <row r="825">
      <c r="B825" s="93"/>
    </row>
    <row r="826">
      <c r="B826" s="93"/>
    </row>
    <row r="827">
      <c r="B827" s="93"/>
    </row>
    <row r="828">
      <c r="B828" s="93"/>
    </row>
    <row r="829">
      <c r="B829" s="93"/>
    </row>
    <row r="830">
      <c r="B830" s="93"/>
    </row>
    <row r="831">
      <c r="B831" s="93"/>
    </row>
    <row r="832">
      <c r="B832" s="93"/>
    </row>
    <row r="833">
      <c r="B833" s="93"/>
    </row>
    <row r="834">
      <c r="B834" s="93"/>
    </row>
    <row r="835">
      <c r="B835" s="93"/>
    </row>
    <row r="836">
      <c r="B836" s="93"/>
    </row>
    <row r="837">
      <c r="B837" s="93"/>
    </row>
    <row r="838">
      <c r="B838" s="93"/>
    </row>
    <row r="839">
      <c r="B839" s="93"/>
    </row>
    <row r="840">
      <c r="B840" s="93"/>
    </row>
    <row r="841">
      <c r="B841" s="93"/>
    </row>
    <row r="842">
      <c r="B842" s="93"/>
    </row>
    <row r="843">
      <c r="B843" s="93"/>
    </row>
    <row r="844">
      <c r="B844" s="93"/>
    </row>
    <row r="845">
      <c r="B845" s="93"/>
    </row>
    <row r="846">
      <c r="B846" s="93"/>
    </row>
    <row r="847">
      <c r="B847" s="93"/>
    </row>
    <row r="848">
      <c r="B848" s="93"/>
    </row>
    <row r="849">
      <c r="B849" s="93"/>
    </row>
    <row r="850">
      <c r="B850" s="93"/>
    </row>
    <row r="851">
      <c r="B851" s="93"/>
    </row>
    <row r="852">
      <c r="B852" s="93"/>
    </row>
    <row r="853">
      <c r="B853" s="93"/>
    </row>
    <row r="854">
      <c r="B854" s="93"/>
    </row>
    <row r="855">
      <c r="B855" s="93"/>
    </row>
    <row r="856">
      <c r="B856" s="93"/>
    </row>
    <row r="857">
      <c r="B857" s="93"/>
    </row>
    <row r="858">
      <c r="B858" s="93"/>
    </row>
    <row r="859">
      <c r="B859" s="93"/>
    </row>
    <row r="860">
      <c r="B860" s="93"/>
    </row>
    <row r="861">
      <c r="B861" s="93"/>
    </row>
    <row r="862">
      <c r="B862" s="93"/>
    </row>
    <row r="863">
      <c r="B863" s="93"/>
    </row>
    <row r="864">
      <c r="B864" s="93"/>
    </row>
    <row r="865">
      <c r="B865" s="93"/>
    </row>
    <row r="866">
      <c r="B866" s="93"/>
    </row>
    <row r="867">
      <c r="B867" s="93"/>
    </row>
    <row r="868">
      <c r="B868" s="93"/>
    </row>
    <row r="869">
      <c r="B869" s="93"/>
    </row>
    <row r="870">
      <c r="B870" s="93"/>
    </row>
    <row r="871">
      <c r="B871" s="93"/>
    </row>
    <row r="872">
      <c r="B872" s="93"/>
    </row>
    <row r="873">
      <c r="B873" s="93"/>
    </row>
    <row r="874">
      <c r="B874" s="93"/>
    </row>
    <row r="875">
      <c r="B875" s="93"/>
    </row>
    <row r="876">
      <c r="B876" s="93"/>
    </row>
    <row r="877">
      <c r="B877" s="93"/>
    </row>
    <row r="878">
      <c r="B878" s="93"/>
    </row>
    <row r="879">
      <c r="B879" s="93"/>
    </row>
    <row r="880">
      <c r="B880" s="93"/>
    </row>
    <row r="881">
      <c r="B881" s="93"/>
    </row>
    <row r="882">
      <c r="B882" s="93"/>
    </row>
    <row r="883">
      <c r="B883" s="93"/>
    </row>
    <row r="884">
      <c r="B884" s="93"/>
    </row>
    <row r="885">
      <c r="B885" s="93"/>
    </row>
    <row r="886">
      <c r="B886" s="93"/>
    </row>
    <row r="887">
      <c r="B887" s="93"/>
    </row>
    <row r="888">
      <c r="B888" s="93"/>
    </row>
    <row r="889">
      <c r="B889" s="93"/>
    </row>
    <row r="890">
      <c r="B890" s="93"/>
    </row>
    <row r="891">
      <c r="B891" s="93"/>
    </row>
    <row r="892">
      <c r="B892" s="93"/>
    </row>
    <row r="893">
      <c r="B893" s="93"/>
    </row>
  </sheetData>
  <conditionalFormatting sqref="B1:B893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1405</v>
      </c>
    </row>
    <row r="2">
      <c r="A2" s="1" t="s">
        <v>1406</v>
      </c>
    </row>
    <row r="4">
      <c r="A4" s="1" t="s">
        <v>1407</v>
      </c>
    </row>
    <row r="5">
      <c r="A5" s="1" t="s">
        <v>1408</v>
      </c>
    </row>
    <row r="6">
      <c r="A6" s="1" t="s">
        <v>1409</v>
      </c>
    </row>
  </sheetData>
  <drawing r:id="rId1"/>
</worksheet>
</file>